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ycpp\结果8.13\800代时间下\正交1\"/>
    </mc:Choice>
  </mc:AlternateContent>
  <xr:revisionPtr revIDLastSave="0" documentId="13_ncr:1_{A6DF6484-28B1-4DD4-9973-00D68259C199}" xr6:coauthVersionLast="47" xr6:coauthVersionMax="47" xr10:uidLastSave="{00000000-0000-0000-0000-000000000000}"/>
  <bookViews>
    <workbookView xWindow="-110" yWindow="-110" windowWidth="19420" windowHeight="10420" tabRatio="902" xr2:uid="{00000000-000D-0000-FFFF-FFFF00000000}"/>
  </bookViews>
  <sheets>
    <sheet name="Para." sheetId="1" r:id="rId1"/>
    <sheet name="Total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</sheets>
  <definedNames>
    <definedName name="_xlnm._FilterDatabase" localSheetId="2">'1'!$H$1:$J$47</definedName>
    <definedName name="_xlnm._FilterDatabase" localSheetId="11">'10'!$H$1:$J$47</definedName>
    <definedName name="_xlnm._FilterDatabase" localSheetId="12">'11'!$H$1:$J$47</definedName>
    <definedName name="_xlnm._FilterDatabase" localSheetId="13">'12'!$H$1:$J$47</definedName>
    <definedName name="_xlnm._FilterDatabase" localSheetId="14">'13'!$H$1:$J$47</definedName>
    <definedName name="_xlnm._FilterDatabase" localSheetId="15">'14'!$H$1:$J$47</definedName>
    <definedName name="_xlnm._FilterDatabase" localSheetId="16">'15'!$H$1:$J$47</definedName>
    <definedName name="_xlnm._FilterDatabase" localSheetId="17">'16'!$H$1:$J$47</definedName>
    <definedName name="_xlnm._FilterDatabase" localSheetId="18">'17'!$H$1:$J$47</definedName>
    <definedName name="_xlnm._FilterDatabase" localSheetId="19">'18'!$H$1:$J$47</definedName>
    <definedName name="_xlnm._FilterDatabase" localSheetId="20">'19'!$H$1:$J$47</definedName>
    <definedName name="_xlnm._FilterDatabase" localSheetId="3">'2'!$H$1:$J$47</definedName>
    <definedName name="_xlnm._FilterDatabase" localSheetId="21">'20'!$H$1:$J$47</definedName>
    <definedName name="_xlnm._FilterDatabase" localSheetId="22">'21'!$H$1:$J$47</definedName>
    <definedName name="_xlnm._FilterDatabase" localSheetId="23">'22'!$H$1:$J$47</definedName>
    <definedName name="_xlnm._FilterDatabase" localSheetId="24">'23'!$H$1:$J$47</definedName>
    <definedName name="_xlnm._FilterDatabase" localSheetId="25">'24'!$H$1:$J$47</definedName>
    <definedName name="_xlnm._FilterDatabase" localSheetId="26">'25'!$H$1:$J$47</definedName>
    <definedName name="_xlnm._FilterDatabase" localSheetId="4">'3'!$H$1:$J$47</definedName>
    <definedName name="_xlnm._FilterDatabase" localSheetId="5">'4'!$H$1:$J$47</definedName>
    <definedName name="_xlnm._FilterDatabase" localSheetId="6">'5'!$H$1:$J$47</definedName>
    <definedName name="_xlnm._FilterDatabase" localSheetId="7">'6'!$H$1:$J$47</definedName>
    <definedName name="_xlnm._FilterDatabase" localSheetId="8">'7'!$H$1:$J$47</definedName>
    <definedName name="_xlnm._FilterDatabase" localSheetId="9">'8'!$H$1:$J$47</definedName>
    <definedName name="_xlnm._FilterDatabase" localSheetId="10">'9'!$H$1:$J$47</definedName>
    <definedName name="_xlnm._FilterDatabase" localSheetId="1">Total!$A$1:$C$10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4" i="1" l="1"/>
  <c r="K34" i="1"/>
  <c r="J34" i="1"/>
  <c r="I34" i="1"/>
  <c r="H34" i="1"/>
  <c r="G34" i="1"/>
  <c r="O2" i="1" l="1"/>
  <c r="T26" i="1" l="1"/>
  <c r="S26" i="1"/>
  <c r="R26" i="1"/>
  <c r="Q26" i="1"/>
  <c r="P26" i="1"/>
  <c r="O26" i="1"/>
  <c r="T25" i="1"/>
  <c r="S25" i="1"/>
  <c r="R25" i="1"/>
  <c r="Q25" i="1"/>
  <c r="P25" i="1"/>
  <c r="O25" i="1"/>
  <c r="T24" i="1"/>
  <c r="S24" i="1"/>
  <c r="R24" i="1"/>
  <c r="Q24" i="1"/>
  <c r="P24" i="1"/>
  <c r="O24" i="1"/>
  <c r="T23" i="1"/>
  <c r="S23" i="1"/>
  <c r="R23" i="1"/>
  <c r="Q23" i="1"/>
  <c r="P23" i="1"/>
  <c r="O23" i="1"/>
  <c r="T22" i="1"/>
  <c r="S22" i="1"/>
  <c r="R22" i="1"/>
  <c r="Q22" i="1"/>
  <c r="P22" i="1"/>
  <c r="O22" i="1"/>
  <c r="T21" i="1"/>
  <c r="S21" i="1"/>
  <c r="R21" i="1"/>
  <c r="Q21" i="1"/>
  <c r="P21" i="1"/>
  <c r="O21" i="1"/>
  <c r="T20" i="1"/>
  <c r="S20" i="1"/>
  <c r="R20" i="1"/>
  <c r="Q20" i="1"/>
  <c r="P20" i="1"/>
  <c r="O20" i="1"/>
  <c r="T19" i="1"/>
  <c r="S19" i="1"/>
  <c r="R19" i="1"/>
  <c r="Q19" i="1"/>
  <c r="P19" i="1"/>
  <c r="O19" i="1"/>
  <c r="T18" i="1"/>
  <c r="S18" i="1"/>
  <c r="R18" i="1"/>
  <c r="Q18" i="1"/>
  <c r="P18" i="1"/>
  <c r="O18" i="1"/>
  <c r="T17" i="1"/>
  <c r="S17" i="1"/>
  <c r="R17" i="1"/>
  <c r="Q17" i="1"/>
  <c r="P17" i="1"/>
  <c r="O17" i="1"/>
  <c r="T16" i="1"/>
  <c r="S16" i="1"/>
  <c r="R16" i="1"/>
  <c r="Q16" i="1"/>
  <c r="P16" i="1"/>
  <c r="O16" i="1"/>
  <c r="T15" i="1"/>
  <c r="S15" i="1"/>
  <c r="R15" i="1"/>
  <c r="Q15" i="1"/>
  <c r="P15" i="1"/>
  <c r="O15" i="1"/>
  <c r="T14" i="1"/>
  <c r="S14" i="1"/>
  <c r="R14" i="1"/>
  <c r="Q14" i="1"/>
  <c r="P14" i="1"/>
  <c r="O14" i="1"/>
  <c r="T13" i="1"/>
  <c r="S13" i="1"/>
  <c r="R13" i="1"/>
  <c r="Q13" i="1"/>
  <c r="P13" i="1"/>
  <c r="O13" i="1"/>
  <c r="T12" i="1"/>
  <c r="S12" i="1"/>
  <c r="R12" i="1"/>
  <c r="Q12" i="1"/>
  <c r="P12" i="1"/>
  <c r="O12" i="1"/>
  <c r="T11" i="1"/>
  <c r="S11" i="1"/>
  <c r="R11" i="1"/>
  <c r="Q11" i="1"/>
  <c r="P11" i="1"/>
  <c r="O11" i="1"/>
  <c r="T10" i="1"/>
  <c r="S10" i="1"/>
  <c r="R10" i="1"/>
  <c r="Q10" i="1"/>
  <c r="P10" i="1"/>
  <c r="O10" i="1"/>
  <c r="T9" i="1"/>
  <c r="S9" i="1"/>
  <c r="R9" i="1"/>
  <c r="Q9" i="1"/>
  <c r="P9" i="1"/>
  <c r="O9" i="1"/>
  <c r="T8" i="1"/>
  <c r="S8" i="1"/>
  <c r="R8" i="1"/>
  <c r="Q8" i="1"/>
  <c r="P8" i="1"/>
  <c r="O8" i="1"/>
  <c r="T7" i="1"/>
  <c r="S7" i="1"/>
  <c r="R7" i="1"/>
  <c r="Q7" i="1"/>
  <c r="P7" i="1"/>
  <c r="O7" i="1"/>
  <c r="T6" i="1"/>
  <c r="S6" i="1"/>
  <c r="R6" i="1"/>
  <c r="Q6" i="1"/>
  <c r="P6" i="1"/>
  <c r="O6" i="1"/>
  <c r="T5" i="1"/>
  <c r="S5" i="1"/>
  <c r="R5" i="1"/>
  <c r="Q5" i="1"/>
  <c r="P5" i="1"/>
  <c r="O5" i="1"/>
  <c r="T4" i="1"/>
  <c r="S4" i="1"/>
  <c r="R4" i="1"/>
  <c r="Q4" i="1"/>
  <c r="P4" i="1"/>
  <c r="O4" i="1"/>
  <c r="T3" i="1"/>
  <c r="S3" i="1"/>
  <c r="R3" i="1"/>
  <c r="Q3" i="1"/>
  <c r="P3" i="1"/>
  <c r="O3" i="1"/>
  <c r="T2" i="1"/>
  <c r="S2" i="1"/>
  <c r="R2" i="1"/>
  <c r="Q2" i="1"/>
  <c r="P2" i="1"/>
  <c r="M19" i="8"/>
  <c r="S4" i="24"/>
  <c r="T11" i="13"/>
  <c r="T4" i="19"/>
  <c r="T8" i="15"/>
  <c r="R3" i="5"/>
  <c r="R10" i="21"/>
  <c r="N2" i="25"/>
  <c r="P5" i="23"/>
  <c r="Q7" i="27"/>
  <c r="U7" i="20"/>
  <c r="S8" i="19"/>
  <c r="O2" i="10"/>
  <c r="U7" i="16"/>
  <c r="L18" i="27"/>
  <c r="U15" i="6"/>
  <c r="L12" i="18"/>
  <c r="S12" i="17"/>
  <c r="O9" i="11"/>
  <c r="T2" i="22"/>
  <c r="Q11" i="22"/>
  <c r="S14" i="14"/>
  <c r="R6" i="26"/>
  <c r="S16" i="8"/>
  <c r="S19" i="17"/>
  <c r="N17" i="16"/>
  <c r="Q15" i="17"/>
  <c r="L18" i="9"/>
  <c r="T18" i="7"/>
  <c r="Q19" i="26"/>
  <c r="R12" i="20"/>
  <c r="T18" i="17"/>
  <c r="L16" i="5"/>
  <c r="R7" i="18"/>
  <c r="S6" i="26"/>
  <c r="L9" i="16"/>
  <c r="O8" i="9"/>
  <c r="L17" i="10"/>
  <c r="M5" i="6"/>
  <c r="O9" i="21"/>
  <c r="U19" i="14"/>
  <c r="T15" i="15"/>
  <c r="O15" i="14"/>
  <c r="T6" i="27"/>
  <c r="O16" i="11"/>
  <c r="Q16" i="7"/>
  <c r="Q17" i="7"/>
  <c r="S11" i="16"/>
  <c r="O6" i="18"/>
  <c r="P16" i="16"/>
  <c r="Q9" i="26"/>
  <c r="P15" i="4"/>
  <c r="M15" i="6"/>
  <c r="R7" i="5"/>
  <c r="O8" i="14"/>
  <c r="M14" i="14"/>
  <c r="M3" i="9"/>
  <c r="L15" i="24"/>
  <c r="S18" i="16"/>
  <c r="P4" i="9"/>
  <c r="N17" i="19"/>
  <c r="U18" i="8"/>
  <c r="L6" i="11"/>
  <c r="N4" i="13"/>
  <c r="M16" i="6"/>
  <c r="P11" i="8"/>
  <c r="N19" i="27"/>
  <c r="R14" i="23"/>
  <c r="T2" i="26"/>
  <c r="U7" i="13"/>
  <c r="P14" i="6"/>
  <c r="Q18" i="27"/>
  <c r="L11" i="27"/>
  <c r="L10" i="6"/>
  <c r="U11" i="24"/>
  <c r="T15" i="17"/>
  <c r="R16" i="16"/>
  <c r="P4" i="26"/>
  <c r="R16" i="26"/>
  <c r="R6" i="10"/>
  <c r="Q18" i="12"/>
  <c r="Q8" i="18"/>
  <c r="P12" i="16"/>
  <c r="R4" i="25"/>
  <c r="T10" i="15"/>
  <c r="O5" i="25"/>
  <c r="O7" i="5"/>
  <c r="U15" i="3"/>
  <c r="O15" i="13"/>
  <c r="Q10" i="9"/>
  <c r="P4" i="24"/>
  <c r="R2" i="15"/>
  <c r="N9" i="19"/>
  <c r="U3" i="27"/>
  <c r="Q19" i="4"/>
  <c r="O5" i="21"/>
  <c r="S14" i="15"/>
  <c r="N7" i="9"/>
  <c r="U8" i="13"/>
  <c r="U14" i="13"/>
  <c r="T11" i="16"/>
  <c r="N5" i="13"/>
  <c r="S13" i="7"/>
  <c r="U2" i="18"/>
  <c r="T16" i="15"/>
  <c r="Q4" i="5"/>
  <c r="T9" i="5"/>
  <c r="N8" i="3"/>
  <c r="P17" i="27"/>
  <c r="Q11" i="11"/>
  <c r="S16" i="18"/>
  <c r="Q15" i="13"/>
  <c r="N4" i="18"/>
  <c r="T19" i="10"/>
  <c r="T11" i="19"/>
  <c r="U16" i="18"/>
  <c r="N7" i="4"/>
  <c r="O16" i="17"/>
  <c r="U5" i="23"/>
  <c r="N2" i="26"/>
  <c r="M9" i="6"/>
  <c r="R18" i="6"/>
  <c r="Q4" i="21"/>
  <c r="M7" i="6"/>
  <c r="Q18" i="26"/>
  <c r="S17" i="7"/>
  <c r="M14" i="12"/>
  <c r="Q17" i="24"/>
  <c r="O4" i="6"/>
  <c r="Q10" i="12"/>
  <c r="N3" i="9"/>
  <c r="M11" i="15"/>
  <c r="M4" i="11"/>
  <c r="M4" i="5"/>
  <c r="O16" i="23"/>
  <c r="R12" i="6"/>
  <c r="M19" i="11"/>
  <c r="T16" i="24"/>
  <c r="O14" i="5"/>
  <c r="M7" i="14"/>
  <c r="Q6" i="11"/>
  <c r="S18" i="26"/>
  <c r="R12" i="17"/>
  <c r="R2" i="27"/>
  <c r="S10" i="15"/>
  <c r="M12" i="21"/>
  <c r="M2" i="14"/>
  <c r="N15" i="15"/>
  <c r="U13" i="4"/>
  <c r="P19" i="24"/>
  <c r="P4" i="20"/>
  <c r="L10" i="11"/>
  <c r="O4" i="27"/>
  <c r="T19" i="14"/>
  <c r="P8" i="15"/>
  <c r="M10" i="17"/>
  <c r="L13" i="26"/>
  <c r="L15" i="23"/>
  <c r="U9" i="18"/>
  <c r="R9" i="26"/>
  <c r="O19" i="17"/>
  <c r="T5" i="18"/>
  <c r="P2" i="23"/>
  <c r="R6" i="13"/>
  <c r="T15" i="19"/>
  <c r="P9" i="4"/>
  <c r="O17" i="24"/>
  <c r="Q18" i="6"/>
  <c r="O12" i="11"/>
  <c r="N14" i="18"/>
  <c r="Q4" i="4"/>
  <c r="L14" i="11"/>
  <c r="U7" i="25"/>
  <c r="Q12" i="25"/>
  <c r="M5" i="21"/>
  <c r="N10" i="27"/>
  <c r="M18" i="22"/>
  <c r="O18" i="19"/>
  <c r="R6" i="25"/>
  <c r="N11" i="18"/>
  <c r="N16" i="23"/>
  <c r="L5" i="17"/>
  <c r="N18" i="11"/>
  <c r="R3" i="25"/>
  <c r="M12" i="16"/>
  <c r="O3" i="21"/>
  <c r="L16" i="4"/>
  <c r="Q13" i="12"/>
  <c r="T14" i="8"/>
  <c r="M7" i="5"/>
  <c r="M7" i="15"/>
  <c r="U13" i="26"/>
  <c r="T12" i="5"/>
  <c r="L9" i="6"/>
  <c r="M19" i="25"/>
  <c r="U13" i="13"/>
  <c r="T6" i="17"/>
  <c r="U8" i="19"/>
  <c r="S18" i="15"/>
  <c r="R16" i="23"/>
  <c r="O18" i="13"/>
  <c r="U7" i="14"/>
  <c r="M19" i="22"/>
  <c r="T14" i="22"/>
  <c r="P13" i="9"/>
  <c r="U19" i="17"/>
  <c r="U5" i="3"/>
  <c r="S15" i="15"/>
  <c r="U8" i="16"/>
  <c r="O3" i="26"/>
  <c r="Q16" i="16"/>
  <c r="M11" i="3"/>
  <c r="U16" i="22"/>
  <c r="S9" i="11"/>
  <c r="S17" i="27"/>
  <c r="T6" i="6"/>
  <c r="T10" i="22"/>
  <c r="P5" i="19"/>
  <c r="Q4" i="24"/>
  <c r="R6" i="20"/>
  <c r="Q16" i="11"/>
  <c r="R15" i="17"/>
  <c r="Q16" i="18"/>
  <c r="U15" i="21"/>
  <c r="O6" i="25"/>
  <c r="T4" i="16"/>
  <c r="P2" i="15"/>
  <c r="O13" i="12"/>
  <c r="R16" i="24"/>
  <c r="T15" i="11"/>
  <c r="U13" i="12"/>
  <c r="T16" i="9"/>
  <c r="L15" i="4"/>
  <c r="S14" i="23"/>
  <c r="P19" i="3"/>
  <c r="U7" i="10"/>
  <c r="U12" i="21"/>
  <c r="Q4" i="22"/>
  <c r="L13" i="14"/>
  <c r="P19" i="23"/>
  <c r="S11" i="8"/>
  <c r="S9" i="24"/>
  <c r="L17" i="19"/>
  <c r="U6" i="19"/>
  <c r="O13" i="13"/>
  <c r="T16" i="22"/>
  <c r="S15" i="13"/>
  <c r="O16" i="21"/>
  <c r="L7" i="14"/>
  <c r="O3" i="25"/>
  <c r="O2" i="9"/>
  <c r="O15" i="23"/>
  <c r="Q2" i="21"/>
  <c r="T16" i="12"/>
  <c r="N2" i="17"/>
  <c r="S4" i="20"/>
  <c r="U7" i="17"/>
  <c r="M5" i="3"/>
  <c r="T6" i="19"/>
  <c r="Q7" i="14"/>
  <c r="T5" i="10"/>
  <c r="S3" i="13"/>
  <c r="R8" i="5"/>
  <c r="M8" i="6"/>
  <c r="O3" i="27"/>
  <c r="S9" i="9"/>
  <c r="U15" i="26"/>
  <c r="N11" i="25"/>
  <c r="L17" i="8"/>
  <c r="L8" i="25"/>
  <c r="N3" i="26"/>
  <c r="L17" i="11"/>
  <c r="S5" i="19"/>
  <c r="S14" i="22"/>
  <c r="T10" i="5"/>
  <c r="R14" i="11"/>
  <c r="U9" i="8"/>
  <c r="M4" i="4"/>
  <c r="R11" i="4"/>
  <c r="T8" i="16"/>
  <c r="M18" i="20"/>
  <c r="S3" i="16"/>
  <c r="S19" i="26"/>
  <c r="P8" i="20"/>
  <c r="M18" i="5"/>
  <c r="Q14" i="13"/>
  <c r="P15" i="3"/>
  <c r="U19" i="13"/>
  <c r="T17" i="4"/>
  <c r="S2" i="26"/>
  <c r="M3" i="18"/>
  <c r="Q8" i="20"/>
  <c r="M2" i="9"/>
  <c r="P17" i="13"/>
  <c r="M12" i="12"/>
  <c r="T18" i="18"/>
  <c r="R11" i="15"/>
  <c r="L12" i="22"/>
  <c r="R11" i="18"/>
  <c r="M17" i="7"/>
  <c r="U6" i="4"/>
  <c r="M13" i="7"/>
  <c r="R12" i="23"/>
  <c r="S16" i="27"/>
  <c r="S6" i="14"/>
  <c r="O12" i="15"/>
  <c r="U6" i="6"/>
  <c r="O14" i="19"/>
  <c r="N3" i="15"/>
  <c r="O3" i="23"/>
  <c r="T12" i="18"/>
  <c r="R14" i="22"/>
  <c r="L3" i="13"/>
  <c r="R10" i="11"/>
  <c r="O17" i="4"/>
  <c r="P18" i="21"/>
  <c r="R13" i="18"/>
  <c r="N5" i="15"/>
  <c r="U3" i="15"/>
  <c r="O18" i="24"/>
  <c r="L11" i="21"/>
  <c r="T11" i="11"/>
  <c r="S5" i="16"/>
  <c r="P6" i="6"/>
  <c r="O9" i="23"/>
  <c r="P7" i="23"/>
  <c r="R5" i="13"/>
  <c r="P13" i="18"/>
  <c r="P17" i="5"/>
  <c r="U17" i="20"/>
  <c r="T2" i="19"/>
  <c r="T11" i="26"/>
  <c r="O14" i="20"/>
  <c r="Q19" i="19"/>
  <c r="S5" i="8"/>
  <c r="L6" i="22"/>
  <c r="O3" i="5"/>
  <c r="R17" i="13"/>
  <c r="R17" i="9"/>
  <c r="O16" i="3"/>
  <c r="O9" i="6"/>
  <c r="N2" i="18"/>
  <c r="Q13" i="3"/>
  <c r="R14" i="27"/>
  <c r="M10" i="6"/>
  <c r="P4" i="4"/>
  <c r="R19" i="18"/>
  <c r="M8" i="24"/>
  <c r="S2" i="24"/>
  <c r="Q11" i="3"/>
  <c r="M16" i="4"/>
  <c r="R18" i="18"/>
  <c r="S19" i="21"/>
  <c r="T4" i="18"/>
  <c r="T18" i="8"/>
  <c r="N6" i="6"/>
  <c r="T10" i="21"/>
  <c r="M18" i="17"/>
  <c r="Q19" i="24"/>
  <c r="O16" i="13"/>
  <c r="N17" i="17"/>
  <c r="M6" i="14"/>
  <c r="R14" i="8"/>
  <c r="U13" i="16"/>
  <c r="M11" i="18"/>
  <c r="L3" i="27"/>
  <c r="R17" i="14"/>
  <c r="Q12" i="10"/>
  <c r="S4" i="14"/>
  <c r="P19" i="18"/>
  <c r="S15" i="23"/>
  <c r="M10" i="14"/>
  <c r="P6" i="5"/>
  <c r="M13" i="27"/>
  <c r="L9" i="3"/>
  <c r="R9" i="16"/>
  <c r="Q15" i="12"/>
  <c r="S17" i="9"/>
  <c r="T3" i="23"/>
  <c r="N3" i="3"/>
  <c r="P8" i="21"/>
  <c r="N4" i="10"/>
  <c r="P10" i="12"/>
  <c r="U19" i="3"/>
  <c r="L18" i="12"/>
  <c r="L6" i="13"/>
  <c r="O14" i="8"/>
  <c r="M12" i="7"/>
  <c r="O12" i="13"/>
  <c r="L19" i="15"/>
  <c r="L7" i="27"/>
  <c r="U18" i="10"/>
  <c r="S8" i="23"/>
  <c r="O6" i="4"/>
  <c r="L16" i="18"/>
  <c r="T17" i="3"/>
  <c r="T13" i="5"/>
  <c r="N19" i="5"/>
  <c r="S13" i="6"/>
  <c r="O16" i="20"/>
  <c r="R3" i="24"/>
  <c r="N6" i="4"/>
  <c r="U8" i="10"/>
  <c r="P15" i="7"/>
  <c r="M7" i="19"/>
  <c r="Q13" i="7"/>
  <c r="S13" i="3"/>
  <c r="S8" i="6"/>
  <c r="L15" i="18"/>
  <c r="O17" i="21"/>
  <c r="O16" i="10"/>
  <c r="M14" i="18"/>
  <c r="S10" i="7"/>
  <c r="L17" i="6"/>
  <c r="U17" i="6"/>
  <c r="S8" i="7"/>
  <c r="O15" i="11"/>
  <c r="Q5" i="25"/>
  <c r="O7" i="10"/>
  <c r="L5" i="15"/>
  <c r="P18" i="15"/>
  <c r="U18" i="15"/>
  <c r="U10" i="8"/>
  <c r="Q7" i="13"/>
  <c r="Q15" i="25"/>
  <c r="N5" i="5"/>
  <c r="Q18" i="22"/>
  <c r="O18" i="17"/>
  <c r="O5" i="14"/>
  <c r="U17" i="9"/>
  <c r="Q12" i="8"/>
  <c r="T15" i="18"/>
  <c r="M10" i="24"/>
  <c r="Q18" i="4"/>
  <c r="N10" i="16"/>
  <c r="N14" i="21"/>
  <c r="U16" i="27"/>
  <c r="T19" i="4"/>
  <c r="Q10" i="21"/>
  <c r="U8" i="21"/>
  <c r="N3" i="5"/>
  <c r="P16" i="22"/>
  <c r="N5" i="24"/>
  <c r="N6" i="5"/>
  <c r="M11" i="19"/>
  <c r="Q2" i="7"/>
  <c r="S11" i="5"/>
  <c r="S3" i="6"/>
  <c r="M17" i="27"/>
  <c r="U3" i="12"/>
  <c r="R5" i="19"/>
  <c r="L4" i="18"/>
  <c r="T10" i="16"/>
  <c r="T17" i="12"/>
  <c r="S13" i="4"/>
  <c r="P16" i="26"/>
  <c r="P10" i="20"/>
  <c r="U10" i="13"/>
  <c r="Q19" i="21"/>
  <c r="P7" i="20"/>
  <c r="R8" i="22"/>
  <c r="L7" i="22"/>
  <c r="Q10" i="22"/>
  <c r="P15" i="19"/>
  <c r="S17" i="12"/>
  <c r="P10" i="27"/>
  <c r="S13" i="19"/>
  <c r="R2" i="17"/>
  <c r="T18" i="4"/>
  <c r="S17" i="13"/>
  <c r="R3" i="8"/>
  <c r="O14" i="4"/>
  <c r="U9" i="24"/>
  <c r="S17" i="19"/>
  <c r="O17" i="23"/>
  <c r="M17" i="24"/>
  <c r="S16" i="5"/>
  <c r="N10" i="19"/>
  <c r="N18" i="16"/>
  <c r="O6" i="21"/>
  <c r="N13" i="10"/>
  <c r="L16" i="6"/>
  <c r="P8" i="3"/>
  <c r="R5" i="27"/>
  <c r="M3" i="27"/>
  <c r="P9" i="20"/>
  <c r="U17" i="15"/>
  <c r="R2" i="18"/>
  <c r="T9" i="23"/>
  <c r="R6" i="7"/>
  <c r="O19" i="14"/>
  <c r="T8" i="24"/>
  <c r="N6" i="11"/>
  <c r="L14" i="10"/>
  <c r="S12" i="10"/>
  <c r="L2" i="19"/>
  <c r="U16" i="23"/>
  <c r="U10" i="25"/>
  <c r="P7" i="16"/>
  <c r="U11" i="22"/>
  <c r="P12" i="18"/>
  <c r="R10" i="12"/>
  <c r="S11" i="20"/>
  <c r="N7" i="19"/>
  <c r="Q19" i="5"/>
  <c r="L4" i="11"/>
  <c r="Q14" i="24"/>
  <c r="U6" i="18"/>
  <c r="L16" i="9"/>
  <c r="L2" i="16"/>
  <c r="T3" i="14"/>
  <c r="Q13" i="26"/>
  <c r="L15" i="7"/>
  <c r="L2" i="13"/>
  <c r="P5" i="20"/>
  <c r="O8" i="16"/>
  <c r="T4" i="27"/>
  <c r="T13" i="24"/>
  <c r="U16" i="14"/>
  <c r="U9" i="22"/>
  <c r="T19" i="22"/>
  <c r="R17" i="15"/>
  <c r="L15" i="16"/>
  <c r="U4" i="20"/>
  <c r="U13" i="5"/>
  <c r="M6" i="21"/>
  <c r="L13" i="19"/>
  <c r="L11" i="17"/>
  <c r="P7" i="27"/>
  <c r="P18" i="16"/>
  <c r="L9" i="21"/>
  <c r="R15" i="12"/>
  <c r="N19" i="21"/>
  <c r="R2" i="10"/>
  <c r="N15" i="4"/>
  <c r="U13" i="10"/>
  <c r="T12" i="3"/>
  <c r="L13" i="20"/>
  <c r="P7" i="21"/>
  <c r="M17" i="5"/>
  <c r="S19" i="14"/>
  <c r="S3" i="4"/>
  <c r="U12" i="6"/>
  <c r="N9" i="11"/>
  <c r="P13" i="20"/>
  <c r="O13" i="19"/>
  <c r="M5" i="17"/>
  <c r="P11" i="4"/>
  <c r="T18" i="13"/>
  <c r="O10" i="5"/>
  <c r="O14" i="9"/>
  <c r="M8" i="8"/>
  <c r="M19" i="20"/>
  <c r="R6" i="27"/>
  <c r="Q12" i="24"/>
  <c r="O6" i="5"/>
  <c r="M8" i="17"/>
  <c r="N8" i="25"/>
  <c r="P10" i="3"/>
  <c r="S2" i="7"/>
  <c r="L7" i="23"/>
  <c r="Q16" i="8"/>
  <c r="T14" i="25"/>
  <c r="M13" i="8"/>
  <c r="R6" i="14"/>
  <c r="L9" i="19"/>
  <c r="P5" i="25"/>
  <c r="P9" i="21"/>
  <c r="S11" i="27"/>
  <c r="O11" i="8"/>
  <c r="N4" i="8"/>
  <c r="M9" i="4"/>
  <c r="R12" i="7"/>
  <c r="S15" i="12"/>
  <c r="T9" i="27"/>
  <c r="T3" i="25"/>
  <c r="T19" i="21"/>
  <c r="Q13" i="14"/>
  <c r="T12" i="4"/>
  <c r="L11" i="15"/>
  <c r="Q12" i="21"/>
  <c r="U15" i="8"/>
  <c r="L3" i="26"/>
  <c r="T18" i="23"/>
  <c r="N5" i="23"/>
  <c r="S6" i="4"/>
  <c r="P16" i="24"/>
  <c r="U16" i="20"/>
  <c r="O15" i="20"/>
  <c r="O4" i="24"/>
  <c r="L14" i="9"/>
  <c r="N16" i="7"/>
  <c r="L19" i="3"/>
  <c r="U17" i="16"/>
  <c r="T3" i="21"/>
  <c r="U17" i="4"/>
  <c r="R19" i="26"/>
  <c r="R15" i="18"/>
  <c r="U3" i="25"/>
  <c r="U14" i="8"/>
  <c r="P14" i="4"/>
  <c r="Q8" i="6"/>
  <c r="M9" i="25"/>
  <c r="P12" i="21"/>
  <c r="S14" i="7"/>
  <c r="U6" i="12"/>
  <c r="S19" i="22"/>
  <c r="R7" i="10"/>
  <c r="Q15" i="23"/>
  <c r="T15" i="16"/>
  <c r="L18" i="13"/>
  <c r="T18" i="15"/>
  <c r="U15" i="5"/>
  <c r="S19" i="18"/>
  <c r="P19" i="26"/>
  <c r="O7" i="16"/>
  <c r="L3" i="7"/>
  <c r="S3" i="8"/>
  <c r="N15" i="3"/>
  <c r="T11" i="8"/>
  <c r="L17" i="17"/>
  <c r="Q9" i="21"/>
  <c r="Q9" i="4"/>
  <c r="U17" i="24"/>
  <c r="S4" i="15"/>
  <c r="M3" i="14"/>
  <c r="U6" i="21"/>
  <c r="N19" i="16"/>
  <c r="R14" i="14"/>
  <c r="P17" i="24"/>
  <c r="L19" i="7"/>
  <c r="S6" i="12"/>
  <c r="R14" i="17"/>
  <c r="T6" i="24"/>
  <c r="S7" i="24"/>
  <c r="O4" i="8"/>
  <c r="Q4" i="13"/>
  <c r="U10" i="5"/>
  <c r="Q15" i="18"/>
  <c r="S14" i="10"/>
  <c r="N8" i="5"/>
  <c r="Q7" i="20"/>
  <c r="N19" i="3"/>
  <c r="U12" i="16"/>
  <c r="M19" i="7"/>
  <c r="T12" i="24"/>
  <c r="Q5" i="24"/>
  <c r="L19" i="4"/>
  <c r="P13" i="24"/>
  <c r="L8" i="16"/>
  <c r="Q17" i="6"/>
  <c r="R18" i="14"/>
  <c r="M18" i="9"/>
  <c r="U5" i="5"/>
  <c r="R12" i="8"/>
  <c r="S7" i="4"/>
  <c r="U8" i="22"/>
  <c r="N7" i="22"/>
  <c r="L2" i="26"/>
  <c r="Q10" i="11"/>
  <c r="T13" i="19"/>
  <c r="U19" i="11"/>
  <c r="Q6" i="9"/>
  <c r="T2" i="24"/>
  <c r="M14" i="3"/>
  <c r="Q16" i="25"/>
  <c r="N9" i="25"/>
  <c r="T16" i="17"/>
  <c r="N7" i="5"/>
  <c r="Q13" i="11"/>
  <c r="N8" i="27"/>
  <c r="Q9" i="24"/>
  <c r="O10" i="26"/>
  <c r="Q13" i="20"/>
  <c r="O13" i="11"/>
  <c r="U10" i="18"/>
  <c r="Q9" i="16"/>
  <c r="T11" i="14"/>
  <c r="T15" i="22"/>
  <c r="L16" i="13"/>
  <c r="M18" i="26"/>
  <c r="T2" i="23"/>
  <c r="R3" i="23"/>
  <c r="U12" i="11"/>
  <c r="Q7" i="26"/>
  <c r="M4" i="16"/>
  <c r="N9" i="8"/>
  <c r="R5" i="11"/>
  <c r="U4" i="17"/>
  <c r="R19" i="22"/>
  <c r="U3" i="26"/>
  <c r="N10" i="17"/>
  <c r="N9" i="6"/>
  <c r="M9" i="12"/>
  <c r="T7" i="19"/>
  <c r="S10" i="6"/>
  <c r="P5" i="15"/>
  <c r="L17" i="13"/>
  <c r="O8" i="15"/>
  <c r="L19" i="23"/>
  <c r="M12" i="17"/>
  <c r="M2" i="25"/>
  <c r="S15" i="7"/>
  <c r="U14" i="9"/>
  <c r="O3" i="12"/>
  <c r="Q11" i="18"/>
  <c r="P12" i="7"/>
  <c r="P16" i="13"/>
  <c r="M19" i="3"/>
  <c r="S15" i="17"/>
  <c r="M10" i="10"/>
  <c r="P4" i="25"/>
  <c r="L19" i="8"/>
  <c r="T3" i="20"/>
  <c r="N19" i="9"/>
  <c r="L14" i="26"/>
  <c r="M5" i="19"/>
  <c r="N15" i="23"/>
  <c r="T12" i="27"/>
  <c r="R12" i="26"/>
  <c r="Q5" i="9"/>
  <c r="M9" i="8"/>
  <c r="R7" i="9"/>
  <c r="Q18" i="25"/>
  <c r="U14" i="18"/>
  <c r="T3" i="22"/>
  <c r="U9" i="19"/>
  <c r="T13" i="6"/>
  <c r="S4" i="27"/>
  <c r="U16" i="10"/>
  <c r="Q5" i="19"/>
  <c r="R6" i="3"/>
  <c r="P5" i="12"/>
  <c r="N17" i="20"/>
  <c r="S2" i="4"/>
  <c r="N4" i="24"/>
  <c r="U13" i="11"/>
  <c r="M2" i="5"/>
  <c r="R2" i="23"/>
  <c r="O5" i="11"/>
  <c r="T14" i="12"/>
  <c r="Q14" i="12"/>
  <c r="R14" i="24"/>
  <c r="R9" i="10"/>
  <c r="N19" i="19"/>
  <c r="N16" i="26"/>
  <c r="M14" i="15"/>
  <c r="Q7" i="18"/>
  <c r="Q13" i="21"/>
  <c r="Q13" i="19"/>
  <c r="N10" i="20"/>
  <c r="O13" i="20"/>
  <c r="L6" i="15"/>
  <c r="S17" i="16"/>
  <c r="N19" i="17"/>
  <c r="R3" i="15"/>
  <c r="R2" i="12"/>
  <c r="U4" i="13"/>
  <c r="Q17" i="5"/>
  <c r="R18" i="20"/>
  <c r="Q8" i="8"/>
  <c r="L3" i="12"/>
  <c r="P17" i="3"/>
  <c r="L4" i="5"/>
  <c r="N12" i="6"/>
  <c r="T9" i="8"/>
  <c r="T11" i="22"/>
  <c r="O11" i="24"/>
  <c r="T12" i="16"/>
  <c r="S16" i="22"/>
  <c r="R13" i="12"/>
  <c r="O14" i="7"/>
  <c r="N17" i="8"/>
  <c r="N9" i="17"/>
  <c r="Q6" i="24"/>
  <c r="M18" i="7"/>
  <c r="L4" i="22"/>
  <c r="L18" i="4"/>
  <c r="U10" i="17"/>
  <c r="P19" i="7"/>
  <c r="Q15" i="11"/>
  <c r="M2" i="13"/>
  <c r="O7" i="18"/>
  <c r="T3" i="27"/>
  <c r="Q14" i="15"/>
  <c r="M6" i="3"/>
  <c r="L4" i="14"/>
  <c r="P11" i="10"/>
  <c r="U19" i="8"/>
  <c r="Q7" i="22"/>
  <c r="T5" i="4"/>
  <c r="L9" i="14"/>
  <c r="O9" i="24"/>
  <c r="P19" i="16"/>
  <c r="L13" i="13"/>
  <c r="N6" i="24"/>
  <c r="Q2" i="25"/>
  <c r="T14" i="26"/>
  <c r="N12" i="24"/>
  <c r="Q15" i="14"/>
  <c r="Q13" i="22"/>
  <c r="P12" i="3"/>
  <c r="S12" i="12"/>
  <c r="O2" i="11"/>
  <c r="N2" i="19"/>
  <c r="L8" i="12"/>
  <c r="M19" i="6"/>
  <c r="N17" i="24"/>
  <c r="N11" i="24"/>
  <c r="R2" i="9"/>
  <c r="P15" i="13"/>
  <c r="P10" i="14"/>
  <c r="R4" i="24"/>
  <c r="L18" i="19"/>
  <c r="P10" i="9"/>
  <c r="M16" i="13"/>
  <c r="S3" i="25"/>
  <c r="S6" i="19"/>
  <c r="Q3" i="15"/>
  <c r="U4" i="16"/>
  <c r="O3" i="10"/>
  <c r="T5" i="20"/>
  <c r="Q13" i="15"/>
  <c r="N13" i="25"/>
  <c r="R2" i="16"/>
  <c r="O15" i="6"/>
  <c r="L8" i="9"/>
  <c r="L13" i="6"/>
  <c r="L6" i="12"/>
  <c r="M4" i="8"/>
  <c r="L9" i="18"/>
  <c r="N4" i="16"/>
  <c r="L19" i="12"/>
  <c r="L8" i="24"/>
  <c r="L12" i="21"/>
  <c r="S13" i="17"/>
  <c r="N15" i="24"/>
  <c r="R15" i="20"/>
  <c r="N5" i="9"/>
  <c r="T19" i="3"/>
  <c r="S18" i="3"/>
  <c r="U15" i="25"/>
  <c r="P9" i="17"/>
  <c r="P7" i="6"/>
  <c r="U18" i="25"/>
  <c r="U13" i="14"/>
  <c r="S5" i="10"/>
  <c r="R9" i="8"/>
  <c r="S7" i="6"/>
  <c r="P13" i="27"/>
  <c r="O14" i="6"/>
  <c r="R19" i="8"/>
  <c r="O10" i="12"/>
  <c r="Q5" i="21"/>
  <c r="L10" i="20"/>
  <c r="T8" i="21"/>
  <c r="O9" i="8"/>
  <c r="R4" i="22"/>
  <c r="Q8" i="9"/>
  <c r="L6" i="24"/>
  <c r="M15" i="27"/>
  <c r="T5" i="8"/>
  <c r="T19" i="25"/>
  <c r="Q2" i="16"/>
  <c r="R6" i="12"/>
  <c r="S17" i="10"/>
  <c r="T2" i="3"/>
  <c r="S6" i="21"/>
  <c r="T4" i="25"/>
  <c r="P15" i="6"/>
  <c r="S13" i="9"/>
  <c r="L11" i="14"/>
  <c r="N4" i="20"/>
  <c r="S9" i="20"/>
  <c r="M18" i="8"/>
  <c r="O2" i="16"/>
  <c r="P11" i="6"/>
  <c r="U16" i="6"/>
  <c r="N6" i="27"/>
  <c r="S17" i="14"/>
  <c r="S16" i="23"/>
  <c r="O4" i="26"/>
  <c r="L14" i="3"/>
  <c r="R4" i="13"/>
  <c r="Q7" i="9"/>
  <c r="R13" i="23"/>
  <c r="O8" i="26"/>
  <c r="N12" i="5"/>
  <c r="U9" i="23"/>
  <c r="Q18" i="16"/>
  <c r="S18" i="17"/>
  <c r="T13" i="8"/>
  <c r="P17" i="9"/>
  <c r="Q19" i="13"/>
  <c r="S12" i="18"/>
  <c r="L4" i="20"/>
  <c r="Q11" i="20"/>
  <c r="O6" i="9"/>
  <c r="R14" i="5"/>
  <c r="L6" i="27"/>
  <c r="L17" i="4"/>
  <c r="R19" i="9"/>
  <c r="U19" i="22"/>
  <c r="T4" i="23"/>
  <c r="O19" i="7"/>
  <c r="Q19" i="23"/>
  <c r="T13" i="10"/>
  <c r="R5" i="3"/>
  <c r="U9" i="26"/>
  <c r="L5" i="11"/>
  <c r="L11" i="8"/>
  <c r="S18" i="20"/>
  <c r="N17" i="7"/>
  <c r="O19" i="10"/>
  <c r="R18" i="10"/>
  <c r="R8" i="7"/>
  <c r="O18" i="6"/>
  <c r="N14" i="10"/>
  <c r="Q14" i="5"/>
  <c r="Q11" i="19"/>
  <c r="Q9" i="5"/>
  <c r="M17" i="11"/>
  <c r="L19" i="17"/>
  <c r="T11" i="7"/>
  <c r="O14" i="16"/>
  <c r="S19" i="16"/>
  <c r="Q2" i="27"/>
  <c r="O10" i="25"/>
  <c r="Q4" i="6"/>
  <c r="T5" i="14"/>
  <c r="R15" i="11"/>
  <c r="N2" i="11"/>
  <c r="U6" i="20"/>
  <c r="M7" i="18"/>
  <c r="P9" i="11"/>
  <c r="N11" i="16"/>
  <c r="U10" i="20"/>
  <c r="T6" i="14"/>
  <c r="R2" i="6"/>
  <c r="Q15" i="20"/>
  <c r="O19" i="25"/>
  <c r="N17" i="26"/>
  <c r="Q8" i="14"/>
  <c r="N7" i="10"/>
  <c r="O18" i="26"/>
  <c r="P3" i="11"/>
  <c r="S4" i="5"/>
  <c r="N17" i="23"/>
  <c r="S14" i="21"/>
  <c r="O19" i="19"/>
  <c r="R6" i="9"/>
  <c r="O18" i="3"/>
  <c r="T6" i="26"/>
  <c r="S19" i="25"/>
  <c r="S16" i="11"/>
  <c r="U7" i="11"/>
  <c r="S2" i="5"/>
  <c r="U3" i="24"/>
  <c r="O8" i="6"/>
  <c r="U13" i="24"/>
  <c r="O16" i="6"/>
  <c r="P5" i="7"/>
  <c r="L3" i="25"/>
  <c r="O3" i="6"/>
  <c r="L9" i="13"/>
  <c r="O18" i="25"/>
  <c r="P6" i="15"/>
  <c r="T9" i="22"/>
  <c r="M7" i="11"/>
  <c r="N10" i="21"/>
  <c r="N13" i="5"/>
  <c r="N12" i="10"/>
  <c r="S10" i="8"/>
  <c r="M14" i="7"/>
  <c r="R3" i="6"/>
  <c r="U7" i="27"/>
  <c r="S13" i="18"/>
  <c r="O5" i="24"/>
  <c r="S16" i="19"/>
  <c r="Q14" i="4"/>
  <c r="T13" i="7"/>
  <c r="O6" i="20"/>
  <c r="P2" i="6"/>
  <c r="O15" i="24"/>
  <c r="R9" i="3"/>
  <c r="R11" i="27"/>
  <c r="M19" i="16"/>
  <c r="S16" i="15"/>
  <c r="N3" i="20"/>
  <c r="M5" i="8"/>
  <c r="R19" i="11"/>
  <c r="R3" i="13"/>
  <c r="T15" i="10"/>
  <c r="M8" i="25"/>
  <c r="N11" i="23"/>
  <c r="S5" i="25"/>
  <c r="L17" i="9"/>
  <c r="Q3" i="21"/>
  <c r="R4" i="16"/>
  <c r="T17" i="20"/>
  <c r="L7" i="12"/>
  <c r="M6" i="25"/>
  <c r="S12" i="27"/>
  <c r="U14" i="21"/>
  <c r="S9" i="5"/>
  <c r="Q2" i="22"/>
  <c r="S12" i="9"/>
  <c r="M12" i="15"/>
  <c r="L4" i="6"/>
  <c r="P9" i="14"/>
  <c r="S17" i="26"/>
  <c r="U17" i="23"/>
  <c r="O10" i="14"/>
  <c r="T13" i="22"/>
  <c r="N15" i="9"/>
  <c r="R6" i="6"/>
  <c r="N15" i="19"/>
  <c r="L14" i="7"/>
  <c r="P12" i="19"/>
  <c r="Q8" i="16"/>
  <c r="P19" i="4"/>
  <c r="N12" i="22"/>
  <c r="N18" i="8"/>
  <c r="M19" i="10"/>
  <c r="P7" i="3"/>
  <c r="U18" i="16"/>
  <c r="R18" i="26"/>
  <c r="S12" i="22"/>
  <c r="R10" i="20"/>
  <c r="L3" i="19"/>
  <c r="N17" i="25"/>
  <c r="Q3" i="7"/>
  <c r="Q5" i="12"/>
  <c r="S15" i="16"/>
  <c r="Q10" i="18"/>
  <c r="N18" i="20"/>
  <c r="L8" i="21"/>
  <c r="P15" i="24"/>
  <c r="Q8" i="10"/>
  <c r="O10" i="3"/>
  <c r="R3" i="17"/>
  <c r="U10" i="16"/>
  <c r="R5" i="18"/>
  <c r="Q12" i="9"/>
  <c r="T2" i="20"/>
  <c r="L4" i="17"/>
  <c r="R5" i="26"/>
  <c r="U8" i="27"/>
  <c r="Q2" i="5"/>
  <c r="T19" i="24"/>
  <c r="S17" i="15"/>
  <c r="N2" i="9"/>
  <c r="S9" i="12"/>
  <c r="L5" i="5"/>
  <c r="U14" i="5"/>
  <c r="U9" i="27"/>
  <c r="N2" i="4"/>
  <c r="U12" i="7"/>
  <c r="P7" i="4"/>
  <c r="Q16" i="9"/>
  <c r="S3" i="22"/>
  <c r="Q10" i="24"/>
  <c r="T15" i="24"/>
  <c r="S7" i="9"/>
  <c r="P18" i="23"/>
  <c r="P14" i="9"/>
  <c r="R18" i="16"/>
  <c r="T10" i="20"/>
  <c r="P17" i="10"/>
  <c r="P3" i="22"/>
  <c r="S4" i="11"/>
  <c r="M10" i="11"/>
  <c r="M12" i="10"/>
  <c r="N14" i="12"/>
  <c r="U15" i="23"/>
  <c r="N9" i="23"/>
  <c r="T16" i="7"/>
  <c r="P8" i="18"/>
  <c r="Q14" i="14"/>
  <c r="O17" i="3"/>
  <c r="Q16" i="20"/>
  <c r="Q9" i="17"/>
  <c r="Q9" i="22"/>
  <c r="L7" i="5"/>
  <c r="Q6" i="22"/>
  <c r="O19" i="5"/>
  <c r="T4" i="20"/>
  <c r="R10" i="5"/>
  <c r="M15" i="14"/>
  <c r="L17" i="26"/>
  <c r="U5" i="27"/>
  <c r="Q2" i="17"/>
  <c r="N2" i="3"/>
  <c r="O14" i="15"/>
  <c r="U8" i="7"/>
  <c r="P16" i="19"/>
  <c r="P7" i="7"/>
  <c r="S12" i="11"/>
  <c r="O8" i="22"/>
  <c r="R19" i="4"/>
  <c r="M15" i="21"/>
  <c r="L16" i="22"/>
  <c r="T9" i="3"/>
  <c r="S10" i="11"/>
  <c r="P13" i="8"/>
  <c r="T14" i="15"/>
  <c r="Q5" i="8"/>
  <c r="T13" i="23"/>
  <c r="T6" i="8"/>
  <c r="M5" i="23"/>
  <c r="L14" i="18"/>
  <c r="T5" i="5"/>
  <c r="P14" i="17"/>
  <c r="L8" i="19"/>
  <c r="N5" i="27"/>
  <c r="P3" i="23"/>
  <c r="L5" i="10"/>
  <c r="M13" i="15"/>
  <c r="U10" i="3"/>
  <c r="Q17" i="25"/>
  <c r="O15" i="8"/>
  <c r="M7" i="3"/>
  <c r="P2" i="27"/>
  <c r="L6" i="8"/>
  <c r="T13" i="9"/>
  <c r="U7" i="19"/>
  <c r="M4" i="17"/>
  <c r="R8" i="6"/>
  <c r="Q2" i="15"/>
  <c r="L19" i="26"/>
  <c r="T6" i="13"/>
  <c r="N9" i="3"/>
  <c r="M2" i="7"/>
  <c r="T19" i="16"/>
  <c r="P7" i="18"/>
  <c r="M12" i="22"/>
  <c r="O14" i="3"/>
  <c r="M10" i="13"/>
  <c r="U2" i="10"/>
  <c r="L11" i="9"/>
  <c r="T19" i="20"/>
  <c r="S12" i="13"/>
  <c r="L14" i="25"/>
  <c r="L9" i="17"/>
  <c r="L18" i="6"/>
  <c r="S7" i="20"/>
  <c r="L4" i="10"/>
  <c r="P17" i="23"/>
  <c r="Q18" i="14"/>
  <c r="N14" i="9"/>
  <c r="M14" i="4"/>
  <c r="S5" i="15"/>
  <c r="N4" i="25"/>
  <c r="M7" i="26"/>
  <c r="M17" i="19"/>
  <c r="P6" i="23"/>
  <c r="Q3" i="16"/>
  <c r="R14" i="13"/>
  <c r="O11" i="21"/>
  <c r="U19" i="18"/>
  <c r="S11" i="3"/>
  <c r="R14" i="4"/>
  <c r="P9" i="23"/>
  <c r="U11" i="9"/>
  <c r="M17" i="13"/>
  <c r="U12" i="27"/>
  <c r="M2" i="27"/>
  <c r="M19" i="13"/>
  <c r="N6" i="19"/>
  <c r="L17" i="3"/>
  <c r="Q14" i="20"/>
  <c r="Q10" i="23"/>
  <c r="R9" i="14"/>
  <c r="R9" i="22"/>
  <c r="L3" i="9"/>
  <c r="P3" i="25"/>
  <c r="Q3" i="20"/>
  <c r="P13" i="17"/>
  <c r="L13" i="18"/>
  <c r="Q7" i="12"/>
  <c r="Q8" i="23"/>
  <c r="T12" i="14"/>
  <c r="R3" i="7"/>
  <c r="L15" i="13"/>
  <c r="T10" i="9"/>
  <c r="Q14" i="23"/>
  <c r="R16" i="17"/>
  <c r="U10" i="15"/>
  <c r="R2" i="5"/>
  <c r="S19" i="5"/>
  <c r="O7" i="21"/>
  <c r="S12" i="4"/>
  <c r="O18" i="22"/>
  <c r="O16" i="12"/>
  <c r="U6" i="7"/>
  <c r="U10" i="24"/>
  <c r="R2" i="24"/>
  <c r="P6" i="27"/>
  <c r="N8" i="20"/>
  <c r="R12" i="25"/>
  <c r="R5" i="8"/>
  <c r="U18" i="19"/>
  <c r="T9" i="7"/>
  <c r="M16" i="27"/>
  <c r="M17" i="16"/>
  <c r="M8" i="22"/>
  <c r="M19" i="9"/>
  <c r="O19" i="18"/>
  <c r="R13" i="9"/>
  <c r="U3" i="4"/>
  <c r="N6" i="13"/>
  <c r="R2" i="8"/>
  <c r="T17" i="22"/>
  <c r="T19" i="27"/>
  <c r="N9" i="4"/>
  <c r="R13" i="8"/>
  <c r="S18" i="11"/>
  <c r="L7" i="11"/>
  <c r="Q11" i="26"/>
  <c r="L18" i="5"/>
  <c r="R3" i="10"/>
  <c r="U15" i="9"/>
  <c r="O4" i="4"/>
  <c r="U2" i="19"/>
  <c r="U12" i="20"/>
  <c r="T2" i="11"/>
  <c r="Q7" i="24"/>
  <c r="L12" i="9"/>
  <c r="M18" i="24"/>
  <c r="S3" i="17"/>
  <c r="Q3" i="10"/>
  <c r="R9" i="9"/>
  <c r="P16" i="14"/>
  <c r="R3" i="3"/>
  <c r="Q5" i="13"/>
  <c r="M17" i="8"/>
  <c r="T14" i="5"/>
  <c r="Q9" i="15"/>
  <c r="M13" i="18"/>
  <c r="M4" i="23"/>
  <c r="S19" i="7"/>
  <c r="U15" i="27"/>
  <c r="O2" i="15"/>
  <c r="O12" i="8"/>
  <c r="L8" i="11"/>
  <c r="M12" i="13"/>
  <c r="M17" i="6"/>
  <c r="O3" i="8"/>
  <c r="Q16" i="27"/>
  <c r="L18" i="7"/>
  <c r="U16" i="17"/>
  <c r="T16" i="4"/>
  <c r="S13" i="5"/>
  <c r="U3" i="19"/>
  <c r="T15" i="14"/>
  <c r="N10" i="25"/>
  <c r="L13" i="12"/>
  <c r="T12" i="7"/>
  <c r="R15" i="19"/>
  <c r="T19" i="17"/>
  <c r="O5" i="4"/>
  <c r="U2" i="27"/>
  <c r="T2" i="15"/>
  <c r="Q6" i="16"/>
  <c r="S18" i="27"/>
  <c r="R4" i="23"/>
  <c r="P15" i="14"/>
  <c r="O18" i="9"/>
  <c r="Q19" i="3"/>
  <c r="R16" i="14"/>
  <c r="M16" i="14"/>
  <c r="U19" i="19"/>
  <c r="N6" i="7"/>
  <c r="U18" i="3"/>
  <c r="S8" i="18"/>
  <c r="T8" i="5"/>
  <c r="P9" i="7"/>
  <c r="L10" i="26"/>
  <c r="R17" i="4"/>
  <c r="U4" i="3"/>
  <c r="M17" i="3"/>
  <c r="N18" i="13"/>
  <c r="N2" i="27"/>
  <c r="R8" i="11"/>
  <c r="L7" i="16"/>
  <c r="Q12" i="11"/>
  <c r="U3" i="7"/>
  <c r="R17" i="25"/>
  <c r="Q3" i="24"/>
  <c r="P17" i="12"/>
  <c r="Q16" i="17"/>
  <c r="M14" i="25"/>
  <c r="S7" i="7"/>
  <c r="Q16" i="21"/>
  <c r="T10" i="14"/>
  <c r="M18" i="21"/>
  <c r="T14" i="7"/>
  <c r="U17" i="7"/>
  <c r="R13" i="21"/>
  <c r="R16" i="22"/>
  <c r="O10" i="27"/>
  <c r="O17" i="18"/>
  <c r="U14" i="19"/>
  <c r="Q10" i="13"/>
  <c r="Q15" i="5"/>
  <c r="M10" i="15"/>
  <c r="R11" i="9"/>
  <c r="M16" i="19"/>
  <c r="P19" i="21"/>
  <c r="L2" i="10"/>
  <c r="L10" i="9"/>
  <c r="P10" i="4"/>
  <c r="P4" i="19"/>
  <c r="Q3" i="13"/>
  <c r="L14" i="16"/>
  <c r="Q12" i="14"/>
  <c r="R16" i="11"/>
  <c r="N14" i="4"/>
  <c r="O13" i="9"/>
  <c r="U15" i="15"/>
  <c r="U18" i="11"/>
  <c r="S18" i="19"/>
  <c r="P2" i="17"/>
  <c r="L13" i="11"/>
  <c r="O7" i="27"/>
  <c r="Q14" i="18"/>
  <c r="S8" i="4"/>
  <c r="M18" i="15"/>
  <c r="R15" i="21"/>
  <c r="N9" i="22"/>
  <c r="P9" i="6"/>
  <c r="U7" i="8"/>
  <c r="M9" i="24"/>
  <c r="T4" i="6"/>
  <c r="L16" i="24"/>
  <c r="S11" i="18"/>
  <c r="R11" i="25"/>
  <c r="L11" i="11"/>
  <c r="N12" i="8"/>
  <c r="M6" i="19"/>
  <c r="M11" i="7"/>
  <c r="R18" i="21"/>
  <c r="T17" i="15"/>
  <c r="Q14" i="7"/>
  <c r="Q13" i="23"/>
  <c r="Q3" i="5"/>
  <c r="T15" i="7"/>
  <c r="L2" i="12"/>
  <c r="U2" i="25"/>
  <c r="L15" i="5"/>
  <c r="M14" i="11"/>
  <c r="M16" i="9"/>
  <c r="Q11" i="13"/>
  <c r="P9" i="22"/>
  <c r="R13" i="13"/>
  <c r="T4" i="21"/>
  <c r="P2" i="5"/>
  <c r="T7" i="13"/>
  <c r="M16" i="12"/>
  <c r="T19" i="15"/>
  <c r="T10" i="6"/>
  <c r="U9" i="15"/>
  <c r="N6" i="21"/>
  <c r="T17" i="24"/>
  <c r="P10" i="26"/>
  <c r="Q12" i="18"/>
  <c r="R7" i="20"/>
  <c r="Q15" i="16"/>
  <c r="L12" i="13"/>
  <c r="S14" i="27"/>
  <c r="P15" i="26"/>
  <c r="Q5" i="27"/>
  <c r="U8" i="15"/>
  <c r="S5" i="3"/>
  <c r="U14" i="17"/>
  <c r="U6" i="23"/>
  <c r="M18" i="19"/>
  <c r="R7" i="25"/>
  <c r="Q7" i="4"/>
  <c r="N10" i="22"/>
  <c r="S5" i="22"/>
  <c r="R8" i="14"/>
  <c r="T10" i="24"/>
  <c r="N15" i="7"/>
  <c r="M7" i="4"/>
  <c r="O16" i="16"/>
  <c r="P11" i="21"/>
  <c r="O15" i="9"/>
  <c r="S17" i="25"/>
  <c r="N13" i="16"/>
  <c r="S6" i="10"/>
  <c r="U19" i="20"/>
  <c r="O10" i="10"/>
  <c r="O18" i="10"/>
  <c r="S17" i="5"/>
  <c r="O14" i="14"/>
  <c r="P2" i="21"/>
  <c r="R4" i="6"/>
  <c r="R3" i="14"/>
  <c r="S17" i="11"/>
  <c r="T13" i="3"/>
  <c r="L16" i="7"/>
  <c r="O5" i="17"/>
  <c r="Q15" i="26"/>
  <c r="R15" i="24"/>
  <c r="N12" i="17"/>
  <c r="M16" i="11"/>
  <c r="N7" i="15"/>
  <c r="L17" i="16"/>
  <c r="O15" i="15"/>
  <c r="S2" i="16"/>
  <c r="P2" i="14"/>
  <c r="P13" i="23"/>
  <c r="S7" i="11"/>
  <c r="S4" i="17"/>
  <c r="L14" i="15"/>
  <c r="S11" i="25"/>
  <c r="N18" i="25"/>
  <c r="P4" i="5"/>
  <c r="M6" i="17"/>
  <c r="O6" i="13"/>
  <c r="L6" i="18"/>
  <c r="L13" i="7"/>
  <c r="P3" i="7"/>
  <c r="M9" i="20"/>
  <c r="T4" i="17"/>
  <c r="M3" i="25"/>
  <c r="T17" i="27"/>
  <c r="Q14" i="3"/>
  <c r="L16" i="23"/>
  <c r="R19" i="21"/>
  <c r="S8" i="12"/>
  <c r="R17" i="18"/>
  <c r="P3" i="12"/>
  <c r="S10" i="27"/>
  <c r="P6" i="9"/>
  <c r="N14" i="17"/>
  <c r="S18" i="7"/>
  <c r="Q6" i="18"/>
  <c r="U11" i="27"/>
  <c r="R10" i="4"/>
  <c r="P19" i="22"/>
  <c r="S3" i="26"/>
  <c r="R15" i="26"/>
  <c r="N12" i="16"/>
  <c r="Q14" i="25"/>
  <c r="T5" i="13"/>
  <c r="M2" i="17"/>
  <c r="U19" i="5"/>
  <c r="U13" i="23"/>
  <c r="M15" i="16"/>
  <c r="S8" i="3"/>
  <c r="Q3" i="23"/>
  <c r="R13" i="16"/>
  <c r="L6" i="26"/>
  <c r="N9" i="12"/>
  <c r="O6" i="14"/>
  <c r="P9" i="3"/>
  <c r="M12" i="26"/>
  <c r="R10" i="10"/>
  <c r="N2" i="23"/>
  <c r="P19" i="14"/>
  <c r="R18" i="24"/>
  <c r="S16" i="25"/>
  <c r="U13" i="17"/>
  <c r="P12" i="15"/>
  <c r="Q9" i="20"/>
  <c r="S16" i="3"/>
  <c r="L12" i="23"/>
  <c r="Q4" i="10"/>
  <c r="O11" i="7"/>
  <c r="U6" i="25"/>
  <c r="P12" i="26"/>
  <c r="R10" i="9"/>
  <c r="Q9" i="7"/>
  <c r="U2" i="11"/>
  <c r="L7" i="21"/>
  <c r="L7" i="10"/>
  <c r="L19" i="14"/>
  <c r="L9" i="22"/>
  <c r="T17" i="8"/>
  <c r="T5" i="26"/>
  <c r="O2" i="21"/>
  <c r="R4" i="14"/>
  <c r="L14" i="4"/>
  <c r="U17" i="14"/>
  <c r="T18" i="20"/>
  <c r="O5" i="23"/>
  <c r="P10" i="23"/>
  <c r="S19" i="9"/>
  <c r="O4" i="18"/>
  <c r="R16" i="4"/>
  <c r="T19" i="13"/>
  <c r="N18" i="6"/>
  <c r="L17" i="23"/>
  <c r="S14" i="11"/>
  <c r="T8" i="13"/>
  <c r="Q8" i="21"/>
  <c r="L10" i="17"/>
  <c r="Q3" i="18"/>
  <c r="P2" i="11"/>
  <c r="U6" i="14"/>
  <c r="N12" i="9"/>
  <c r="N11" i="17"/>
  <c r="P18" i="5"/>
  <c r="U18" i="20"/>
  <c r="O11" i="6"/>
  <c r="M10" i="5"/>
  <c r="Q16" i="22"/>
  <c r="S5" i="14"/>
  <c r="N3" i="18"/>
  <c r="O14" i="27"/>
  <c r="L10" i="23"/>
  <c r="M12" i="6"/>
  <c r="Q6" i="15"/>
  <c r="M3" i="15"/>
  <c r="M6" i="10"/>
  <c r="U13" i="25"/>
  <c r="T11" i="6"/>
  <c r="M15" i="17"/>
  <c r="T7" i="20"/>
  <c r="R12" i="14"/>
  <c r="N13" i="17"/>
  <c r="U19" i="21"/>
  <c r="R10" i="16"/>
  <c r="L3" i="14"/>
  <c r="T14" i="14"/>
  <c r="Q18" i="13"/>
  <c r="M5" i="4"/>
  <c r="T3" i="13"/>
  <c r="O15" i="21"/>
  <c r="T16" i="3"/>
  <c r="M19" i="27"/>
  <c r="O12" i="4"/>
  <c r="Q17" i="27"/>
  <c r="S19" i="6"/>
  <c r="N15" i="20"/>
  <c r="R6" i="19"/>
  <c r="N4" i="7"/>
  <c r="U5" i="14"/>
  <c r="L15" i="8"/>
  <c r="R19" i="6"/>
  <c r="U4" i="18"/>
  <c r="N2" i="22"/>
  <c r="N4" i="23"/>
  <c r="O4" i="3"/>
  <c r="R10" i="14"/>
  <c r="O19" i="13"/>
  <c r="M2" i="3"/>
  <c r="S5" i="13"/>
  <c r="S9" i="19"/>
  <c r="O18" i="15"/>
  <c r="U14" i="11"/>
  <c r="R17" i="27"/>
  <c r="S10" i="5"/>
  <c r="Q14" i="16"/>
  <c r="N2" i="14"/>
  <c r="L8" i="26"/>
  <c r="S3" i="18"/>
  <c r="T7" i="9"/>
  <c r="N15" i="27"/>
  <c r="S18" i="18"/>
  <c r="L2" i="25"/>
  <c r="O3" i="17"/>
  <c r="P16" i="3"/>
  <c r="M8" i="11"/>
  <c r="O6" i="8"/>
  <c r="O17" i="22"/>
  <c r="Q4" i="9"/>
  <c r="R13" i="7"/>
  <c r="T19" i="9"/>
  <c r="P7" i="11"/>
  <c r="O6" i="27"/>
  <c r="P11" i="3"/>
  <c r="M13" i="6"/>
  <c r="N6" i="12"/>
  <c r="P17" i="14"/>
  <c r="Q19" i="10"/>
  <c r="L18" i="25"/>
  <c r="Q16" i="6"/>
  <c r="R2" i="4"/>
  <c r="T14" i="27"/>
  <c r="L2" i="20"/>
  <c r="U11" i="25"/>
  <c r="M18" i="18"/>
  <c r="L11" i="13"/>
  <c r="O8" i="18"/>
  <c r="M5" i="5"/>
  <c r="N6" i="3"/>
  <c r="L2" i="14"/>
  <c r="N16" i="18"/>
  <c r="U5" i="20"/>
  <c r="U5" i="17"/>
  <c r="R8" i="9"/>
  <c r="O9" i="26"/>
  <c r="O8" i="3"/>
  <c r="L10" i="10"/>
  <c r="M12" i="23"/>
  <c r="S14" i="9"/>
  <c r="P18" i="25"/>
  <c r="M9" i="9"/>
  <c r="U18" i="14"/>
  <c r="L9" i="8"/>
  <c r="M9" i="22"/>
  <c r="R10" i="6"/>
  <c r="Q14" i="19"/>
  <c r="S11" i="26"/>
  <c r="T17" i="10"/>
  <c r="P5" i="17"/>
  <c r="R9" i="17"/>
  <c r="L7" i="25"/>
  <c r="S6" i="17"/>
  <c r="T15" i="5"/>
  <c r="M10" i="9"/>
  <c r="U19" i="15"/>
  <c r="N16" i="20"/>
  <c r="Q9" i="18"/>
  <c r="T5" i="23"/>
  <c r="P11" i="25"/>
  <c r="T12" i="26"/>
  <c r="P10" i="24"/>
  <c r="N12" i="20"/>
  <c r="Q15" i="9"/>
  <c r="U13" i="27"/>
  <c r="O5" i="22"/>
  <c r="O13" i="16"/>
  <c r="L8" i="15"/>
  <c r="N15" i="16"/>
  <c r="R9" i="25"/>
  <c r="P5" i="4"/>
  <c r="O5" i="13"/>
  <c r="S16" i="10"/>
  <c r="R6" i="22"/>
  <c r="O7" i="7"/>
  <c r="N12" i="13"/>
  <c r="R16" i="5"/>
  <c r="R9" i="7"/>
  <c r="N19" i="13"/>
  <c r="Q17" i="20"/>
  <c r="O19" i="23"/>
  <c r="N17" i="22"/>
  <c r="M11" i="23"/>
  <c r="R19" i="24"/>
  <c r="S11" i="4"/>
  <c r="N13" i="11"/>
  <c r="U15" i="14"/>
  <c r="M2" i="20"/>
  <c r="L14" i="6"/>
  <c r="L9" i="11"/>
  <c r="P6" i="10"/>
  <c r="Q11" i="12"/>
  <c r="T11" i="24"/>
  <c r="Q12" i="17"/>
  <c r="L18" i="16"/>
  <c r="T16" i="5"/>
  <c r="L5" i="8"/>
  <c r="N6" i="25"/>
  <c r="M19" i="24"/>
  <c r="U2" i="12"/>
  <c r="T17" i="17"/>
  <c r="O6" i="24"/>
  <c r="U18" i="12"/>
  <c r="L18" i="23"/>
  <c r="T18" i="24"/>
  <c r="U2" i="4"/>
  <c r="U15" i="18"/>
  <c r="U10" i="10"/>
  <c r="O11" i="14"/>
  <c r="M10" i="18"/>
  <c r="N7" i="8"/>
  <c r="M10" i="23"/>
  <c r="L8" i="8"/>
  <c r="R17" i="6"/>
  <c r="R17" i="19"/>
  <c r="O12" i="17"/>
  <c r="N19" i="25"/>
  <c r="N4" i="27"/>
  <c r="L3" i="16"/>
  <c r="R14" i="18"/>
  <c r="P9" i="24"/>
  <c r="U18" i="22"/>
  <c r="L15" i="11"/>
  <c r="M8" i="4"/>
  <c r="U11" i="15"/>
  <c r="P3" i="18"/>
  <c r="T6" i="9"/>
  <c r="L5" i="12"/>
  <c r="Q4" i="14"/>
  <c r="S4" i="23"/>
  <c r="U5" i="16"/>
  <c r="S10" i="16"/>
  <c r="R3" i="21"/>
  <c r="T19" i="11"/>
  <c r="U13" i="22"/>
  <c r="R11" i="6"/>
  <c r="Q17" i="23"/>
  <c r="S7" i="17"/>
  <c r="N13" i="15"/>
  <c r="T10" i="11"/>
  <c r="O5" i="6"/>
  <c r="Q14" i="10"/>
  <c r="R14" i="19"/>
  <c r="U11" i="19"/>
  <c r="L12" i="3"/>
  <c r="S19" i="24"/>
  <c r="Q17" i="13"/>
  <c r="N3" i="27"/>
  <c r="O3" i="24"/>
  <c r="M16" i="23"/>
  <c r="U9" i="13"/>
  <c r="U19" i="27"/>
  <c r="S9" i="13"/>
  <c r="U10" i="7"/>
  <c r="T18" i="25"/>
  <c r="U11" i="4"/>
  <c r="R2" i="7"/>
  <c r="O18" i="11"/>
  <c r="R8" i="16"/>
  <c r="M8" i="9"/>
  <c r="O15" i="7"/>
  <c r="N8" i="19"/>
  <c r="S7" i="19"/>
  <c r="P12" i="27"/>
  <c r="S15" i="8"/>
  <c r="P15" i="27"/>
  <c r="L14" i="22"/>
  <c r="N8" i="18"/>
  <c r="R13" i="22"/>
  <c r="S13" i="10"/>
  <c r="N9" i="5"/>
  <c r="S7" i="27"/>
  <c r="P19" i="25"/>
  <c r="P7" i="26"/>
  <c r="O18" i="8"/>
  <c r="Q12" i="15"/>
  <c r="N13" i="14"/>
  <c r="O12" i="26"/>
  <c r="N11" i="14"/>
  <c r="R7" i="19"/>
  <c r="L17" i="14"/>
  <c r="T5" i="27"/>
  <c r="N10" i="23"/>
  <c r="N11" i="7"/>
  <c r="M18" i="23"/>
  <c r="T17" i="14"/>
  <c r="N5" i="12"/>
  <c r="M10" i="22"/>
  <c r="R4" i="7"/>
  <c r="Q17" i="17"/>
  <c r="L15" i="12"/>
  <c r="N3" i="7"/>
  <c r="R11" i="14"/>
  <c r="T14" i="3"/>
  <c r="L11" i="20"/>
  <c r="P8" i="11"/>
  <c r="M6" i="8"/>
  <c r="P10" i="5"/>
  <c r="M15" i="5"/>
  <c r="U14" i="3"/>
  <c r="L4" i="4"/>
  <c r="R19" i="5"/>
  <c r="M6" i="22"/>
  <c r="N5" i="11"/>
  <c r="O15" i="25"/>
  <c r="Q4" i="18"/>
  <c r="T7" i="21"/>
  <c r="P6" i="12"/>
  <c r="U11" i="8"/>
  <c r="O9" i="5"/>
  <c r="Q5" i="5"/>
  <c r="R17" i="24"/>
  <c r="P4" i="3"/>
  <c r="Q18" i="17"/>
  <c r="N13" i="19"/>
  <c r="O5" i="16"/>
  <c r="T17" i="11"/>
  <c r="R7" i="24"/>
  <c r="R18" i="12"/>
  <c r="L9" i="26"/>
  <c r="P15" i="22"/>
  <c r="L5" i="19"/>
  <c r="N2" i="13"/>
  <c r="U11" i="18"/>
  <c r="M17" i="12"/>
  <c r="O18" i="14"/>
  <c r="T3" i="15"/>
  <c r="S14" i="19"/>
  <c r="T13" i="25"/>
  <c r="T11" i="5"/>
  <c r="N5" i="25"/>
  <c r="Q4" i="23"/>
  <c r="T4" i="15"/>
  <c r="U6" i="22"/>
  <c r="U4" i="7"/>
  <c r="P7" i="22"/>
  <c r="L15" i="20"/>
  <c r="M5" i="22"/>
  <c r="M14" i="23"/>
  <c r="N8" i="8"/>
  <c r="N11" i="8"/>
  <c r="T9" i="19"/>
  <c r="O11" i="16"/>
  <c r="O17" i="7"/>
  <c r="T16" i="23"/>
  <c r="S14" i="6"/>
  <c r="L15" i="25"/>
  <c r="N19" i="6"/>
  <c r="P11" i="19"/>
  <c r="L4" i="8"/>
  <c r="O10" i="15"/>
  <c r="R4" i="3"/>
  <c r="N3" i="24"/>
  <c r="Q7" i="17"/>
  <c r="M16" i="8"/>
  <c r="R19" i="27"/>
  <c r="U12" i="12"/>
  <c r="L5" i="7"/>
  <c r="P9" i="25"/>
  <c r="S5" i="21"/>
  <c r="O8" i="11"/>
  <c r="L10" i="7"/>
  <c r="L14" i="5"/>
  <c r="L19" i="24"/>
  <c r="S12" i="21"/>
  <c r="R7" i="14"/>
  <c r="M15" i="20"/>
  <c r="P13" i="3"/>
  <c r="Q11" i="6"/>
  <c r="S10" i="14"/>
  <c r="Q10" i="16"/>
  <c r="N8" i="26"/>
  <c r="Q11" i="24"/>
  <c r="T12" i="17"/>
  <c r="U6" i="17"/>
  <c r="N14" i="19"/>
  <c r="M7" i="27"/>
  <c r="U2" i="26"/>
  <c r="S9" i="3"/>
  <c r="Q10" i="15"/>
  <c r="Q9" i="19"/>
  <c r="P10" i="6"/>
  <c r="L12" i="11"/>
  <c r="N16" i="17"/>
  <c r="P14" i="12"/>
  <c r="O19" i="3"/>
  <c r="P3" i="10"/>
  <c r="L10" i="15"/>
  <c r="L19" i="21"/>
  <c r="O17" i="6"/>
  <c r="L10" i="8"/>
  <c r="P15" i="17"/>
  <c r="Q19" i="11"/>
  <c r="U2" i="23"/>
  <c r="Q16" i="5"/>
  <c r="M4" i="20"/>
  <c r="S19" i="23"/>
  <c r="S6" i="11"/>
  <c r="L7" i="24"/>
  <c r="N10" i="24"/>
  <c r="R17" i="21"/>
  <c r="R17" i="10"/>
  <c r="M3" i="10"/>
  <c r="L12" i="16"/>
  <c r="N19" i="26"/>
  <c r="O19" i="6"/>
  <c r="M19" i="26"/>
  <c r="R5" i="17"/>
  <c r="T3" i="10"/>
  <c r="S12" i="6"/>
  <c r="O16" i="5"/>
  <c r="M18" i="27"/>
  <c r="Q18" i="19"/>
  <c r="O18" i="5"/>
  <c r="R7" i="4"/>
  <c r="S6" i="13"/>
  <c r="R13" i="17"/>
  <c r="S8" i="13"/>
  <c r="P11" i="9"/>
  <c r="M2" i="18"/>
  <c r="N11" i="5"/>
  <c r="O10" i="9"/>
  <c r="R8" i="18"/>
  <c r="O11" i="4"/>
  <c r="U10" i="26"/>
  <c r="M16" i="5"/>
  <c r="P16" i="15"/>
  <c r="M12" i="14"/>
  <c r="Q15" i="8"/>
  <c r="N15" i="21"/>
  <c r="S18" i="8"/>
  <c r="P13" i="4"/>
  <c r="M16" i="25"/>
  <c r="S8" i="27"/>
  <c r="P14" i="27"/>
  <c r="T19" i="7"/>
  <c r="L19" i="18"/>
  <c r="L16" i="3"/>
  <c r="S2" i="23"/>
  <c r="N7" i="23"/>
  <c r="S18" i="12"/>
  <c r="P6" i="11"/>
  <c r="M15" i="26"/>
  <c r="R13" i="15"/>
  <c r="M5" i="16"/>
  <c r="L19" i="16"/>
  <c r="S2" i="9"/>
  <c r="O19" i="27"/>
  <c r="P14" i="15"/>
  <c r="R6" i="4"/>
  <c r="P3" i="17"/>
  <c r="N16" i="9"/>
  <c r="Q11" i="9"/>
  <c r="R13" i="3"/>
  <c r="U10" i="11"/>
  <c r="U5" i="7"/>
  <c r="S15" i="4"/>
  <c r="S2" i="11"/>
  <c r="U5" i="11"/>
  <c r="L5" i="27"/>
  <c r="N11" i="19"/>
  <c r="T7" i="7"/>
  <c r="O3" i="11"/>
  <c r="Q12" i="5"/>
  <c r="L18" i="20"/>
  <c r="O11" i="15"/>
  <c r="P8" i="4"/>
  <c r="T14" i="6"/>
  <c r="N11" i="11"/>
  <c r="R6" i="17"/>
  <c r="O13" i="17"/>
  <c r="O2" i="23"/>
  <c r="P4" i="16"/>
  <c r="M16" i="22"/>
  <c r="L2" i="11"/>
  <c r="T6" i="22"/>
  <c r="T7" i="16"/>
  <c r="M12" i="3"/>
  <c r="R8" i="27"/>
  <c r="Q12" i="13"/>
  <c r="O7" i="14"/>
  <c r="S18" i="5"/>
  <c r="S15" i="3"/>
  <c r="N17" i="21"/>
  <c r="T7" i="22"/>
  <c r="T3" i="5"/>
  <c r="P8" i="8"/>
  <c r="M15" i="22"/>
  <c r="O13" i="25"/>
  <c r="Q6" i="17"/>
  <c r="U12" i="26"/>
  <c r="O11" i="11"/>
  <c r="L3" i="20"/>
  <c r="U8" i="5"/>
  <c r="S5" i="9"/>
  <c r="T12" i="13"/>
  <c r="L14" i="8"/>
  <c r="O9" i="22"/>
  <c r="Q6" i="27"/>
  <c r="U18" i="13"/>
  <c r="U10" i="22"/>
  <c r="T15" i="23"/>
  <c r="P18" i="18"/>
  <c r="O16" i="18"/>
  <c r="T17" i="19"/>
  <c r="S3" i="12"/>
  <c r="O17" i="8"/>
  <c r="S4" i="7"/>
  <c r="R4" i="9"/>
  <c r="T14" i="4"/>
  <c r="T2" i="6"/>
  <c r="P18" i="6"/>
  <c r="P2" i="16"/>
  <c r="Q17" i="12"/>
  <c r="T9" i="6"/>
  <c r="T4" i="4"/>
  <c r="S5" i="23"/>
  <c r="S7" i="8"/>
  <c r="M15" i="13"/>
  <c r="P6" i="18"/>
  <c r="L2" i="8"/>
  <c r="Q14" i="27"/>
  <c r="O15" i="27"/>
  <c r="U11" i="5"/>
  <c r="O19" i="26"/>
  <c r="S19" i="8"/>
  <c r="Q5" i="17"/>
  <c r="R15" i="3"/>
  <c r="L11" i="23"/>
  <c r="T12" i="11"/>
  <c r="L3" i="11"/>
  <c r="S15" i="10"/>
  <c r="M11" i="14"/>
  <c r="P5" i="26"/>
  <c r="O9" i="9"/>
  <c r="U10" i="23"/>
  <c r="P11" i="17"/>
  <c r="S13" i="16"/>
  <c r="L5" i="14"/>
  <c r="R3" i="22"/>
  <c r="U15" i="7"/>
  <c r="N2" i="15"/>
  <c r="R16" i="7"/>
  <c r="Q9" i="12"/>
  <c r="L12" i="15"/>
  <c r="R11" i="10"/>
  <c r="N3" i="17"/>
  <c r="T11" i="25"/>
  <c r="P16" i="17"/>
  <c r="O11" i="10"/>
  <c r="N13" i="21"/>
  <c r="P9" i="26"/>
  <c r="Q18" i="20"/>
  <c r="N19" i="11"/>
  <c r="S4" i="8"/>
  <c r="U13" i="7"/>
  <c r="R19" i="12"/>
  <c r="N2" i="5"/>
  <c r="N13" i="27"/>
  <c r="N7" i="18"/>
  <c r="M4" i="22"/>
  <c r="P14" i="16"/>
  <c r="T8" i="10"/>
  <c r="S19" i="13"/>
  <c r="T12" i="10"/>
  <c r="T19" i="12"/>
  <c r="M8" i="16"/>
  <c r="O16" i="27"/>
  <c r="N5" i="17"/>
  <c r="U4" i="10"/>
  <c r="N10" i="7"/>
  <c r="M17" i="20"/>
  <c r="S11" i="11"/>
  <c r="Q5" i="3"/>
  <c r="R8" i="15"/>
  <c r="O9" i="14"/>
  <c r="P16" i="12"/>
  <c r="S17" i="8"/>
  <c r="L7" i="9"/>
  <c r="N9" i="14"/>
  <c r="M14" i="22"/>
  <c r="U2" i="16"/>
  <c r="T13" i="13"/>
  <c r="T5" i="25"/>
  <c r="L16" i="21"/>
  <c r="M9" i="11"/>
  <c r="Q6" i="20"/>
  <c r="N2" i="7"/>
  <c r="M14" i="16"/>
  <c r="Q8" i="24"/>
  <c r="Q13" i="6"/>
  <c r="R8" i="24"/>
  <c r="M3" i="26"/>
  <c r="N6" i="23"/>
  <c r="Q14" i="22"/>
  <c r="M5" i="7"/>
  <c r="Q10" i="25"/>
  <c r="S6" i="8"/>
  <c r="T7" i="3"/>
  <c r="R16" i="27"/>
  <c r="L16" i="15"/>
  <c r="P17" i="17"/>
  <c r="S16" i="7"/>
  <c r="U18" i="23"/>
  <c r="R7" i="13"/>
  <c r="Q11" i="7"/>
  <c r="P19" i="6"/>
  <c r="U6" i="3"/>
  <c r="R9" i="24"/>
  <c r="T17" i="5"/>
  <c r="U3" i="13"/>
  <c r="O13" i="21"/>
  <c r="T2" i="10"/>
  <c r="M15" i="3"/>
  <c r="T8" i="25"/>
  <c r="M3" i="22"/>
  <c r="Q7" i="25"/>
  <c r="Q8" i="4"/>
  <c r="Q3" i="9"/>
  <c r="U7" i="12"/>
  <c r="O11" i="5"/>
  <c r="S11" i="15"/>
  <c r="O14" i="24"/>
  <c r="M9" i="13"/>
  <c r="O3" i="14"/>
  <c r="Q4" i="11"/>
  <c r="U17" i="21"/>
  <c r="N2" i="20"/>
  <c r="L2" i="5"/>
  <c r="O2" i="27"/>
  <c r="P15" i="9"/>
  <c r="U15" i="12"/>
  <c r="T9" i="24"/>
  <c r="Q4" i="26"/>
  <c r="S2" i="20"/>
  <c r="Q15" i="4"/>
  <c r="P17" i="16"/>
  <c r="N3" i="16"/>
  <c r="T14" i="16"/>
  <c r="U14" i="12"/>
  <c r="R9" i="21"/>
  <c r="O18" i="23"/>
  <c r="M17" i="9"/>
  <c r="U9" i="5"/>
  <c r="S18" i="13"/>
  <c r="M12" i="27"/>
  <c r="O13" i="10"/>
  <c r="N5" i="26"/>
  <c r="L12" i="5"/>
  <c r="R6" i="8"/>
  <c r="M4" i="7"/>
  <c r="Q13" i="5"/>
  <c r="O16" i="4"/>
  <c r="R13" i="11"/>
  <c r="U7" i="22"/>
  <c r="U18" i="17"/>
  <c r="O11" i="9"/>
  <c r="L11" i="4"/>
  <c r="L3" i="24"/>
  <c r="S16" i="4"/>
  <c r="P12" i="4"/>
  <c r="T8" i="23"/>
  <c r="S12" i="3"/>
  <c r="O15" i="12"/>
  <c r="P6" i="24"/>
  <c r="U7" i="3"/>
  <c r="M11" i="20"/>
  <c r="S12" i="14"/>
  <c r="T5" i="9"/>
  <c r="M2" i="15"/>
  <c r="Q16" i="4"/>
  <c r="L18" i="14"/>
  <c r="U7" i="9"/>
  <c r="L14" i="17"/>
  <c r="T8" i="9"/>
  <c r="R19" i="17"/>
  <c r="M16" i="16"/>
  <c r="T9" i="12"/>
  <c r="N15" i="12"/>
  <c r="S12" i="25"/>
  <c r="M13" i="14"/>
  <c r="L18" i="22"/>
  <c r="M5" i="9"/>
  <c r="S13" i="25"/>
  <c r="U2" i="9"/>
  <c r="L2" i="3"/>
  <c r="M4" i="27"/>
  <c r="O15" i="5"/>
  <c r="S5" i="4"/>
  <c r="S13" i="13"/>
  <c r="Q3" i="8"/>
  <c r="L18" i="17"/>
  <c r="N8" i="10"/>
  <c r="O14" i="13"/>
  <c r="S3" i="9"/>
  <c r="P12" i="14"/>
  <c r="Q17" i="26"/>
  <c r="T9" i="4"/>
  <c r="L12" i="8"/>
  <c r="T2" i="14"/>
  <c r="M12" i="19"/>
  <c r="R15" i="23"/>
  <c r="N3" i="25"/>
  <c r="M14" i="17"/>
  <c r="L13" i="9"/>
  <c r="P12" i="25"/>
  <c r="R7" i="6"/>
  <c r="T11" i="4"/>
  <c r="R19" i="20"/>
  <c r="M5" i="25"/>
  <c r="S5" i="12"/>
  <c r="M8" i="23"/>
  <c r="R2" i="22"/>
  <c r="Q12" i="22"/>
  <c r="Q15" i="24"/>
  <c r="R12" i="22"/>
  <c r="S6" i="25"/>
  <c r="N7" i="20"/>
  <c r="S12" i="20"/>
  <c r="R9" i="23"/>
  <c r="L18" i="26"/>
  <c r="Q11" i="27"/>
  <c r="P6" i="14"/>
  <c r="R17" i="26"/>
  <c r="O18" i="7"/>
  <c r="N9" i="9"/>
  <c r="U8" i="24"/>
  <c r="Q6" i="4"/>
  <c r="Q9" i="9"/>
  <c r="U17" i="11"/>
  <c r="R7" i="12"/>
  <c r="R15" i="27"/>
  <c r="N13" i="24"/>
  <c r="U15" i="4"/>
  <c r="Q14" i="17"/>
  <c r="L9" i="15"/>
  <c r="Q6" i="14"/>
  <c r="S16" i="14"/>
  <c r="S13" i="22"/>
  <c r="S2" i="13"/>
  <c r="S3" i="23"/>
  <c r="M17" i="4"/>
  <c r="O15" i="10"/>
  <c r="U19" i="10"/>
  <c r="O7" i="19"/>
  <c r="P11" i="14"/>
  <c r="P18" i="17"/>
  <c r="U8" i="11"/>
  <c r="L17" i="12"/>
  <c r="N4" i="4"/>
  <c r="R6" i="11"/>
  <c r="O8" i="23"/>
  <c r="O7" i="8"/>
  <c r="O10" i="22"/>
  <c r="R19" i="25"/>
  <c r="Q6" i="21"/>
  <c r="O8" i="4"/>
  <c r="Q17" i="10"/>
  <c r="Q9" i="8"/>
  <c r="T19" i="6"/>
  <c r="R18" i="7"/>
  <c r="S6" i="5"/>
  <c r="P18" i="10"/>
  <c r="T6" i="12"/>
  <c r="O9" i="20"/>
  <c r="M16" i="7"/>
  <c r="P3" i="21"/>
  <c r="S18" i="21"/>
  <c r="M2" i="21"/>
  <c r="T11" i="27"/>
  <c r="R17" i="12"/>
  <c r="L8" i="5"/>
  <c r="L9" i="23"/>
  <c r="P5" i="6"/>
  <c r="P17" i="20"/>
  <c r="O4" i="7"/>
  <c r="S14" i="18"/>
  <c r="Q6" i="3"/>
  <c r="M6" i="15"/>
  <c r="S2" i="22"/>
  <c r="N14" i="25"/>
  <c r="R4" i="18"/>
  <c r="O14" i="10"/>
  <c r="O6" i="23"/>
  <c r="P14" i="14"/>
  <c r="L13" i="15"/>
  <c r="N15" i="26"/>
  <c r="U8" i="17"/>
  <c r="R4" i="19"/>
  <c r="R13" i="20"/>
  <c r="R19" i="15"/>
  <c r="T13" i="20"/>
  <c r="M9" i="19"/>
  <c r="T12" i="23"/>
  <c r="N11" i="10"/>
  <c r="Q5" i="22"/>
  <c r="T2" i="5"/>
  <c r="N7" i="27"/>
  <c r="R4" i="5"/>
  <c r="O2" i="8"/>
  <c r="S10" i="18"/>
  <c r="S12" i="24"/>
  <c r="R4" i="8"/>
  <c r="P18" i="26"/>
  <c r="P15" i="10"/>
  <c r="S17" i="22"/>
  <c r="T18" i="9"/>
  <c r="R17" i="20"/>
  <c r="P4" i="12"/>
  <c r="U2" i="22"/>
  <c r="P7" i="25"/>
  <c r="O7" i="11"/>
  <c r="L7" i="17"/>
  <c r="N11" i="15"/>
  <c r="M18" i="25"/>
  <c r="O10" i="20"/>
  <c r="P18" i="13"/>
  <c r="L19" i="5"/>
  <c r="L2" i="6"/>
  <c r="L18" i="8"/>
  <c r="P13" i="19"/>
  <c r="R6" i="15"/>
  <c r="O2" i="5"/>
  <c r="Q10" i="8"/>
  <c r="M8" i="19"/>
  <c r="R2" i="25"/>
  <c r="S10" i="25"/>
  <c r="P15" i="20"/>
  <c r="M18" i="14"/>
  <c r="O8" i="21"/>
  <c r="T2" i="16"/>
  <c r="T14" i="18"/>
  <c r="U8" i="26"/>
  <c r="N15" i="14"/>
  <c r="Q10" i="10"/>
  <c r="S4" i="9"/>
  <c r="Q4" i="16"/>
  <c r="S2" i="3"/>
  <c r="N3" i="22"/>
  <c r="M11" i="24"/>
  <c r="P2" i="10"/>
  <c r="O19" i="8"/>
  <c r="Q2" i="12"/>
  <c r="P12" i="5"/>
  <c r="R17" i="7"/>
  <c r="L17" i="5"/>
  <c r="N5" i="14"/>
  <c r="L11" i="7"/>
  <c r="R8" i="19"/>
  <c r="O12" i="24"/>
  <c r="L8" i="23"/>
  <c r="P11" i="12"/>
  <c r="S4" i="21"/>
  <c r="U13" i="8"/>
  <c r="U3" i="16"/>
  <c r="S17" i="23"/>
  <c r="U11" i="17"/>
  <c r="N3" i="8"/>
  <c r="O19" i="20"/>
  <c r="S13" i="12"/>
  <c r="Q14" i="8"/>
  <c r="N18" i="22"/>
  <c r="R11" i="21"/>
  <c r="M7" i="8"/>
  <c r="P8" i="24"/>
  <c r="O13" i="3"/>
  <c r="N17" i="4"/>
  <c r="N18" i="9"/>
  <c r="O10" i="6"/>
  <c r="P13" i="7"/>
  <c r="N9" i="26"/>
  <c r="R10" i="19"/>
  <c r="Q17" i="19"/>
  <c r="P17" i="15"/>
  <c r="S10" i="24"/>
  <c r="T12" i="9"/>
  <c r="R6" i="16"/>
  <c r="S3" i="3"/>
  <c r="O8" i="17"/>
  <c r="P6" i="22"/>
  <c r="T8" i="6"/>
  <c r="P12" i="11"/>
  <c r="M3" i="11"/>
  <c r="N16" i="4"/>
  <c r="L10" i="27"/>
  <c r="Q6" i="8"/>
  <c r="M15" i="11"/>
  <c r="O6" i="12"/>
  <c r="S10" i="20"/>
  <c r="T13" i="11"/>
  <c r="R9" i="18"/>
  <c r="Q2" i="6"/>
  <c r="P9" i="27"/>
  <c r="P15" i="18"/>
  <c r="S18" i="22"/>
  <c r="P13" i="25"/>
  <c r="T14" i="19"/>
  <c r="U12" i="8"/>
  <c r="O18" i="16"/>
  <c r="L19" i="20"/>
  <c r="T17" i="13"/>
  <c r="N6" i="14"/>
  <c r="P7" i="19"/>
  <c r="U3" i="9"/>
  <c r="O13" i="18"/>
  <c r="L18" i="3"/>
  <c r="U3" i="20"/>
  <c r="O19" i="22"/>
  <c r="R19" i="10"/>
  <c r="U5" i="10"/>
  <c r="L9" i="25"/>
  <c r="U6" i="13"/>
  <c r="Q9" i="6"/>
  <c r="S15" i="22"/>
  <c r="N7" i="12"/>
  <c r="U9" i="3"/>
  <c r="O5" i="5"/>
  <c r="P18" i="4"/>
  <c r="L16" i="19"/>
  <c r="N2" i="21"/>
  <c r="P9" i="8"/>
  <c r="P13" i="21"/>
  <c r="U5" i="4"/>
  <c r="Q7" i="10"/>
  <c r="N14" i="13"/>
  <c r="Q8" i="13"/>
  <c r="T17" i="18"/>
  <c r="T15" i="4"/>
  <c r="S8" i="22"/>
  <c r="N8" i="13"/>
  <c r="P10" i="11"/>
  <c r="T8" i="11"/>
  <c r="M6" i="27"/>
  <c r="L7" i="6"/>
  <c r="P8" i="17"/>
  <c r="O19" i="21"/>
  <c r="R4" i="20"/>
  <c r="P9" i="19"/>
  <c r="Q12" i="6"/>
  <c r="O4" i="21"/>
  <c r="M10" i="7"/>
  <c r="T10" i="26"/>
  <c r="U4" i="11"/>
  <c r="L17" i="7"/>
  <c r="L4" i="24"/>
  <c r="S8" i="11"/>
  <c r="R13" i="24"/>
  <c r="N7" i="3"/>
  <c r="P18" i="11"/>
  <c r="S14" i="20"/>
  <c r="Q9" i="25"/>
  <c r="P11" i="23"/>
  <c r="Q4" i="12"/>
  <c r="N6" i="20"/>
  <c r="L15" i="26"/>
  <c r="O4" i="5"/>
  <c r="R12" i="4"/>
  <c r="T5" i="16"/>
  <c r="N3" i="4"/>
  <c r="U13" i="6"/>
  <c r="T19" i="23"/>
  <c r="S4" i="13"/>
  <c r="Q16" i="3"/>
  <c r="S9" i="6"/>
  <c r="M4" i="26"/>
  <c r="O5" i="9"/>
  <c r="R15" i="13"/>
  <c r="N13" i="20"/>
  <c r="P11" i="11"/>
  <c r="N3" i="13"/>
  <c r="R2" i="21"/>
  <c r="T10" i="13"/>
  <c r="R12" i="5"/>
  <c r="O6" i="22"/>
  <c r="N11" i="13"/>
  <c r="Q3" i="19"/>
  <c r="U8" i="20"/>
  <c r="P18" i="19"/>
  <c r="U5" i="19"/>
  <c r="P7" i="17"/>
  <c r="R6" i="18"/>
  <c r="N12" i="14"/>
  <c r="M19" i="21"/>
  <c r="T17" i="7"/>
  <c r="Q7" i="5"/>
  <c r="O10" i="13"/>
  <c r="M13" i="13"/>
  <c r="O16" i="22"/>
  <c r="P2" i="7"/>
  <c r="O11" i="18"/>
  <c r="P15" i="11"/>
  <c r="S3" i="14"/>
  <c r="R16" i="3"/>
  <c r="R14" i="12"/>
  <c r="P5" i="3"/>
  <c r="O8" i="12"/>
  <c r="M17" i="14"/>
  <c r="L11" i="10"/>
  <c r="S6" i="24"/>
  <c r="L14" i="12"/>
  <c r="S19" i="11"/>
  <c r="T7" i="17"/>
  <c r="N11" i="22"/>
  <c r="O6" i="15"/>
  <c r="R5" i="12"/>
  <c r="S13" i="23"/>
  <c r="U7" i="18"/>
  <c r="L6" i="21"/>
  <c r="N11" i="3"/>
  <c r="T10" i="8"/>
  <c r="O11" i="17"/>
  <c r="Q12" i="26"/>
  <c r="R9" i="4"/>
  <c r="S19" i="3"/>
  <c r="O11" i="13"/>
  <c r="S9" i="7"/>
  <c r="L10" i="14"/>
  <c r="N6" i="16"/>
  <c r="T19" i="5"/>
  <c r="T11" i="3"/>
  <c r="O13" i="23"/>
  <c r="U10" i="21"/>
  <c r="M11" i="27"/>
  <c r="N12" i="3"/>
  <c r="M5" i="18"/>
  <c r="O16" i="24"/>
  <c r="O3" i="3"/>
  <c r="U10" i="19"/>
  <c r="T3" i="11"/>
  <c r="N12" i="12"/>
  <c r="L6" i="9"/>
  <c r="N4" i="11"/>
  <c r="P17" i="18"/>
  <c r="L19" i="13"/>
  <c r="U14" i="10"/>
  <c r="S4" i="18"/>
  <c r="O17" i="9"/>
  <c r="O13" i="7"/>
  <c r="P7" i="10"/>
  <c r="Q19" i="15"/>
  <c r="U19" i="6"/>
  <c r="U3" i="14"/>
  <c r="S9" i="15"/>
  <c r="M2" i="6"/>
  <c r="M10" i="27"/>
  <c r="N10" i="18"/>
  <c r="R12" i="12"/>
  <c r="L17" i="27"/>
  <c r="U11" i="21"/>
  <c r="T10" i="25"/>
  <c r="U18" i="27"/>
  <c r="R15" i="25"/>
  <c r="S14" i="26"/>
  <c r="N3" i="21"/>
  <c r="N14" i="16"/>
  <c r="Q8" i="7"/>
  <c r="N18" i="3"/>
  <c r="T3" i="6"/>
  <c r="T14" i="17"/>
  <c r="L6" i="4"/>
  <c r="Q10" i="26"/>
  <c r="R7" i="23"/>
  <c r="T9" i="13"/>
  <c r="S9" i="23"/>
  <c r="T3" i="26"/>
  <c r="Q4" i="19"/>
  <c r="S3" i="15"/>
  <c r="U18" i="9"/>
  <c r="M17" i="26"/>
  <c r="T10" i="17"/>
  <c r="N2" i="8"/>
  <c r="U16" i="12"/>
  <c r="M9" i="26"/>
  <c r="L14" i="21"/>
  <c r="T13" i="14"/>
  <c r="N9" i="13"/>
  <c r="Q15" i="6"/>
  <c r="T5" i="12"/>
  <c r="M17" i="18"/>
  <c r="S3" i="11"/>
  <c r="N13" i="22"/>
  <c r="N7" i="26"/>
  <c r="O17" i="12"/>
  <c r="T15" i="13"/>
  <c r="M14" i="9"/>
  <c r="M4" i="6"/>
  <c r="R16" i="25"/>
  <c r="U8" i="14"/>
  <c r="U9" i="25"/>
  <c r="M15" i="8"/>
  <c r="U18" i="21"/>
  <c r="L4" i="7"/>
  <c r="O18" i="18"/>
  <c r="O13" i="22"/>
  <c r="P19" i="13"/>
  <c r="L9" i="9"/>
  <c r="Q3" i="25"/>
  <c r="T7" i="6"/>
  <c r="N8" i="9"/>
  <c r="O19" i="4"/>
  <c r="T11" i="18"/>
  <c r="P19" i="8"/>
  <c r="R8" i="23"/>
  <c r="Q14" i="21"/>
  <c r="L11" i="24"/>
  <c r="N5" i="22"/>
  <c r="P19" i="11"/>
  <c r="L10" i="16"/>
  <c r="S4" i="4"/>
  <c r="O17" i="17"/>
  <c r="S10" i="4"/>
  <c r="N13" i="13"/>
  <c r="R18" i="3"/>
  <c r="P18" i="3"/>
  <c r="Q7" i="7"/>
  <c r="L16" i="27"/>
  <c r="T17" i="23"/>
  <c r="U10" i="4"/>
  <c r="S3" i="21"/>
  <c r="U4" i="27"/>
  <c r="T13" i="17"/>
  <c r="T3" i="19"/>
  <c r="R14" i="16"/>
  <c r="P14" i="13"/>
  <c r="R7" i="26"/>
  <c r="O2" i="4"/>
  <c r="T8" i="12"/>
  <c r="L13" i="25"/>
  <c r="U11" i="13"/>
  <c r="O12" i="25"/>
  <c r="U15" i="16"/>
  <c r="M6" i="6"/>
  <c r="S9" i="25"/>
  <c r="Q5" i="11"/>
  <c r="N5" i="4"/>
  <c r="M15" i="15"/>
  <c r="M7" i="25"/>
  <c r="L3" i="10"/>
  <c r="T15" i="8"/>
  <c r="M8" i="3"/>
  <c r="O3" i="9"/>
  <c r="O16" i="7"/>
  <c r="R7" i="11"/>
  <c r="P3" i="9"/>
  <c r="L3" i="6"/>
  <c r="N14" i="24"/>
  <c r="N16" i="12"/>
  <c r="U9" i="6"/>
  <c r="R10" i="26"/>
  <c r="Q13" i="25"/>
  <c r="T7" i="15"/>
  <c r="T3" i="17"/>
  <c r="Q15" i="3"/>
  <c r="P10" i="21"/>
  <c r="L17" i="25"/>
  <c r="T15" i="9"/>
  <c r="P10" i="17"/>
  <c r="Q2" i="10"/>
  <c r="O15" i="17"/>
  <c r="R13" i="6"/>
  <c r="T8" i="4"/>
  <c r="Q12" i="16"/>
  <c r="L7" i="13"/>
  <c r="L14" i="19"/>
  <c r="O7" i="12"/>
  <c r="R11" i="19"/>
  <c r="M7" i="20"/>
  <c r="S16" i="26"/>
  <c r="U2" i="5"/>
  <c r="U11" i="23"/>
  <c r="Q15" i="27"/>
  <c r="O3" i="4"/>
  <c r="R11" i="5"/>
  <c r="L13" i="22"/>
  <c r="T5" i="11"/>
  <c r="L14" i="13"/>
  <c r="T14" i="24"/>
  <c r="P6" i="16"/>
  <c r="Q3" i="3"/>
  <c r="U19" i="7"/>
  <c r="P14" i="23"/>
  <c r="N11" i="12"/>
  <c r="P4" i="23"/>
  <c r="M6" i="11"/>
  <c r="N17" i="11"/>
  <c r="Q2" i="24"/>
  <c r="R8" i="25"/>
  <c r="U14" i="20"/>
  <c r="P2" i="19"/>
  <c r="P11" i="16"/>
  <c r="T8" i="7"/>
  <c r="S16" i="16"/>
  <c r="O15" i="4"/>
  <c r="N8" i="22"/>
  <c r="L12" i="17"/>
  <c r="T13" i="15"/>
  <c r="S6" i="9"/>
  <c r="P8" i="12"/>
  <c r="M10" i="19"/>
  <c r="P9" i="10"/>
  <c r="M11" i="21"/>
  <c r="P13" i="6"/>
  <c r="R15" i="4"/>
  <c r="O13" i="6"/>
  <c r="R2" i="11"/>
  <c r="N6" i="17"/>
  <c r="L5" i="24"/>
  <c r="N9" i="10"/>
  <c r="P17" i="22"/>
  <c r="L8" i="7"/>
  <c r="Q19" i="22"/>
  <c r="R8" i="21"/>
  <c r="S5" i="5"/>
  <c r="U13" i="18"/>
  <c r="P13" i="26"/>
  <c r="L2" i="22"/>
  <c r="T16" i="6"/>
  <c r="N15" i="22"/>
  <c r="R15" i="6"/>
  <c r="R4" i="4"/>
  <c r="P16" i="9"/>
  <c r="O14" i="11"/>
  <c r="N19" i="10"/>
  <c r="L13" i="16"/>
  <c r="M8" i="20"/>
  <c r="P12" i="12"/>
  <c r="T18" i="10"/>
  <c r="P11" i="24"/>
  <c r="R9" i="13"/>
  <c r="M6" i="20"/>
  <c r="S15" i="9"/>
  <c r="T18" i="19"/>
  <c r="R11" i="24"/>
  <c r="O17" i="16"/>
  <c r="Q16" i="24"/>
  <c r="P15" i="15"/>
  <c r="L10" i="4"/>
  <c r="T6" i="7"/>
  <c r="N7" i="7"/>
  <c r="O6" i="17"/>
  <c r="P6" i="13"/>
  <c r="U15" i="20"/>
  <c r="O15" i="26"/>
  <c r="U2" i="15"/>
  <c r="P13" i="13"/>
  <c r="S6" i="16"/>
  <c r="U16" i="15"/>
  <c r="Q16" i="10"/>
  <c r="P4" i="7"/>
  <c r="O19" i="16"/>
  <c r="R5" i="20"/>
  <c r="N10" i="15"/>
  <c r="O2" i="20"/>
  <c r="Q2" i="9"/>
  <c r="S19" i="4"/>
  <c r="Q5" i="10"/>
  <c r="N7" i="25"/>
  <c r="O4" i="15"/>
  <c r="S5" i="6"/>
  <c r="R6" i="5"/>
  <c r="R17" i="5"/>
  <c r="L14" i="14"/>
  <c r="M4" i="10"/>
  <c r="M13" i="4"/>
  <c r="L16" i="11"/>
  <c r="L5" i="23"/>
  <c r="S3" i="24"/>
  <c r="O18" i="4"/>
  <c r="Q15" i="7"/>
  <c r="T13" i="21"/>
  <c r="Q10" i="4"/>
  <c r="S7" i="10"/>
  <c r="S17" i="4"/>
  <c r="P10" i="16"/>
  <c r="N10" i="4"/>
  <c r="M8" i="14"/>
  <c r="R12" i="10"/>
  <c r="Q19" i="9"/>
  <c r="M3" i="17"/>
  <c r="R15" i="15"/>
  <c r="T16" i="13"/>
  <c r="N9" i="15"/>
  <c r="S15" i="26"/>
  <c r="S18" i="4"/>
  <c r="U12" i="18"/>
  <c r="R4" i="11"/>
  <c r="L10" i="18"/>
  <c r="R17" i="3"/>
  <c r="M16" i="18"/>
  <c r="P19" i="9"/>
  <c r="Q4" i="17"/>
  <c r="L10" i="21"/>
  <c r="O2" i="13"/>
  <c r="R11" i="26"/>
  <c r="S8" i="15"/>
  <c r="N4" i="12"/>
  <c r="O14" i="22"/>
  <c r="O13" i="5"/>
  <c r="N18" i="10"/>
  <c r="S2" i="14"/>
  <c r="R9" i="20"/>
  <c r="N4" i="19"/>
  <c r="S8" i="26"/>
  <c r="U11" i="3"/>
  <c r="U4" i="8"/>
  <c r="R7" i="21"/>
  <c r="U5" i="12"/>
  <c r="O4" i="11"/>
  <c r="S15" i="5"/>
  <c r="O4" i="19"/>
  <c r="N7" i="17"/>
  <c r="R18" i="9"/>
  <c r="P4" i="14"/>
  <c r="T8" i="26"/>
  <c r="U5" i="18"/>
  <c r="Q19" i="27"/>
  <c r="L12" i="7"/>
  <c r="S13" i="11"/>
  <c r="S12" i="5"/>
  <c r="Q2" i="11"/>
  <c r="P8" i="19"/>
  <c r="M3" i="8"/>
  <c r="S7" i="12"/>
  <c r="R15" i="14"/>
  <c r="L18" i="15"/>
  <c r="U12" i="25"/>
  <c r="S17" i="18"/>
  <c r="P15" i="16"/>
  <c r="O7" i="6"/>
  <c r="Q5" i="18"/>
  <c r="M5" i="26"/>
  <c r="N17" i="5"/>
  <c r="M19" i="14"/>
  <c r="O14" i="21"/>
  <c r="N2" i="12"/>
  <c r="S18" i="14"/>
  <c r="Q3" i="6"/>
  <c r="P11" i="13"/>
  <c r="Q12" i="27"/>
  <c r="N18" i="26"/>
  <c r="R14" i="3"/>
  <c r="S10" i="23"/>
  <c r="Q19" i="20"/>
  <c r="N13" i="18"/>
  <c r="S10" i="9"/>
  <c r="M5" i="10"/>
  <c r="N11" i="4"/>
  <c r="M7" i="21"/>
  <c r="S19" i="27"/>
  <c r="R5" i="16"/>
  <c r="M11" i="11"/>
  <c r="O8" i="5"/>
  <c r="S11" i="12"/>
  <c r="N12" i="11"/>
  <c r="P2" i="22"/>
  <c r="R4" i="21"/>
  <c r="M15" i="24"/>
  <c r="S9" i="17"/>
  <c r="R15" i="9"/>
  <c r="S18" i="9"/>
  <c r="O9" i="16"/>
  <c r="M3" i="4"/>
  <c r="N7" i="21"/>
  <c r="U10" i="6"/>
  <c r="P14" i="22"/>
  <c r="S7" i="3"/>
  <c r="L15" i="22"/>
  <c r="M13" i="16"/>
  <c r="M12" i="5"/>
  <c r="R3" i="19"/>
  <c r="M4" i="25"/>
  <c r="M14" i="19"/>
  <c r="T10" i="3"/>
  <c r="R17" i="23"/>
  <c r="L19" i="10"/>
  <c r="Q9" i="23"/>
  <c r="O12" i="3"/>
  <c r="O2" i="18"/>
  <c r="O10" i="11"/>
  <c r="T18" i="6"/>
  <c r="T3" i="9"/>
  <c r="L16" i="17"/>
  <c r="S2" i="15"/>
  <c r="T7" i="18"/>
  <c r="R18" i="5"/>
  <c r="P12" i="24"/>
  <c r="U8" i="4"/>
  <c r="P17" i="25"/>
  <c r="N12" i="4"/>
  <c r="M11" i="25"/>
  <c r="U5" i="25"/>
  <c r="S18" i="24"/>
  <c r="T8" i="17"/>
  <c r="R4" i="26"/>
  <c r="M18" i="13"/>
  <c r="P19" i="5"/>
  <c r="O12" i="19"/>
  <c r="T3" i="24"/>
  <c r="T10" i="7"/>
  <c r="S9" i="14"/>
  <c r="P4" i="8"/>
  <c r="T6" i="20"/>
  <c r="P9" i="18"/>
  <c r="M18" i="4"/>
  <c r="U17" i="8"/>
  <c r="L16" i="12"/>
  <c r="L6" i="19"/>
  <c r="T6" i="11"/>
  <c r="R14" i="15"/>
  <c r="P7" i="9"/>
  <c r="S18" i="6"/>
  <c r="Q17" i="22"/>
  <c r="L4" i="12"/>
  <c r="R12" i="21"/>
  <c r="O4" i="23"/>
  <c r="U7" i="23"/>
  <c r="Q6" i="7"/>
  <c r="U19" i="26"/>
  <c r="M8" i="27"/>
  <c r="S4" i="26"/>
  <c r="U19" i="9"/>
  <c r="R18" i="8"/>
  <c r="Q12" i="7"/>
  <c r="U2" i="3"/>
  <c r="Q8" i="11"/>
  <c r="P2" i="4"/>
  <c r="L6" i="10"/>
  <c r="T13" i="16"/>
  <c r="O6" i="16"/>
  <c r="N14" i="23"/>
  <c r="T6" i="25"/>
  <c r="U19" i="23"/>
  <c r="T12" i="25"/>
  <c r="O4" i="12"/>
  <c r="Q12" i="19"/>
  <c r="P6" i="8"/>
  <c r="P10" i="7"/>
  <c r="L10" i="24"/>
  <c r="Q3" i="4"/>
  <c r="Q18" i="10"/>
  <c r="U17" i="5"/>
  <c r="O13" i="26"/>
  <c r="U6" i="5"/>
  <c r="S8" i="20"/>
  <c r="Q17" i="9"/>
  <c r="M6" i="7"/>
  <c r="S15" i="25"/>
  <c r="P4" i="6"/>
  <c r="M9" i="15"/>
  <c r="M7" i="17"/>
  <c r="S18" i="25"/>
  <c r="S9" i="22"/>
  <c r="N11" i="21"/>
  <c r="Q5" i="7"/>
  <c r="N15" i="6"/>
  <c r="Q17" i="21"/>
  <c r="N4" i="15"/>
  <c r="N4" i="6"/>
  <c r="T16" i="21"/>
  <c r="P14" i="11"/>
  <c r="M3" i="19"/>
  <c r="S5" i="20"/>
  <c r="M10" i="26"/>
  <c r="Q17" i="15"/>
  <c r="O12" i="6"/>
  <c r="N14" i="22"/>
  <c r="N12" i="18"/>
  <c r="S2" i="12"/>
  <c r="P18" i="22"/>
  <c r="P8" i="16"/>
  <c r="S18" i="23"/>
  <c r="O8" i="8"/>
  <c r="M5" i="13"/>
  <c r="R13" i="10"/>
  <c r="U17" i="22"/>
  <c r="M11" i="22"/>
  <c r="U16" i="3"/>
  <c r="Q5" i="26"/>
  <c r="N16" i="3"/>
  <c r="U19" i="12"/>
  <c r="N15" i="25"/>
  <c r="P13" i="12"/>
  <c r="O13" i="14"/>
  <c r="L3" i="17"/>
  <c r="Q18" i="5"/>
  <c r="O13" i="24"/>
  <c r="R11" i="8"/>
  <c r="S14" i="24"/>
  <c r="P4" i="13"/>
  <c r="U14" i="14"/>
  <c r="Q17" i="14"/>
  <c r="P13" i="15"/>
  <c r="O10" i="23"/>
  <c r="M14" i="20"/>
  <c r="S9" i="10"/>
  <c r="S6" i="15"/>
  <c r="P2" i="13"/>
  <c r="N3" i="23"/>
  <c r="U14" i="22"/>
  <c r="L9" i="4"/>
  <c r="S8" i="14"/>
  <c r="U2" i="13"/>
  <c r="N15" i="17"/>
  <c r="S15" i="21"/>
  <c r="L19" i="6"/>
  <c r="O7" i="23"/>
  <c r="O3" i="22"/>
  <c r="U14" i="26"/>
  <c r="R18" i="25"/>
  <c r="Q17" i="11"/>
  <c r="U9" i="9"/>
  <c r="U14" i="23"/>
  <c r="T9" i="11"/>
  <c r="R10" i="3"/>
  <c r="Q8" i="25"/>
  <c r="U12" i="4"/>
  <c r="L7" i="19"/>
  <c r="P5" i="8"/>
  <c r="N19" i="20"/>
  <c r="L11" i="6"/>
  <c r="N10" i="12"/>
  <c r="Q5" i="20"/>
  <c r="P12" i="20"/>
  <c r="T2" i="18"/>
  <c r="N16" i="27"/>
  <c r="P11" i="27"/>
  <c r="N5" i="6"/>
  <c r="O19" i="9"/>
  <c r="S9" i="8"/>
  <c r="N14" i="26"/>
  <c r="R3" i="18"/>
  <c r="O8" i="24"/>
  <c r="L8" i="13"/>
  <c r="S13" i="27"/>
  <c r="N3" i="6"/>
  <c r="T14" i="23"/>
  <c r="M15" i="18"/>
  <c r="O5" i="8"/>
  <c r="P19" i="27"/>
  <c r="N4" i="14"/>
  <c r="P4" i="27"/>
  <c r="O17" i="25"/>
  <c r="O15" i="16"/>
  <c r="P14" i="25"/>
  <c r="U7" i="24"/>
  <c r="P8" i="6"/>
  <c r="O12" i="20"/>
  <c r="U8" i="18"/>
  <c r="P7" i="15"/>
  <c r="R10" i="7"/>
  <c r="M12" i="18"/>
  <c r="T6" i="18"/>
  <c r="O7" i="25"/>
  <c r="L16" i="16"/>
  <c r="N16" i="15"/>
  <c r="L15" i="27"/>
  <c r="N19" i="8"/>
  <c r="P2" i="8"/>
  <c r="R18" i="19"/>
  <c r="U18" i="7"/>
  <c r="M4" i="19"/>
  <c r="S8" i="5"/>
  <c r="P3" i="19"/>
  <c r="O14" i="25"/>
  <c r="S16" i="13"/>
  <c r="S7" i="23"/>
  <c r="R16" i="20"/>
  <c r="U12" i="3"/>
  <c r="M8" i="15"/>
  <c r="S17" i="20"/>
  <c r="U7" i="6"/>
  <c r="N7" i="16"/>
  <c r="S19" i="20"/>
  <c r="S11" i="9"/>
  <c r="R5" i="4"/>
  <c r="R18" i="4"/>
  <c r="T7" i="11"/>
  <c r="S7" i="13"/>
  <c r="M4" i="18"/>
  <c r="M9" i="7"/>
  <c r="M17" i="23"/>
  <c r="U3" i="23"/>
  <c r="L10" i="12"/>
  <c r="Q19" i="17"/>
  <c r="L5" i="21"/>
  <c r="M12" i="25"/>
  <c r="Q3" i="17"/>
  <c r="L5" i="18"/>
  <c r="O10" i="21"/>
  <c r="P11" i="22"/>
  <c r="L18" i="11"/>
  <c r="R14" i="6"/>
  <c r="S8" i="16"/>
  <c r="N19" i="18"/>
  <c r="P4" i="15"/>
  <c r="Q5" i="6"/>
  <c r="T15" i="3"/>
  <c r="O5" i="3"/>
  <c r="L7" i="7"/>
  <c r="S4" i="25"/>
  <c r="U16" i="19"/>
  <c r="T16" i="20"/>
  <c r="S14" i="12"/>
  <c r="N18" i="21"/>
  <c r="P2" i="26"/>
  <c r="L8" i="17"/>
  <c r="P7" i="8"/>
  <c r="T18" i="22"/>
  <c r="O2" i="14"/>
  <c r="L3" i="5"/>
  <c r="P16" i="23"/>
  <c r="R13" i="4"/>
  <c r="U4" i="6"/>
  <c r="N9" i="20"/>
  <c r="R11" i="13"/>
  <c r="R2" i="13"/>
  <c r="T9" i="15"/>
  <c r="N16" i="16"/>
  <c r="M16" i="26"/>
  <c r="O15" i="3"/>
  <c r="N16" i="19"/>
  <c r="P16" i="10"/>
  <c r="U3" i="10"/>
  <c r="U18" i="4"/>
  <c r="L15" i="6"/>
  <c r="U9" i="21"/>
  <c r="R12" i="15"/>
  <c r="N7" i="24"/>
  <c r="M13" i="3"/>
  <c r="R19" i="7"/>
  <c r="R7" i="27"/>
  <c r="R9" i="19"/>
  <c r="U12" i="24"/>
  <c r="Q13" i="8"/>
  <c r="P6" i="26"/>
  <c r="N15" i="8"/>
  <c r="P13" i="16"/>
  <c r="P15" i="8"/>
  <c r="U12" i="10"/>
  <c r="S15" i="6"/>
  <c r="Q12" i="3"/>
  <c r="R10" i="22"/>
  <c r="U4" i="23"/>
  <c r="Q6" i="13"/>
  <c r="M11" i="13"/>
  <c r="L19" i="22"/>
  <c r="O9" i="27"/>
  <c r="R14" i="7"/>
  <c r="N4" i="5"/>
  <c r="L4" i="23"/>
  <c r="M3" i="12"/>
  <c r="M13" i="11"/>
  <c r="O11" i="27"/>
  <c r="U17" i="12"/>
  <c r="M19" i="18"/>
  <c r="L13" i="21"/>
  <c r="O2" i="12"/>
  <c r="L13" i="17"/>
  <c r="Q3" i="26"/>
  <c r="T4" i="26"/>
  <c r="L15" i="15"/>
  <c r="Q11" i="10"/>
  <c r="U19" i="4"/>
  <c r="M18" i="16"/>
  <c r="U14" i="4"/>
  <c r="L6" i="17"/>
  <c r="O4" i="10"/>
  <c r="Q14" i="9"/>
  <c r="U13" i="3"/>
  <c r="R12" i="27"/>
  <c r="S9" i="26"/>
  <c r="S18" i="10"/>
  <c r="N13" i="23"/>
  <c r="O10" i="17"/>
  <c r="N5" i="10"/>
  <c r="O11" i="3"/>
  <c r="L17" i="22"/>
  <c r="O12" i="7"/>
  <c r="Q15" i="15"/>
  <c r="L13" i="4"/>
  <c r="R7" i="8"/>
  <c r="R3" i="12"/>
  <c r="Q11" i="17"/>
  <c r="L11" i="12"/>
  <c r="T6" i="4"/>
  <c r="U7" i="7"/>
  <c r="U12" i="22"/>
  <c r="T17" i="9"/>
  <c r="U8" i="6"/>
  <c r="S8" i="17"/>
  <c r="O5" i="19"/>
  <c r="T18" i="12"/>
  <c r="R8" i="20"/>
  <c r="P17" i="4"/>
  <c r="M9" i="18"/>
  <c r="T7" i="8"/>
  <c r="U13" i="20"/>
  <c r="N8" i="24"/>
  <c r="N18" i="19"/>
  <c r="U15" i="13"/>
  <c r="P14" i="18"/>
  <c r="M15" i="10"/>
  <c r="S4" i="6"/>
  <c r="L13" i="5"/>
  <c r="Q11" i="23"/>
  <c r="U11" i="11"/>
  <c r="N7" i="14"/>
  <c r="R5" i="21"/>
  <c r="R3" i="20"/>
  <c r="N14" i="8"/>
  <c r="L4" i="21"/>
  <c r="P9" i="13"/>
  <c r="N11" i="20"/>
  <c r="N7" i="6"/>
  <c r="S14" i="16"/>
  <c r="Q5" i="14"/>
  <c r="L13" i="24"/>
  <c r="T18" i="5"/>
  <c r="U4" i="4"/>
  <c r="Q18" i="23"/>
  <c r="N5" i="21"/>
  <c r="P5" i="22"/>
  <c r="S10" i="17"/>
  <c r="P5" i="10"/>
  <c r="P5" i="21"/>
  <c r="M13" i="26"/>
  <c r="M14" i="8"/>
  <c r="T6" i="21"/>
  <c r="U2" i="24"/>
  <c r="M3" i="5"/>
  <c r="M19" i="17"/>
  <c r="N2" i="16"/>
  <c r="T18" i="3"/>
  <c r="Q10" i="14"/>
  <c r="L7" i="26"/>
  <c r="M13" i="10"/>
  <c r="O5" i="26"/>
  <c r="T8" i="27"/>
  <c r="N18" i="17"/>
  <c r="P17" i="21"/>
  <c r="P11" i="26"/>
  <c r="Q2" i="23"/>
  <c r="L8" i="27"/>
  <c r="T6" i="16"/>
  <c r="M8" i="26"/>
  <c r="R9" i="6"/>
  <c r="R11" i="16"/>
  <c r="S6" i="3"/>
  <c r="T16" i="10"/>
  <c r="R13" i="19"/>
  <c r="T10" i="27"/>
  <c r="L9" i="12"/>
  <c r="N13" i="4"/>
  <c r="M9" i="21"/>
  <c r="S2" i="8"/>
  <c r="S14" i="17"/>
  <c r="P10" i="8"/>
  <c r="O17" i="27"/>
  <c r="T16" i="8"/>
  <c r="O4" i="20"/>
  <c r="T13" i="26"/>
  <c r="Q2" i="8"/>
  <c r="O18" i="20"/>
  <c r="R15" i="22"/>
  <c r="L3" i="8"/>
  <c r="U4" i="15"/>
  <c r="Q13" i="10"/>
  <c r="P16" i="21"/>
  <c r="Q15" i="19"/>
  <c r="P3" i="8"/>
  <c r="R9" i="5"/>
  <c r="L7" i="20"/>
  <c r="L12" i="19"/>
  <c r="O15" i="18"/>
  <c r="U17" i="17"/>
  <c r="P12" i="10"/>
  <c r="O9" i="10"/>
  <c r="T6" i="15"/>
  <c r="N6" i="26"/>
  <c r="T14" i="21"/>
  <c r="U17" i="19"/>
  <c r="M17" i="10"/>
  <c r="L15" i="3"/>
  <c r="S2" i="10"/>
  <c r="Q6" i="6"/>
  <c r="M16" i="21"/>
  <c r="L12" i="4"/>
  <c r="Q13" i="18"/>
  <c r="P16" i="11"/>
  <c r="L4" i="3"/>
  <c r="S14" i="3"/>
  <c r="P11" i="20"/>
  <c r="P18" i="8"/>
  <c r="O18" i="12"/>
  <c r="P14" i="10"/>
  <c r="M18" i="11"/>
  <c r="P3" i="6"/>
  <c r="R5" i="10"/>
  <c r="U11" i="26"/>
  <c r="M15" i="7"/>
  <c r="M3" i="6"/>
  <c r="U3" i="3"/>
  <c r="R18" i="23"/>
  <c r="T2" i="21"/>
  <c r="T17" i="16"/>
  <c r="M14" i="13"/>
  <c r="P8" i="13"/>
  <c r="T15" i="12"/>
  <c r="R15" i="8"/>
  <c r="M16" i="3"/>
  <c r="M7" i="23"/>
  <c r="O10" i="4"/>
  <c r="L10" i="19"/>
  <c r="R12" i="16"/>
  <c r="S5" i="7"/>
  <c r="U8" i="12"/>
  <c r="S14" i="8"/>
  <c r="T3" i="8"/>
  <c r="M5" i="24"/>
  <c r="N10" i="13"/>
  <c r="T3" i="16"/>
  <c r="U15" i="11"/>
  <c r="M16" i="24"/>
  <c r="L8" i="22"/>
  <c r="R3" i="4"/>
  <c r="U2" i="21"/>
  <c r="T9" i="9"/>
  <c r="T2" i="7"/>
  <c r="U10" i="14"/>
  <c r="R5" i="5"/>
  <c r="S16" i="17"/>
  <c r="O10" i="18"/>
  <c r="R5" i="23"/>
  <c r="U16" i="21"/>
  <c r="N2" i="24"/>
  <c r="P3" i="5"/>
  <c r="O2" i="7"/>
  <c r="Q16" i="19"/>
  <c r="R17" i="17"/>
  <c r="U4" i="14"/>
  <c r="S16" i="21"/>
  <c r="M10" i="20"/>
  <c r="P7" i="13"/>
  <c r="Q6" i="23"/>
  <c r="S12" i="7"/>
  <c r="O16" i="14"/>
  <c r="U16" i="13"/>
  <c r="Q8" i="12"/>
  <c r="L6" i="3"/>
  <c r="N16" i="25"/>
  <c r="L11" i="25"/>
  <c r="P16" i="25"/>
  <c r="Q5" i="16"/>
  <c r="N9" i="16"/>
  <c r="S14" i="13"/>
  <c r="Q4" i="7"/>
  <c r="P14" i="19"/>
  <c r="Q17" i="16"/>
  <c r="N9" i="27"/>
  <c r="Q4" i="3"/>
  <c r="T11" i="20"/>
  <c r="O5" i="27"/>
  <c r="M14" i="26"/>
  <c r="M9" i="14"/>
  <c r="U7" i="26"/>
  <c r="N10" i="10"/>
  <c r="P12" i="23"/>
  <c r="T17" i="21"/>
  <c r="T15" i="26"/>
  <c r="Q6" i="26"/>
  <c r="U7" i="15"/>
  <c r="U18" i="18"/>
  <c r="T9" i="14"/>
  <c r="L11" i="26"/>
  <c r="S15" i="24"/>
  <c r="L4" i="25"/>
  <c r="P3" i="26"/>
  <c r="S3" i="5"/>
  <c r="Q13" i="16"/>
  <c r="S4" i="3"/>
  <c r="S15" i="11"/>
  <c r="R7" i="22"/>
  <c r="M19" i="12"/>
  <c r="L8" i="10"/>
  <c r="M8" i="21"/>
  <c r="O15" i="19"/>
  <c r="T15" i="21"/>
  <c r="Q3" i="11"/>
  <c r="O8" i="20"/>
  <c r="N5" i="19"/>
  <c r="L3" i="4"/>
  <c r="T13" i="18"/>
  <c r="O5" i="15"/>
  <c r="T8" i="20"/>
  <c r="O15" i="22"/>
  <c r="T18" i="27"/>
  <c r="Q16" i="13"/>
  <c r="L17" i="20"/>
  <c r="M13" i="12"/>
  <c r="T4" i="3"/>
  <c r="R4" i="10"/>
  <c r="T4" i="11"/>
  <c r="Q13" i="17"/>
  <c r="O4" i="25"/>
  <c r="N16" i="22"/>
  <c r="U19" i="24"/>
  <c r="P5" i="14"/>
  <c r="M6" i="18"/>
  <c r="P8" i="22"/>
  <c r="U16" i="24"/>
  <c r="T9" i="26"/>
  <c r="R13" i="5"/>
  <c r="R3" i="11"/>
  <c r="Q4" i="27"/>
  <c r="N5" i="7"/>
  <c r="O14" i="26"/>
  <c r="Q19" i="18"/>
  <c r="P19" i="15"/>
  <c r="U16" i="11"/>
  <c r="P4" i="17"/>
  <c r="P8" i="9"/>
  <c r="S7" i="22"/>
  <c r="R11" i="3"/>
  <c r="N16" i="11"/>
  <c r="P9" i="12"/>
  <c r="M6" i="4"/>
  <c r="O2" i="3"/>
  <c r="O2" i="19"/>
  <c r="S15" i="18"/>
  <c r="P10" i="15"/>
  <c r="P16" i="6"/>
  <c r="S7" i="16"/>
  <c r="R11" i="17"/>
  <c r="S17" i="6"/>
  <c r="R5" i="22"/>
  <c r="Q5" i="23"/>
  <c r="S13" i="24"/>
  <c r="U15" i="10"/>
  <c r="P19" i="12"/>
  <c r="T14" i="9"/>
  <c r="Q10" i="17"/>
  <c r="L19" i="11"/>
  <c r="N13" i="7"/>
  <c r="P14" i="21"/>
  <c r="U11" i="6"/>
  <c r="O9" i="17"/>
  <c r="P2" i="9"/>
  <c r="M3" i="13"/>
  <c r="P16" i="5"/>
  <c r="U15" i="19"/>
  <c r="M10" i="25"/>
  <c r="N13" i="26"/>
  <c r="S15" i="20"/>
  <c r="L7" i="15"/>
  <c r="L9" i="27"/>
  <c r="R8" i="13"/>
  <c r="O17" i="14"/>
  <c r="Q2" i="18"/>
  <c r="M9" i="17"/>
  <c r="P15" i="12"/>
  <c r="U16" i="9"/>
  <c r="O7" i="9"/>
  <c r="Q18" i="24"/>
  <c r="P16" i="27"/>
  <c r="P19" i="10"/>
  <c r="O12" i="16"/>
  <c r="O7" i="17"/>
  <c r="T7" i="14"/>
  <c r="S2" i="6"/>
  <c r="N16" i="6"/>
  <c r="T14" i="20"/>
  <c r="U4" i="26"/>
  <c r="M17" i="25"/>
  <c r="U18" i="24"/>
  <c r="Q8" i="26"/>
  <c r="Q17" i="4"/>
  <c r="Q11" i="8"/>
  <c r="L3" i="21"/>
  <c r="S2" i="17"/>
  <c r="U11" i="12"/>
  <c r="T13" i="4"/>
  <c r="M7" i="24"/>
  <c r="O9" i="3"/>
  <c r="S15" i="27"/>
  <c r="O17" i="15"/>
  <c r="T11" i="9"/>
  <c r="T6" i="23"/>
  <c r="P12" i="17"/>
  <c r="N16" i="24"/>
  <c r="R14" i="20"/>
  <c r="P14" i="3"/>
  <c r="T16" i="18"/>
  <c r="S5" i="26"/>
  <c r="Q10" i="7"/>
  <c r="O3" i="19"/>
  <c r="T5" i="7"/>
  <c r="Q4" i="8"/>
  <c r="N8" i="21"/>
  <c r="S8" i="10"/>
  <c r="S11" i="22"/>
  <c r="T4" i="12"/>
  <c r="M11" i="8"/>
  <c r="M11" i="6"/>
  <c r="O17" i="10"/>
  <c r="L15" i="21"/>
  <c r="U6" i="24"/>
  <c r="M8" i="12"/>
  <c r="M11" i="5"/>
  <c r="S2" i="21"/>
  <c r="U10" i="27"/>
  <c r="O16" i="26"/>
  <c r="P15" i="21"/>
  <c r="S13" i="26"/>
  <c r="L9" i="5"/>
  <c r="R15" i="10"/>
  <c r="N18" i="5"/>
  <c r="N17" i="9"/>
  <c r="R17" i="8"/>
  <c r="O3" i="15"/>
  <c r="P18" i="24"/>
  <c r="Q9" i="14"/>
  <c r="Q9" i="10"/>
  <c r="R4" i="17"/>
  <c r="P5" i="5"/>
  <c r="L3" i="18"/>
  <c r="L3" i="22"/>
  <c r="Q10" i="5"/>
  <c r="R2" i="19"/>
  <c r="L12" i="6"/>
  <c r="Q9" i="11"/>
  <c r="M2" i="12"/>
  <c r="Q19" i="8"/>
  <c r="L6" i="14"/>
  <c r="L15" i="9"/>
  <c r="R12" i="3"/>
  <c r="M9" i="10"/>
  <c r="P3" i="27"/>
  <c r="L5" i="22"/>
  <c r="S9" i="27"/>
  <c r="O18" i="27"/>
  <c r="N18" i="7"/>
  <c r="R6" i="23"/>
  <c r="T6" i="3"/>
  <c r="Q2" i="13"/>
  <c r="R12" i="13"/>
  <c r="N10" i="6"/>
  <c r="S10" i="19"/>
  <c r="T12" i="8"/>
  <c r="U9" i="4"/>
  <c r="N4" i="21"/>
  <c r="S12" i="15"/>
  <c r="M2" i="11"/>
  <c r="R14" i="21"/>
  <c r="M3" i="7"/>
  <c r="M10" i="4"/>
  <c r="R16" i="6"/>
  <c r="N14" i="5"/>
  <c r="Q11" i="21"/>
  <c r="M13" i="19"/>
  <c r="Q6" i="5"/>
  <c r="N17" i="12"/>
  <c r="S12" i="16"/>
  <c r="P5" i="24"/>
  <c r="L18" i="10"/>
  <c r="S8" i="25"/>
  <c r="Q16" i="15"/>
  <c r="O17" i="13"/>
  <c r="N7" i="13"/>
  <c r="P16" i="8"/>
  <c r="U4" i="12"/>
  <c r="U2" i="8"/>
  <c r="T5" i="3"/>
  <c r="T9" i="18"/>
  <c r="M6" i="13"/>
  <c r="U6" i="8"/>
  <c r="O13" i="15"/>
  <c r="O7" i="15"/>
  <c r="L2" i="9"/>
  <c r="T18" i="16"/>
  <c r="Q7" i="16"/>
  <c r="Q19" i="16"/>
  <c r="O11" i="12"/>
  <c r="P9" i="15"/>
  <c r="T4" i="8"/>
  <c r="S15" i="19"/>
  <c r="P6" i="19"/>
  <c r="N13" i="9"/>
  <c r="Q3" i="22"/>
  <c r="R2" i="14"/>
  <c r="L9" i="20"/>
  <c r="S16" i="9"/>
  <c r="T11" i="21"/>
  <c r="U9" i="11"/>
  <c r="N12" i="26"/>
  <c r="N8" i="12"/>
  <c r="T7" i="25"/>
  <c r="S3" i="10"/>
  <c r="R13" i="14"/>
  <c r="N13" i="6"/>
  <c r="N8" i="17"/>
  <c r="S6" i="27"/>
  <c r="P17" i="7"/>
  <c r="N19" i="4"/>
  <c r="M2" i="22"/>
  <c r="O14" i="12"/>
  <c r="N8" i="11"/>
  <c r="M5" i="11"/>
  <c r="R8" i="3"/>
  <c r="N6" i="8"/>
  <c r="N15" i="11"/>
  <c r="S11" i="23"/>
  <c r="L5" i="3"/>
  <c r="U8" i="3"/>
  <c r="O7" i="13"/>
  <c r="T11" i="15"/>
  <c r="N9" i="7"/>
  <c r="M4" i="14"/>
  <c r="U6" i="16"/>
  <c r="Q12" i="23"/>
  <c r="S13" i="21"/>
  <c r="U3" i="17"/>
  <c r="O19" i="24"/>
  <c r="U4" i="22"/>
  <c r="N19" i="22"/>
  <c r="M13" i="25"/>
  <c r="T2" i="12"/>
  <c r="S10" i="3"/>
  <c r="O8" i="7"/>
  <c r="T9" i="20"/>
  <c r="T17" i="26"/>
  <c r="O10" i="7"/>
  <c r="N18" i="4"/>
  <c r="S3" i="27"/>
  <c r="M17" i="21"/>
  <c r="P12" i="22"/>
  <c r="O4" i="13"/>
  <c r="L16" i="26"/>
  <c r="U12" i="15"/>
  <c r="P12" i="13"/>
  <c r="P6" i="17"/>
  <c r="T10" i="18"/>
  <c r="M9" i="16"/>
  <c r="N18" i="15"/>
  <c r="M6" i="12"/>
  <c r="Q5" i="4"/>
  <c r="P12" i="9"/>
  <c r="N3" i="14"/>
  <c r="S7" i="15"/>
  <c r="T4" i="9"/>
  <c r="N4" i="22"/>
  <c r="M2" i="26"/>
  <c r="S16" i="20"/>
  <c r="L4" i="13"/>
  <c r="U10" i="9"/>
  <c r="S11" i="7"/>
  <c r="M16" i="15"/>
  <c r="R14" i="25"/>
  <c r="M12" i="20"/>
  <c r="T4" i="24"/>
  <c r="N14" i="3"/>
  <c r="N13" i="12"/>
  <c r="P11" i="5"/>
  <c r="Q8" i="27"/>
  <c r="U3" i="21"/>
  <c r="S11" i="10"/>
  <c r="O7" i="24"/>
  <c r="T5" i="21"/>
  <c r="L12" i="27"/>
  <c r="R16" i="15"/>
  <c r="U12" i="17"/>
  <c r="Q19" i="14"/>
  <c r="N9" i="21"/>
  <c r="L9" i="24"/>
  <c r="U3" i="11"/>
  <c r="L12" i="20"/>
  <c r="O2" i="24"/>
  <c r="S9" i="18"/>
  <c r="R11" i="7"/>
  <c r="N18" i="12"/>
  <c r="P11" i="18"/>
  <c r="Q6" i="19"/>
  <c r="M15" i="12"/>
  <c r="T5" i="22"/>
  <c r="P17" i="11"/>
  <c r="Q3" i="14"/>
  <c r="L19" i="27"/>
  <c r="N11" i="9"/>
  <c r="Q6" i="10"/>
  <c r="O3" i="7"/>
  <c r="U3" i="18"/>
  <c r="M4" i="24"/>
  <c r="L2" i="23"/>
  <c r="L11" i="5"/>
  <c r="L12" i="14"/>
  <c r="Q18" i="9"/>
  <c r="O5" i="18"/>
  <c r="Q2" i="4"/>
  <c r="P10" i="22"/>
  <c r="N15" i="18"/>
  <c r="M7" i="22"/>
  <c r="R7" i="15"/>
  <c r="P5" i="16"/>
  <c r="T11" i="12"/>
  <c r="O10" i="16"/>
  <c r="Q18" i="15"/>
  <c r="P5" i="11"/>
  <c r="L12" i="12"/>
  <c r="T14" i="10"/>
  <c r="R19" i="13"/>
  <c r="R5" i="15"/>
  <c r="Q11" i="25"/>
  <c r="M11" i="4"/>
  <c r="Q8" i="22"/>
  <c r="U3" i="8"/>
  <c r="L7" i="4"/>
  <c r="M6" i="9"/>
  <c r="Q18" i="18"/>
  <c r="U4" i="25"/>
  <c r="R19" i="16"/>
  <c r="P8" i="14"/>
  <c r="L13" i="27"/>
  <c r="R13" i="25"/>
  <c r="O2" i="22"/>
  <c r="Q7" i="3"/>
  <c r="R7" i="16"/>
  <c r="O17" i="26"/>
  <c r="M8" i="7"/>
  <c r="T5" i="24"/>
  <c r="R7" i="17"/>
  <c r="Q19" i="25"/>
  <c r="O19" i="15"/>
  <c r="N11" i="26"/>
  <c r="O5" i="10"/>
  <c r="M3" i="16"/>
  <c r="O19" i="12"/>
  <c r="N15" i="10"/>
  <c r="S10" i="22"/>
  <c r="U15" i="24"/>
  <c r="R6" i="21"/>
  <c r="M19" i="4"/>
  <c r="S13" i="8"/>
  <c r="O11" i="22"/>
  <c r="S4" i="10"/>
  <c r="R9" i="12"/>
  <c r="P5" i="27"/>
  <c r="Q9" i="13"/>
  <c r="Q17" i="3"/>
  <c r="T17" i="25"/>
  <c r="N17" i="15"/>
  <c r="M2" i="10"/>
  <c r="S4" i="22"/>
  <c r="Q2" i="26"/>
  <c r="L17" i="24"/>
  <c r="N10" i="14"/>
  <c r="R8" i="12"/>
  <c r="N14" i="20"/>
  <c r="P11" i="7"/>
  <c r="P16" i="7"/>
  <c r="Q6" i="25"/>
  <c r="R16" i="13"/>
  <c r="S10" i="12"/>
  <c r="T16" i="25"/>
  <c r="R11" i="11"/>
  <c r="M11" i="16"/>
  <c r="U11" i="7"/>
  <c r="Q10" i="6"/>
  <c r="P4" i="21"/>
  <c r="O18" i="21"/>
  <c r="M9" i="5"/>
  <c r="P14" i="8"/>
  <c r="R7" i="3"/>
  <c r="R18" i="17"/>
  <c r="N8" i="7"/>
  <c r="O6" i="26"/>
  <c r="R19" i="19"/>
  <c r="T12" i="19"/>
  <c r="U8" i="25"/>
  <c r="U4" i="5"/>
  <c r="S3" i="7"/>
  <c r="T8" i="3"/>
  <c r="Q11" i="15"/>
  <c r="S9" i="16"/>
  <c r="R12" i="24"/>
  <c r="Q10" i="19"/>
  <c r="U13" i="21"/>
  <c r="O16" i="19"/>
  <c r="M2" i="16"/>
  <c r="T18" i="21"/>
  <c r="L19" i="19"/>
  <c r="P16" i="4"/>
  <c r="P8" i="7"/>
  <c r="L2" i="27"/>
  <c r="Q12" i="20"/>
  <c r="N12" i="7"/>
  <c r="L6" i="5"/>
  <c r="M15" i="23"/>
  <c r="M3" i="20"/>
  <c r="U5" i="9"/>
  <c r="M19" i="19"/>
  <c r="O3" i="20"/>
  <c r="M11" i="10"/>
  <c r="U14" i="7"/>
  <c r="R11" i="20"/>
  <c r="O11" i="25"/>
  <c r="R15" i="5"/>
  <c r="L15" i="17"/>
  <c r="U13" i="9"/>
  <c r="T12" i="6"/>
  <c r="S10" i="13"/>
  <c r="L5" i="4"/>
  <c r="L19" i="25"/>
  <c r="M3" i="24"/>
  <c r="L4" i="15"/>
  <c r="P4" i="10"/>
  <c r="U18" i="6"/>
  <c r="P3" i="16"/>
  <c r="U9" i="7"/>
  <c r="Q15" i="10"/>
  <c r="R18" i="22"/>
  <c r="U17" i="3"/>
  <c r="R5" i="6"/>
  <c r="P17" i="26"/>
  <c r="M14" i="27"/>
  <c r="R9" i="15"/>
  <c r="U7" i="5"/>
  <c r="T15" i="20"/>
  <c r="L8" i="20"/>
  <c r="M18" i="10"/>
  <c r="Q13" i="4"/>
  <c r="R10" i="8"/>
  <c r="M8" i="5"/>
  <c r="T13" i="27"/>
  <c r="L2" i="21"/>
  <c r="L2" i="17"/>
  <c r="Q10" i="3"/>
  <c r="T11" i="10"/>
  <c r="M13" i="20"/>
  <c r="T2" i="25"/>
  <c r="T8" i="8"/>
  <c r="R3" i="26"/>
  <c r="S8" i="24"/>
  <c r="S4" i="12"/>
  <c r="T14" i="11"/>
  <c r="O12" i="27"/>
  <c r="R3" i="27"/>
  <c r="N10" i="3"/>
  <c r="S11" i="19"/>
  <c r="T19" i="18"/>
  <c r="U14" i="24"/>
  <c r="N12" i="23"/>
  <c r="O8" i="13"/>
  <c r="S6" i="18"/>
  <c r="P6" i="20"/>
  <c r="T2" i="8"/>
  <c r="S19" i="19"/>
  <c r="N18" i="14"/>
  <c r="T12" i="20"/>
  <c r="L6" i="16"/>
  <c r="L11" i="3"/>
  <c r="S13" i="14"/>
  <c r="L6" i="6"/>
  <c r="M4" i="21"/>
  <c r="Q7" i="8"/>
  <c r="O8" i="27"/>
  <c r="O17" i="11"/>
  <c r="N8" i="23"/>
  <c r="O17" i="19"/>
  <c r="U5" i="13"/>
  <c r="U8" i="9"/>
  <c r="P3" i="15"/>
  <c r="L6" i="7"/>
  <c r="R19" i="14"/>
  <c r="U9" i="12"/>
  <c r="Q14" i="6"/>
  <c r="R10" i="17"/>
  <c r="S11" i="14"/>
  <c r="O6" i="3"/>
  <c r="T16" i="26"/>
  <c r="U4" i="21"/>
  <c r="O3" i="18"/>
  <c r="P6" i="4"/>
  <c r="O9" i="7"/>
  <c r="N15" i="5"/>
  <c r="U18" i="5"/>
  <c r="M3" i="23"/>
  <c r="N4" i="26"/>
  <c r="T10" i="19"/>
  <c r="Q18" i="8"/>
  <c r="N8" i="4"/>
  <c r="M4" i="9"/>
  <c r="T8" i="22"/>
  <c r="N19" i="24"/>
  <c r="M17" i="22"/>
  <c r="M2" i="4"/>
  <c r="O12" i="21"/>
  <c r="P5" i="18"/>
  <c r="U4" i="24"/>
  <c r="L12" i="24"/>
  <c r="L8" i="4"/>
  <c r="O9" i="13"/>
  <c r="R16" i="12"/>
  <c r="S5" i="27"/>
  <c r="S7" i="5"/>
  <c r="N6" i="10"/>
  <c r="P15" i="5"/>
  <c r="N15" i="13"/>
  <c r="Q15" i="22"/>
  <c r="N14" i="11"/>
  <c r="T10" i="4"/>
  <c r="P8" i="25"/>
  <c r="R10" i="27"/>
  <c r="M14" i="24"/>
  <c r="Q12" i="4"/>
  <c r="P18" i="7"/>
  <c r="M9" i="23"/>
  <c r="N17" i="6"/>
  <c r="T12" i="12"/>
  <c r="L13" i="8"/>
  <c r="U17" i="25"/>
  <c r="M2" i="23"/>
  <c r="S10" i="26"/>
  <c r="P2" i="25"/>
  <c r="U17" i="18"/>
  <c r="Q17" i="18"/>
  <c r="R15" i="7"/>
  <c r="T19" i="8"/>
  <c r="P10" i="13"/>
  <c r="S17" i="21"/>
  <c r="L3" i="15"/>
  <c r="P18" i="14"/>
  <c r="M4" i="12"/>
  <c r="M7" i="13"/>
  <c r="U11" i="14"/>
  <c r="O11" i="26"/>
  <c r="O7" i="26"/>
  <c r="T11" i="17"/>
  <c r="M11" i="12"/>
  <c r="P15" i="25"/>
  <c r="M15" i="4"/>
  <c r="P17" i="19"/>
  <c r="P10" i="19"/>
  <c r="P6" i="21"/>
  <c r="R10" i="25"/>
  <c r="L10" i="25"/>
  <c r="R2" i="26"/>
  <c r="O5" i="20"/>
  <c r="L5" i="16"/>
  <c r="P8" i="26"/>
  <c r="O19" i="11"/>
  <c r="S8" i="9"/>
  <c r="S13" i="20"/>
  <c r="U6" i="26"/>
  <c r="M15" i="25"/>
  <c r="U6" i="27"/>
  <c r="L18" i="21"/>
  <c r="M12" i="4"/>
  <c r="U11" i="16"/>
  <c r="M12" i="11"/>
  <c r="T16" i="14"/>
  <c r="M7" i="9"/>
  <c r="L4" i="19"/>
  <c r="U2" i="17"/>
  <c r="M12" i="24"/>
  <c r="N10" i="5"/>
  <c r="Q12" i="12"/>
  <c r="T11" i="23"/>
  <c r="P12" i="8"/>
  <c r="N8" i="6"/>
  <c r="N7" i="11"/>
  <c r="L5" i="26"/>
  <c r="S7" i="25"/>
  <c r="N3" i="19"/>
  <c r="T12" i="21"/>
  <c r="T6" i="5"/>
  <c r="L8" i="3"/>
  <c r="T18" i="14"/>
  <c r="M13" i="17"/>
  <c r="N5" i="18"/>
  <c r="O2" i="25"/>
  <c r="U7" i="21"/>
  <c r="L16" i="8"/>
  <c r="R10" i="23"/>
  <c r="N16" i="13"/>
  <c r="L15" i="14"/>
  <c r="U12" i="13"/>
  <c r="O6" i="11"/>
  <c r="Q11" i="14"/>
  <c r="N16" i="5"/>
  <c r="P17" i="6"/>
  <c r="Q10" i="20"/>
  <c r="P2" i="24"/>
  <c r="Q4" i="25"/>
  <c r="P18" i="27"/>
  <c r="Q8" i="5"/>
  <c r="U8" i="23"/>
  <c r="U16" i="16"/>
  <c r="O2" i="17"/>
  <c r="R11" i="12"/>
  <c r="Q16" i="14"/>
  <c r="S3" i="19"/>
  <c r="L14" i="23"/>
  <c r="R8" i="8"/>
  <c r="U9" i="14"/>
  <c r="N14" i="14"/>
  <c r="U13" i="19"/>
  <c r="L4" i="27"/>
  <c r="U4" i="9"/>
  <c r="R18" i="11"/>
  <c r="L2" i="15"/>
  <c r="N13" i="8"/>
  <c r="S7" i="21"/>
  <c r="P14" i="26"/>
  <c r="R13" i="27"/>
  <c r="Q9" i="3"/>
  <c r="M11" i="9"/>
  <c r="M8" i="10"/>
  <c r="M18" i="6"/>
  <c r="L5" i="13"/>
  <c r="M14" i="21"/>
  <c r="O6" i="7"/>
  <c r="T5" i="6"/>
  <c r="O4" i="16"/>
  <c r="Q18" i="3"/>
  <c r="S13" i="15"/>
  <c r="M16" i="10"/>
  <c r="R2" i="20"/>
  <c r="N19" i="14"/>
  <c r="T7" i="23"/>
  <c r="N2" i="6"/>
  <c r="T14" i="13"/>
  <c r="S9" i="4"/>
  <c r="R16" i="9"/>
  <c r="L8" i="6"/>
  <c r="S10" i="21"/>
  <c r="L5" i="20"/>
  <c r="T17" i="6"/>
  <c r="T18" i="26"/>
  <c r="Q18" i="7"/>
  <c r="L6" i="25"/>
  <c r="U5" i="26"/>
  <c r="U19" i="16"/>
  <c r="Q8" i="17"/>
  <c r="R11" i="22"/>
  <c r="N10" i="26"/>
  <c r="O4" i="9"/>
  <c r="S2" i="19"/>
  <c r="T15" i="27"/>
  <c r="O6" i="19"/>
  <c r="S12" i="23"/>
  <c r="R19" i="23"/>
  <c r="O17" i="20"/>
  <c r="N10" i="9"/>
  <c r="O9" i="25"/>
  <c r="P14" i="20"/>
  <c r="R8" i="17"/>
  <c r="O10" i="8"/>
  <c r="R16" i="10"/>
  <c r="U5" i="24"/>
  <c r="S6" i="20"/>
  <c r="O16" i="8"/>
  <c r="M5" i="14"/>
  <c r="Q4" i="15"/>
  <c r="T9" i="10"/>
  <c r="N10" i="11"/>
  <c r="U2" i="6"/>
  <c r="Q7" i="15"/>
  <c r="T9" i="17"/>
  <c r="P3" i="24"/>
  <c r="O12" i="9"/>
  <c r="M19" i="15"/>
  <c r="S19" i="15"/>
  <c r="M8" i="13"/>
  <c r="N5" i="20"/>
  <c r="Q2" i="14"/>
  <c r="S17" i="17"/>
  <c r="Q19" i="7"/>
  <c r="L15" i="19"/>
  <c r="T3" i="12"/>
  <c r="T16" i="19"/>
  <c r="Q11" i="5"/>
  <c r="U3" i="5"/>
  <c r="T3" i="18"/>
  <c r="S6" i="22"/>
  <c r="T10" i="10"/>
  <c r="U3" i="6"/>
  <c r="Q4" i="20"/>
  <c r="P19" i="20"/>
  <c r="L18" i="18"/>
  <c r="U12" i="14"/>
  <c r="T7" i="26"/>
  <c r="P2" i="3"/>
  <c r="S16" i="6"/>
  <c r="T5" i="17"/>
  <c r="S5" i="11"/>
  <c r="M6" i="26"/>
  <c r="N10" i="8"/>
  <c r="L7" i="3"/>
  <c r="N18" i="27"/>
  <c r="L14" i="24"/>
  <c r="T8" i="14"/>
  <c r="O13" i="27"/>
  <c r="P4" i="22"/>
  <c r="U2" i="7"/>
  <c r="S16" i="12"/>
  <c r="O12" i="14"/>
  <c r="N17" i="10"/>
  <c r="T3" i="7"/>
  <c r="N18" i="23"/>
  <c r="P16" i="18"/>
  <c r="Q3" i="27"/>
  <c r="S6" i="23"/>
  <c r="N13" i="3"/>
  <c r="U4" i="19"/>
  <c r="M4" i="3"/>
  <c r="R8" i="4"/>
  <c r="U11" i="10"/>
  <c r="L2" i="24"/>
  <c r="P2" i="20"/>
  <c r="U14" i="27"/>
  <c r="S6" i="6"/>
  <c r="O9" i="12"/>
  <c r="U5" i="22"/>
  <c r="N11" i="6"/>
  <c r="M7" i="12"/>
  <c r="Q7" i="21"/>
  <c r="S7" i="14"/>
  <c r="R16" i="19"/>
  <c r="R12" i="9"/>
  <c r="Q16" i="23"/>
  <c r="N6" i="9"/>
  <c r="L12" i="26"/>
  <c r="U13" i="15"/>
  <c r="L7" i="8"/>
  <c r="R19" i="3"/>
  <c r="R17" i="16"/>
  <c r="N3" i="12"/>
  <c r="L5" i="9"/>
  <c r="L17" i="21"/>
  <c r="U6" i="11"/>
  <c r="N19" i="7"/>
  <c r="T5" i="15"/>
  <c r="N5" i="8"/>
  <c r="O17" i="5"/>
  <c r="N8" i="16"/>
  <c r="Q11" i="4"/>
  <c r="R12" i="11"/>
  <c r="N2" i="10"/>
  <c r="P14" i="5"/>
  <c r="O14" i="23"/>
  <c r="U10" i="12"/>
  <c r="P3" i="3"/>
  <c r="U5" i="6"/>
  <c r="Q15" i="21"/>
  <c r="Q9" i="27"/>
  <c r="O9" i="18"/>
  <c r="U15" i="22"/>
  <c r="M12" i="9"/>
  <c r="U9" i="10"/>
  <c r="R3" i="9"/>
  <c r="L11" i="18"/>
  <c r="N18" i="24"/>
  <c r="Q19" i="12"/>
  <c r="U5" i="21"/>
  <c r="R10" i="24"/>
  <c r="L11" i="19"/>
  <c r="S8" i="8"/>
  <c r="Q2" i="3"/>
  <c r="S14" i="25"/>
  <c r="N14" i="27"/>
  <c r="S12" i="19"/>
  <c r="M7" i="7"/>
  <c r="P6" i="3"/>
  <c r="P10" i="25"/>
  <c r="L10" i="22"/>
  <c r="O5" i="7"/>
  <c r="O4" i="14"/>
  <c r="Q13" i="24"/>
  <c r="L18" i="24"/>
  <c r="U14" i="25"/>
  <c r="P3" i="14"/>
  <c r="M2" i="24"/>
  <c r="Q7" i="19"/>
  <c r="P9" i="16"/>
  <c r="L12" i="25"/>
  <c r="T12" i="15"/>
  <c r="O10" i="19"/>
  <c r="L12" i="10"/>
  <c r="O9" i="19"/>
  <c r="O7" i="22"/>
  <c r="R3" i="16"/>
  <c r="L16" i="10"/>
  <c r="U16" i="7"/>
  <c r="U3" i="22"/>
  <c r="O2" i="6"/>
  <c r="L13" i="23"/>
  <c r="S11" i="24"/>
  <c r="P6" i="7"/>
  <c r="S11" i="21"/>
  <c r="P18" i="9"/>
  <c r="R10" i="15"/>
  <c r="M13" i="21"/>
  <c r="N14" i="6"/>
  <c r="L11" i="22"/>
  <c r="R12" i="19"/>
  <c r="U12" i="19"/>
  <c r="L14" i="20"/>
  <c r="T15" i="25"/>
  <c r="N6" i="18"/>
  <c r="L2" i="7"/>
  <c r="P11" i="15"/>
  <c r="P7" i="12"/>
  <c r="L5" i="6"/>
  <c r="N17" i="3"/>
  <c r="T8" i="18"/>
  <c r="Q17" i="8"/>
  <c r="P10" i="18"/>
  <c r="N17" i="27"/>
  <c r="N9" i="18"/>
  <c r="N5" i="16"/>
  <c r="U17" i="13"/>
  <c r="M15" i="9"/>
  <c r="O7" i="20"/>
  <c r="U12" i="5"/>
  <c r="N4" i="9"/>
  <c r="N8" i="14"/>
  <c r="R16" i="21"/>
  <c r="R2" i="3"/>
  <c r="O11" i="19"/>
  <c r="R12" i="18"/>
  <c r="P3" i="4"/>
  <c r="M10" i="8"/>
  <c r="U16" i="5"/>
  <c r="P8" i="5"/>
  <c r="S8" i="21"/>
  <c r="M7" i="10"/>
  <c r="P2" i="12"/>
  <c r="S4" i="19"/>
  <c r="Q7" i="11"/>
  <c r="O8" i="25"/>
  <c r="Q5" i="15"/>
  <c r="N3" i="11"/>
  <c r="S17" i="24"/>
  <c r="T3" i="4"/>
  <c r="R16" i="8"/>
  <c r="M5" i="12"/>
  <c r="T4" i="13"/>
  <c r="T7" i="27"/>
  <c r="L16" i="25"/>
  <c r="T19" i="19"/>
  <c r="Q16" i="26"/>
  <c r="R6" i="24"/>
  <c r="T9" i="25"/>
  <c r="N3" i="10"/>
  <c r="P18" i="20"/>
  <c r="N12" i="27"/>
  <c r="P18" i="12"/>
  <c r="T15" i="6"/>
  <c r="L19" i="9"/>
  <c r="S19" i="12"/>
  <c r="O2" i="26"/>
  <c r="N16" i="10"/>
  <c r="U8" i="8"/>
  <c r="S10" i="10"/>
  <c r="P4" i="18"/>
  <c r="Q19" i="6"/>
  <c r="R15" i="16"/>
  <c r="N6" i="15"/>
  <c r="M19" i="5"/>
  <c r="U17" i="10"/>
  <c r="O4" i="22"/>
  <c r="R14" i="9"/>
  <c r="O6" i="10"/>
  <c r="P8" i="10"/>
  <c r="Q14" i="11"/>
  <c r="L3" i="3"/>
  <c r="L14" i="27"/>
  <c r="P14" i="7"/>
  <c r="P5" i="9"/>
  <c r="R18" i="15"/>
  <c r="O9" i="4"/>
  <c r="O12" i="23"/>
  <c r="T7" i="5"/>
  <c r="P13" i="11"/>
  <c r="T6" i="10"/>
  <c r="U6" i="15"/>
  <c r="T12" i="22"/>
  <c r="U16" i="26"/>
  <c r="S5" i="18"/>
  <c r="M13" i="22"/>
  <c r="M19" i="23"/>
  <c r="Q13" i="27"/>
  <c r="Q18" i="21"/>
  <c r="M8" i="18"/>
  <c r="U15" i="17"/>
  <c r="S5" i="24"/>
  <c r="T10" i="12"/>
  <c r="M4" i="15"/>
  <c r="O3" i="13"/>
  <c r="S11" i="17"/>
  <c r="S3" i="20"/>
  <c r="T4" i="7"/>
  <c r="P17" i="8"/>
  <c r="U18" i="26"/>
  <c r="R14" i="10"/>
  <c r="M16" i="17"/>
  <c r="L10" i="5"/>
  <c r="R8" i="10"/>
  <c r="S11" i="13"/>
  <c r="N12" i="15"/>
  <c r="M14" i="5"/>
  <c r="U12" i="9"/>
  <c r="T16" i="27"/>
  <c r="S9" i="21"/>
  <c r="M11" i="17"/>
  <c r="N14" i="7"/>
  <c r="U14" i="16"/>
  <c r="R18" i="13"/>
  <c r="R5" i="7"/>
  <c r="S4" i="16"/>
  <c r="U5" i="15"/>
  <c r="R4" i="12"/>
  <c r="R11" i="23"/>
  <c r="R18" i="27"/>
  <c r="T2" i="13"/>
  <c r="N9" i="24"/>
  <c r="T10" i="23"/>
  <c r="N16" i="8"/>
  <c r="O16" i="25"/>
  <c r="Q13" i="9"/>
  <c r="N4" i="17"/>
  <c r="M3" i="21"/>
  <c r="T13" i="12"/>
  <c r="R7" i="7"/>
  <c r="T4" i="10"/>
  <c r="T2" i="17"/>
  <c r="T2" i="27"/>
  <c r="M15" i="19"/>
  <c r="N16" i="21"/>
  <c r="P19" i="17"/>
  <c r="Q16" i="12"/>
  <c r="T7" i="4"/>
  <c r="N17" i="18"/>
  <c r="M6" i="5"/>
  <c r="M9" i="27"/>
  <c r="N12" i="21"/>
  <c r="L8" i="14"/>
  <c r="M14" i="6"/>
  <c r="U5" i="8"/>
  <c r="S19" i="10"/>
  <c r="S12" i="26"/>
  <c r="R5" i="25"/>
  <c r="M10" i="21"/>
  <c r="O16" i="15"/>
  <c r="R4" i="15"/>
  <c r="U16" i="25"/>
  <c r="R13" i="26"/>
  <c r="T5" i="19"/>
  <c r="M4" i="13"/>
  <c r="T8" i="19"/>
  <c r="T16" i="11"/>
  <c r="R17" i="22"/>
  <c r="P15" i="23"/>
  <c r="M5" i="20"/>
  <c r="Q3" i="12"/>
  <c r="M3" i="3"/>
  <c r="N18" i="18"/>
  <c r="L7" i="18"/>
  <c r="Q7" i="23"/>
  <c r="N16" i="14"/>
  <c r="L4" i="26"/>
  <c r="O12" i="10"/>
  <c r="L2" i="4"/>
  <c r="N19" i="12"/>
  <c r="O10" i="24"/>
  <c r="P8" i="27"/>
  <c r="N12" i="19"/>
  <c r="U11" i="20"/>
  <c r="P9" i="5"/>
  <c r="U12" i="23"/>
  <c r="O14" i="18"/>
  <c r="P19" i="19"/>
  <c r="O13" i="8"/>
  <c r="S6" i="7"/>
  <c r="M6" i="24"/>
  <c r="T16" i="16"/>
  <c r="S5" i="17"/>
  <c r="M9" i="3"/>
  <c r="M10" i="12"/>
  <c r="U17" i="27"/>
  <c r="P5" i="13"/>
  <c r="T7" i="10"/>
  <c r="O13" i="4"/>
  <c r="P7" i="24"/>
  <c r="U2" i="14"/>
  <c r="R5" i="14"/>
  <c r="O8" i="10"/>
  <c r="T4" i="5"/>
  <c r="R9" i="27"/>
  <c r="Q2" i="20"/>
  <c r="S15" i="14"/>
  <c r="N19" i="15"/>
  <c r="N11" i="27"/>
  <c r="N5" i="3"/>
  <c r="L11" i="16"/>
  <c r="M14" i="10"/>
  <c r="M6" i="16"/>
  <c r="T9" i="21"/>
  <c r="O12" i="22"/>
  <c r="O16" i="9"/>
  <c r="N14" i="15"/>
  <c r="U9" i="16"/>
  <c r="R9" i="11"/>
  <c r="P13" i="5"/>
  <c r="L8" i="18"/>
  <c r="S2" i="18"/>
  <c r="U14" i="15"/>
  <c r="O9" i="15"/>
  <c r="R10" i="13"/>
  <c r="N19" i="23"/>
  <c r="T18" i="11"/>
  <c r="P6" i="25"/>
  <c r="N8" i="15"/>
  <c r="M13" i="9"/>
  <c r="O3" i="16"/>
  <c r="S11" i="6"/>
  <c r="Q7" i="6"/>
  <c r="Q2" i="19"/>
  <c r="M18" i="3"/>
  <c r="L4" i="16"/>
  <c r="L2" i="18"/>
  <c r="M16" i="20"/>
  <c r="O11" i="20"/>
  <c r="P16" i="20"/>
  <c r="T4" i="22"/>
  <c r="L17" i="15"/>
  <c r="S14" i="5"/>
  <c r="R10" i="18"/>
  <c r="P10" i="10"/>
  <c r="M17" i="15"/>
  <c r="S7" i="18"/>
  <c r="U16" i="8"/>
  <c r="S2" i="25"/>
  <c r="P8" i="23"/>
  <c r="Q11" i="16"/>
  <c r="O6" i="6"/>
  <c r="S16" i="24"/>
  <c r="L16" i="14"/>
  <c r="Q8" i="3"/>
  <c r="P14" i="24"/>
  <c r="M5" i="15"/>
  <c r="M10" i="3"/>
  <c r="R5" i="9"/>
  <c r="O7" i="4"/>
  <c r="O12" i="18"/>
  <c r="U9" i="17"/>
  <c r="P4" i="11"/>
  <c r="P13" i="22"/>
  <c r="L9" i="7"/>
  <c r="P12" i="6"/>
  <c r="Q8" i="15"/>
  <c r="T7" i="12"/>
  <c r="M5" i="27"/>
  <c r="Q14" i="26"/>
  <c r="R8" i="26"/>
  <c r="M18" i="12"/>
  <c r="N17" i="14"/>
  <c r="M2" i="8"/>
  <c r="U2" i="20"/>
  <c r="M6" i="23"/>
  <c r="P13" i="10"/>
  <c r="U6" i="9"/>
  <c r="N17" i="13"/>
  <c r="Q6" i="12"/>
  <c r="M2" i="19"/>
  <c r="N12" i="25"/>
  <c r="T4" i="14"/>
  <c r="L3" i="23"/>
  <c r="L10" i="13"/>
  <c r="P3" i="20"/>
  <c r="L16" i="20"/>
  <c r="M12" i="8"/>
  <c r="S12" i="8"/>
  <c r="T2" i="9"/>
  <c r="R17" i="11"/>
  <c r="S2" i="27"/>
  <c r="M13" i="23"/>
  <c r="S7" i="26"/>
  <c r="U17" i="26"/>
  <c r="R5" i="24"/>
  <c r="Q10" i="27"/>
  <c r="M17" i="17"/>
  <c r="P2" i="18"/>
  <c r="M11" i="26"/>
  <c r="U16" i="4"/>
  <c r="O7" i="3"/>
  <c r="L13" i="3"/>
  <c r="P13" i="14"/>
  <c r="T19" i="26"/>
  <c r="L4" i="9"/>
  <c r="M13" i="24"/>
  <c r="U9" i="20"/>
  <c r="L17" i="18"/>
  <c r="M10" i="16"/>
  <c r="T7" i="24"/>
  <c r="L6" i="20"/>
  <c r="O11" i="23"/>
  <c r="S17" i="3"/>
  <c r="T9" i="16"/>
  <c r="L13" i="10"/>
  <c r="O14" i="17"/>
  <c r="O8" i="19"/>
  <c r="T2" i="4"/>
  <c r="O5" i="12"/>
  <c r="N6" i="22"/>
  <c r="O12" i="5"/>
  <c r="T3" i="3"/>
  <c r="R16" i="18"/>
  <c r="M13" i="5"/>
  <c r="L6" i="23"/>
  <c r="Q8" i="19"/>
  <c r="O12" i="12"/>
  <c r="U14" i="6"/>
  <c r="U7" i="4"/>
  <c r="Q18" i="11"/>
  <c r="M7" i="16"/>
  <c r="P7" i="5"/>
  <c r="P9" i="9"/>
  <c r="P3" i="13"/>
  <c r="O4" i="17"/>
  <c r="L5" i="25"/>
  <c r="N4" i="3"/>
  <c r="S14" i="4"/>
  <c r="L15" i="10"/>
  <c r="U6" i="10"/>
  <c r="Q13" i="13"/>
  <c r="R14" i="26"/>
  <c r="P7" i="14"/>
  <c r="L9" i="10"/>
  <c r="R4" i="27"/>
  <c r="L10" i="3"/>
  <c r="U19" i="25"/>
  <c r="W10" i="3" l="1"/>
  <c r="E10" i="2"/>
  <c r="W9" i="10"/>
  <c r="W15" i="10"/>
  <c r="W5" i="25"/>
  <c r="W6" i="23"/>
  <c r="W13" i="10"/>
  <c r="W6" i="20"/>
  <c r="W17" i="18"/>
  <c r="W4" i="9"/>
  <c r="W13" i="3"/>
  <c r="E13" i="2"/>
  <c r="W16" i="20"/>
  <c r="W10" i="13"/>
  <c r="W3" i="23"/>
  <c r="W9" i="7"/>
  <c r="W16" i="14"/>
  <c r="W17" i="15"/>
  <c r="W2" i="18"/>
  <c r="W25" i="2" s="1"/>
  <c r="W4" i="16"/>
  <c r="W8" i="18"/>
  <c r="W11" i="16"/>
  <c r="W2" i="4"/>
  <c r="I25" i="2" s="1"/>
  <c r="W4" i="26"/>
  <c r="W7" i="18"/>
  <c r="W8" i="14"/>
  <c r="W10" i="5"/>
  <c r="W14" i="27"/>
  <c r="W3" i="3"/>
  <c r="E3" i="2"/>
  <c r="W19" i="9"/>
  <c r="W16" i="25"/>
  <c r="W5" i="6"/>
  <c r="W2" i="7"/>
  <c r="L25" i="2" s="1"/>
  <c r="W14" i="20"/>
  <c r="W11" i="22"/>
  <c r="W13" i="23"/>
  <c r="W16" i="10"/>
  <c r="W12" i="10"/>
  <c r="W12" i="25"/>
  <c r="W18" i="24"/>
  <c r="W10" i="22"/>
  <c r="W11" i="19"/>
  <c r="W11" i="18"/>
  <c r="W17" i="21"/>
  <c r="W5" i="9"/>
  <c r="W7" i="8"/>
  <c r="W12" i="26"/>
  <c r="W2" i="24"/>
  <c r="AC25" i="2" s="1"/>
  <c r="W14" i="24"/>
  <c r="W7" i="3"/>
  <c r="E7" i="2"/>
  <c r="W18" i="18"/>
  <c r="W15" i="19"/>
  <c r="W6" i="25"/>
  <c r="W5" i="20"/>
  <c r="W8" i="6"/>
  <c r="W5" i="13"/>
  <c r="W2" i="15"/>
  <c r="T25" i="2" s="1"/>
  <c r="W4" i="27"/>
  <c r="W14" i="23"/>
  <c r="W15" i="14"/>
  <c r="W16" i="8"/>
  <c r="E8" i="2"/>
  <c r="W8" i="3"/>
  <c r="W5" i="26"/>
  <c r="W4" i="19"/>
  <c r="W18" i="21"/>
  <c r="W5" i="16"/>
  <c r="W10" i="25"/>
  <c r="W3" i="15"/>
  <c r="W13" i="8"/>
  <c r="W8" i="4"/>
  <c r="W12" i="24"/>
  <c r="W6" i="7"/>
  <c r="W6" i="6"/>
  <c r="E11" i="2"/>
  <c r="W11" i="3"/>
  <c r="W6" i="16"/>
  <c r="W2" i="17"/>
  <c r="V25" i="2" s="1"/>
  <c r="W2" i="21"/>
  <c r="Z25" i="2" s="1"/>
  <c r="W8" i="20"/>
  <c r="W4" i="15"/>
  <c r="W19" i="25"/>
  <c r="W5" i="4"/>
  <c r="W15" i="17"/>
  <c r="W6" i="5"/>
  <c r="W2" i="27"/>
  <c r="AF25" i="2" s="1"/>
  <c r="W19" i="19"/>
  <c r="W17" i="24"/>
  <c r="W13" i="27"/>
  <c r="W7" i="4"/>
  <c r="W12" i="12"/>
  <c r="W12" i="14"/>
  <c r="W11" i="5"/>
  <c r="W2" i="23"/>
  <c r="AB25" i="2" s="1"/>
  <c r="W19" i="27"/>
  <c r="W12" i="20"/>
  <c r="W9" i="24"/>
  <c r="W12" i="27"/>
  <c r="W4" i="13"/>
  <c r="W16" i="26"/>
  <c r="W5" i="3"/>
  <c r="E5" i="2"/>
  <c r="W9" i="20"/>
  <c r="W2" i="9"/>
  <c r="N25" i="2" s="1"/>
  <c r="W18" i="10"/>
  <c r="W5" i="22"/>
  <c r="W15" i="9"/>
  <c r="W6" i="14"/>
  <c r="W12" i="6"/>
  <c r="W3" i="22"/>
  <c r="W3" i="18"/>
  <c r="W9" i="5"/>
  <c r="W15" i="21"/>
  <c r="W3" i="21"/>
  <c r="W9" i="27"/>
  <c r="W7" i="15"/>
  <c r="W19" i="11"/>
  <c r="W17" i="20"/>
  <c r="W3" i="4"/>
  <c r="W8" i="10"/>
  <c r="W4" i="25"/>
  <c r="W11" i="26"/>
  <c r="W11" i="25"/>
  <c r="E6" i="2"/>
  <c r="W6" i="3"/>
  <c r="W8" i="22"/>
  <c r="W10" i="19"/>
  <c r="W4" i="3"/>
  <c r="E4" i="2"/>
  <c r="W12" i="4"/>
  <c r="W15" i="3"/>
  <c r="E15" i="2"/>
  <c r="W12" i="19"/>
  <c r="W7" i="20"/>
  <c r="W3" i="8"/>
  <c r="W9" i="12"/>
  <c r="W8" i="27"/>
  <c r="W7" i="26"/>
  <c r="W13" i="24"/>
  <c r="W4" i="21"/>
  <c r="W13" i="5"/>
  <c r="W11" i="12"/>
  <c r="W13" i="4"/>
  <c r="W17" i="22"/>
  <c r="W6" i="17"/>
  <c r="W15" i="15"/>
  <c r="W13" i="17"/>
  <c r="W13" i="21"/>
  <c r="W4" i="23"/>
  <c r="W19" i="22"/>
  <c r="W15" i="6"/>
  <c r="W3" i="5"/>
  <c r="W8" i="17"/>
  <c r="W7" i="7"/>
  <c r="W18" i="11"/>
  <c r="W5" i="18"/>
  <c r="W5" i="21"/>
  <c r="W10" i="12"/>
  <c r="W15" i="27"/>
  <c r="W16" i="16"/>
  <c r="W8" i="13"/>
  <c r="W11" i="6"/>
  <c r="W7" i="19"/>
  <c r="W19" i="6"/>
  <c r="W9" i="4"/>
  <c r="W3" i="17"/>
  <c r="W10" i="24"/>
  <c r="W6" i="10"/>
  <c r="W4" i="12"/>
  <c r="W6" i="19"/>
  <c r="W16" i="12"/>
  <c r="W16" i="17"/>
  <c r="W19" i="10"/>
  <c r="W15" i="22"/>
  <c r="W18" i="15"/>
  <c r="W12" i="7"/>
  <c r="W10" i="21"/>
  <c r="W10" i="18"/>
  <c r="W5" i="23"/>
  <c r="W16" i="11"/>
  <c r="W14" i="14"/>
  <c r="W10" i="4"/>
  <c r="W13" i="16"/>
  <c r="W2" i="22"/>
  <c r="AA25" i="2" s="1"/>
  <c r="W8" i="7"/>
  <c r="W5" i="24"/>
  <c r="W12" i="17"/>
  <c r="W14" i="13"/>
  <c r="W13" i="22"/>
  <c r="W14" i="19"/>
  <c r="W7" i="13"/>
  <c r="W17" i="25"/>
  <c r="W3" i="6"/>
  <c r="W3" i="10"/>
  <c r="W13" i="25"/>
  <c r="W16" i="27"/>
  <c r="W10" i="16"/>
  <c r="W11" i="24"/>
  <c r="W9" i="9"/>
  <c r="W4" i="7"/>
  <c r="W14" i="21"/>
  <c r="W6" i="4"/>
  <c r="W17" i="27"/>
  <c r="W19" i="13"/>
  <c r="W6" i="9"/>
  <c r="W10" i="14"/>
  <c r="W6" i="21"/>
  <c r="W14" i="12"/>
  <c r="W11" i="10"/>
  <c r="W15" i="26"/>
  <c r="W4" i="24"/>
  <c r="W17" i="7"/>
  <c r="W7" i="6"/>
  <c r="W16" i="19"/>
  <c r="W9" i="25"/>
  <c r="E18" i="2"/>
  <c r="W18" i="3"/>
  <c r="W19" i="20"/>
  <c r="W10" i="27"/>
  <c r="W8" i="23"/>
  <c r="W11" i="7"/>
  <c r="W17" i="5"/>
  <c r="W18" i="8"/>
  <c r="W2" i="6"/>
  <c r="K25" i="2" s="1"/>
  <c r="W19" i="5"/>
  <c r="W7" i="17"/>
  <c r="W13" i="15"/>
  <c r="W9" i="23"/>
  <c r="W8" i="5"/>
  <c r="W17" i="12"/>
  <c r="W9" i="15"/>
  <c r="W18" i="26"/>
  <c r="W13" i="9"/>
  <c r="W12" i="8"/>
  <c r="W18" i="17"/>
  <c r="W2" i="3"/>
  <c r="E2" i="2"/>
  <c r="W18" i="22"/>
  <c r="W14" i="17"/>
  <c r="W18" i="14"/>
  <c r="W3" i="24"/>
  <c r="W11" i="4"/>
  <c r="W12" i="5"/>
  <c r="W2" i="5"/>
  <c r="J25" i="2" s="1"/>
  <c r="W16" i="15"/>
  <c r="W16" i="21"/>
  <c r="W7" i="9"/>
  <c r="W12" i="15"/>
  <c r="W5" i="14"/>
  <c r="W3" i="11"/>
  <c r="W11" i="23"/>
  <c r="W2" i="8"/>
  <c r="M25" i="2" s="1"/>
  <c r="W14" i="8"/>
  <c r="W3" i="20"/>
  <c r="W2" i="11"/>
  <c r="P25" i="2" s="1"/>
  <c r="W18" i="20"/>
  <c r="W5" i="27"/>
  <c r="W19" i="16"/>
  <c r="W16" i="3"/>
  <c r="E16" i="2"/>
  <c r="W19" i="18"/>
  <c r="W12" i="16"/>
  <c r="W7" i="24"/>
  <c r="W10" i="8"/>
  <c r="W19" i="21"/>
  <c r="W10" i="15"/>
  <c r="W12" i="11"/>
  <c r="W19" i="24"/>
  <c r="W14" i="5"/>
  <c r="W10" i="7"/>
  <c r="W5" i="7"/>
  <c r="W4" i="8"/>
  <c r="W15" i="25"/>
  <c r="W15" i="20"/>
  <c r="W5" i="19"/>
  <c r="W9" i="26"/>
  <c r="W4" i="4"/>
  <c r="W11" i="20"/>
  <c r="W15" i="12"/>
  <c r="W17" i="14"/>
  <c r="W14" i="22"/>
  <c r="E12" i="2"/>
  <c r="W12" i="3"/>
  <c r="W5" i="12"/>
  <c r="W15" i="11"/>
  <c r="W3" i="16"/>
  <c r="W8" i="8"/>
  <c r="W18" i="23"/>
  <c r="W5" i="8"/>
  <c r="W18" i="16"/>
  <c r="W9" i="11"/>
  <c r="W14" i="6"/>
  <c r="W8" i="15"/>
  <c r="W7" i="25"/>
  <c r="W9" i="8"/>
  <c r="W10" i="10"/>
  <c r="W2" i="14"/>
  <c r="S25" i="2" s="1"/>
  <c r="W11" i="13"/>
  <c r="W2" i="20"/>
  <c r="Y25" i="2" s="1"/>
  <c r="W18" i="25"/>
  <c r="W2" i="25"/>
  <c r="AD25" i="2" s="1"/>
  <c r="W8" i="26"/>
  <c r="W15" i="8"/>
  <c r="W3" i="14"/>
  <c r="W10" i="23"/>
  <c r="W10" i="17"/>
  <c r="W17" i="23"/>
  <c r="W14" i="4"/>
  <c r="W9" i="22"/>
  <c r="W19" i="14"/>
  <c r="W7" i="10"/>
  <c r="W7" i="21"/>
  <c r="W12" i="23"/>
  <c r="W6" i="26"/>
  <c r="W16" i="23"/>
  <c r="W13" i="7"/>
  <c r="W6" i="18"/>
  <c r="W14" i="15"/>
  <c r="W17" i="16"/>
  <c r="W16" i="7"/>
  <c r="W12" i="13"/>
  <c r="W15" i="5"/>
  <c r="W2" i="12"/>
  <c r="Q25" i="2" s="1"/>
  <c r="W11" i="11"/>
  <c r="W16" i="24"/>
  <c r="W13" i="11"/>
  <c r="W14" i="16"/>
  <c r="W10" i="9"/>
  <c r="W2" i="10"/>
  <c r="O25" i="2" s="1"/>
  <c r="W7" i="16"/>
  <c r="W10" i="26"/>
  <c r="W13" i="12"/>
  <c r="W18" i="7"/>
  <c r="W8" i="11"/>
  <c r="W12" i="9"/>
  <c r="W18" i="5"/>
  <c r="W7" i="11"/>
  <c r="W15" i="13"/>
  <c r="W13" i="18"/>
  <c r="W3" i="9"/>
  <c r="E17" i="2"/>
  <c r="W17" i="3"/>
  <c r="W4" i="10"/>
  <c r="W18" i="6"/>
  <c r="W9" i="17"/>
  <c r="W14" i="25"/>
  <c r="W11" i="9"/>
  <c r="W19" i="26"/>
  <c r="W6" i="8"/>
  <c r="W5" i="10"/>
  <c r="W8" i="19"/>
  <c r="W14" i="18"/>
  <c r="W16" i="22"/>
  <c r="W17" i="26"/>
  <c r="W7" i="5"/>
  <c r="W5" i="5"/>
  <c r="W4" i="17"/>
  <c r="W8" i="21"/>
  <c r="W3" i="19"/>
  <c r="W14" i="7"/>
  <c r="W4" i="6"/>
  <c r="W7" i="12"/>
  <c r="W17" i="9"/>
  <c r="W9" i="13"/>
  <c r="W3" i="25"/>
  <c r="W19" i="17"/>
  <c r="W11" i="8"/>
  <c r="W5" i="11"/>
  <c r="W17" i="4"/>
  <c r="W6" i="27"/>
  <c r="W4" i="20"/>
  <c r="W14" i="3"/>
  <c r="E14" i="2"/>
  <c r="W11" i="14"/>
  <c r="W6" i="24"/>
  <c r="W10" i="20"/>
  <c r="W12" i="21"/>
  <c r="W8" i="24"/>
  <c r="W19" i="12"/>
  <c r="W9" i="18"/>
  <c r="W6" i="12"/>
  <c r="W13" i="6"/>
  <c r="W8" i="9"/>
  <c r="W18" i="19"/>
  <c r="W8" i="12"/>
  <c r="W13" i="13"/>
  <c r="W9" i="14"/>
  <c r="W4" i="14"/>
  <c r="W18" i="4"/>
  <c r="W4" i="22"/>
  <c r="W4" i="5"/>
  <c r="W3" i="12"/>
  <c r="W6" i="15"/>
  <c r="W14" i="26"/>
  <c r="W19" i="8"/>
  <c r="W19" i="23"/>
  <c r="W17" i="13"/>
  <c r="W16" i="13"/>
  <c r="W2" i="26"/>
  <c r="AE25" i="2" s="1"/>
  <c r="W8" i="16"/>
  <c r="W19" i="4"/>
  <c r="W19" i="7"/>
  <c r="W17" i="17"/>
  <c r="W3" i="7"/>
  <c r="W18" i="13"/>
  <c r="E19" i="2"/>
  <c r="W19" i="3"/>
  <c r="W14" i="9"/>
  <c r="W3" i="26"/>
  <c r="W11" i="15"/>
  <c r="W9" i="19"/>
  <c r="W7" i="23"/>
  <c r="W13" i="20"/>
  <c r="W9" i="21"/>
  <c r="W11" i="17"/>
  <c r="W13" i="19"/>
  <c r="W15" i="16"/>
  <c r="W2" i="13"/>
  <c r="R25" i="2" s="1"/>
  <c r="W15" i="7"/>
  <c r="W2" i="16"/>
  <c r="U25" i="2" s="1"/>
  <c r="W16" i="9"/>
  <c r="W4" i="11"/>
  <c r="W2" i="19"/>
  <c r="X25" i="2" s="1"/>
  <c r="W14" i="10"/>
  <c r="W16" i="6"/>
  <c r="W7" i="22"/>
  <c r="W4" i="18"/>
  <c r="W5" i="15"/>
  <c r="W17" i="6"/>
  <c r="W15" i="18"/>
  <c r="W16" i="18"/>
  <c r="W7" i="27"/>
  <c r="W19" i="15"/>
  <c r="W6" i="13"/>
  <c r="W18" i="12"/>
  <c r="W9" i="3"/>
  <c r="E9" i="2"/>
  <c r="W3" i="27"/>
  <c r="W6" i="22"/>
  <c r="W11" i="21"/>
  <c r="W3" i="13"/>
  <c r="W12" i="22"/>
  <c r="W17" i="11"/>
  <c r="W8" i="25"/>
  <c r="W17" i="8"/>
  <c r="W7" i="14"/>
  <c r="W17" i="19"/>
  <c r="W13" i="14"/>
  <c r="W15" i="4"/>
  <c r="W9" i="6"/>
  <c r="W16" i="4"/>
  <c r="W5" i="17"/>
  <c r="W14" i="11"/>
  <c r="W15" i="23"/>
  <c r="W13" i="26"/>
  <c r="W10" i="11"/>
  <c r="W10" i="6"/>
  <c r="W11" i="27"/>
  <c r="W6" i="11"/>
  <c r="W15" i="24"/>
  <c r="W17" i="10"/>
  <c r="W9" i="16"/>
  <c r="W16" i="5"/>
  <c r="W18" i="9"/>
  <c r="W12" i="18"/>
  <c r="W18" i="27"/>
  <c r="F19" i="2" l="1"/>
  <c r="F40" i="2" s="1"/>
  <c r="Y9" i="9"/>
  <c r="Y9" i="17"/>
  <c r="Y9" i="27"/>
  <c r="Y9" i="25"/>
  <c r="Y9" i="6"/>
  <c r="Y9" i="24"/>
  <c r="Y9" i="8"/>
  <c r="Y9" i="23"/>
  <c r="Y9" i="11"/>
  <c r="Y9" i="20"/>
  <c r="Y9" i="21"/>
  <c r="Y9" i="18"/>
  <c r="Y9" i="13"/>
  <c r="Y9" i="19"/>
  <c r="Y9" i="16"/>
  <c r="Y9" i="14"/>
  <c r="Y9" i="5"/>
  <c r="Y9" i="10"/>
  <c r="Y9" i="3"/>
  <c r="Y9" i="22"/>
  <c r="Y9" i="26"/>
  <c r="Y9" i="4"/>
  <c r="Y9" i="7"/>
  <c r="Y9" i="12"/>
  <c r="Y9" i="15"/>
  <c r="Y19" i="5"/>
  <c r="Y19" i="6"/>
  <c r="Y19" i="11"/>
  <c r="Y19" i="25"/>
  <c r="Y19" i="18"/>
  <c r="Y19" i="9"/>
  <c r="Y19" i="21"/>
  <c r="Y19" i="13"/>
  <c r="Y19" i="4"/>
  <c r="Y19" i="12"/>
  <c r="Y19" i="23"/>
  <c r="Y19" i="15"/>
  <c r="Y19" i="16"/>
  <c r="Y19" i="20"/>
  <c r="Y19" i="8"/>
  <c r="Y19" i="14"/>
  <c r="Y19" i="22"/>
  <c r="Y19" i="3"/>
  <c r="Y19" i="19"/>
  <c r="Y19" i="27"/>
  <c r="Y19" i="17"/>
  <c r="Y19" i="7"/>
  <c r="Y19" i="24"/>
  <c r="Y19" i="10"/>
  <c r="Y19" i="26"/>
  <c r="F9" i="2"/>
  <c r="F30" i="2" s="1"/>
  <c r="F16" i="2"/>
  <c r="F37" i="2" s="1"/>
  <c r="F13" i="2"/>
  <c r="F34" i="2" s="1"/>
  <c r="Y3" i="10"/>
  <c r="Y3" i="26"/>
  <c r="Y3" i="7"/>
  <c r="Y3" i="22"/>
  <c r="Y3" i="14"/>
  <c r="Y3" i="3"/>
  <c r="Y3" i="27"/>
  <c r="Y3" i="5"/>
  <c r="Y3" i="25"/>
  <c r="Y3" i="18"/>
  <c r="Y3" i="6"/>
  <c r="Y3" i="23"/>
  <c r="Y3" i="13"/>
  <c r="Y3" i="12"/>
  <c r="Y3" i="4"/>
  <c r="Y3" i="9"/>
  <c r="Y3" i="16"/>
  <c r="Y3" i="11"/>
  <c r="Y3" i="19"/>
  <c r="Y3" i="24"/>
  <c r="Y3" i="8"/>
  <c r="Y3" i="20"/>
  <c r="Y3" i="21"/>
  <c r="Y3" i="15"/>
  <c r="Y3" i="17"/>
  <c r="F5" i="2"/>
  <c r="F26" i="2" s="1"/>
  <c r="F11" i="2"/>
  <c r="F32" i="2" s="1"/>
  <c r="Y14" i="4"/>
  <c r="Y14" i="18"/>
  <c r="Y14" i="12"/>
  <c r="Y14" i="25"/>
  <c r="Y14" i="27"/>
  <c r="Y14" i="24"/>
  <c r="Y14" i="16"/>
  <c r="Y14" i="6"/>
  <c r="Y14" i="15"/>
  <c r="Y14" i="19"/>
  <c r="Y14" i="7"/>
  <c r="Y14" i="17"/>
  <c r="Y14" i="9"/>
  <c r="Y14" i="8"/>
  <c r="Y14" i="11"/>
  <c r="Y14" i="3"/>
  <c r="Y14" i="10"/>
  <c r="Y14" i="22"/>
  <c r="Y14" i="13"/>
  <c r="Y14" i="26"/>
  <c r="Y14" i="14"/>
  <c r="Y14" i="5"/>
  <c r="Y14" i="20"/>
  <c r="Y14" i="23"/>
  <c r="Y14" i="21"/>
  <c r="Y17" i="16"/>
  <c r="Y17" i="9"/>
  <c r="Y17" i="19"/>
  <c r="Y17" i="21"/>
  <c r="Y17" i="25"/>
  <c r="Y17" i="23"/>
  <c r="Y17" i="27"/>
  <c r="Y17" i="17"/>
  <c r="Y17" i="10"/>
  <c r="Y17" i="8"/>
  <c r="Y17" i="20"/>
  <c r="Y17" i="14"/>
  <c r="Y17" i="22"/>
  <c r="Y17" i="5"/>
  <c r="Y17" i="13"/>
  <c r="Y17" i="18"/>
  <c r="Y17" i="15"/>
  <c r="Y17" i="12"/>
  <c r="Y17" i="7"/>
  <c r="Y17" i="4"/>
  <c r="Y17" i="6"/>
  <c r="Y17" i="11"/>
  <c r="Y17" i="24"/>
  <c r="Y17" i="26"/>
  <c r="Y17" i="3"/>
  <c r="Y12" i="16"/>
  <c r="Y12" i="8"/>
  <c r="Y12" i="15"/>
  <c r="Y12" i="20"/>
  <c r="Y12" i="5"/>
  <c r="Y12" i="25"/>
  <c r="Y12" i="22"/>
  <c r="Y12" i="18"/>
  <c r="Y12" i="10"/>
  <c r="Y12" i="21"/>
  <c r="Y12" i="17"/>
  <c r="Y12" i="4"/>
  <c r="Y12" i="24"/>
  <c r="Y12" i="26"/>
  <c r="Y12" i="13"/>
  <c r="Y12" i="11"/>
  <c r="Y12" i="9"/>
  <c r="Y12" i="27"/>
  <c r="Y12" i="14"/>
  <c r="Y12" i="7"/>
  <c r="Y12" i="3"/>
  <c r="Y12" i="12"/>
  <c r="Y12" i="23"/>
  <c r="Y12" i="6"/>
  <c r="Y12" i="19"/>
  <c r="F14" i="2"/>
  <c r="F35" i="2" s="1"/>
  <c r="Y15" i="16"/>
  <c r="Y15" i="21"/>
  <c r="Y15" i="4"/>
  <c r="Y15" i="27"/>
  <c r="Y15" i="6"/>
  <c r="Y15" i="3"/>
  <c r="Y15" i="15"/>
  <c r="Y15" i="24"/>
  <c r="Y15" i="13"/>
  <c r="Y15" i="8"/>
  <c r="Y15" i="10"/>
  <c r="Y15" i="11"/>
  <c r="Y15" i="17"/>
  <c r="Y15" i="25"/>
  <c r="Y15" i="20"/>
  <c r="Y15" i="22"/>
  <c r="Y15" i="26"/>
  <c r="Y15" i="7"/>
  <c r="Y15" i="18"/>
  <c r="Y15" i="12"/>
  <c r="Y15" i="23"/>
  <c r="Y15" i="19"/>
  <c r="Y15" i="9"/>
  <c r="Y15" i="5"/>
  <c r="Y15" i="14"/>
  <c r="Y7" i="6"/>
  <c r="Y7" i="21"/>
  <c r="Y7" i="17"/>
  <c r="Y7" i="26"/>
  <c r="Y7" i="13"/>
  <c r="Y7" i="24"/>
  <c r="Y7" i="9"/>
  <c r="Y7" i="14"/>
  <c r="Y7" i="11"/>
  <c r="Y7" i="22"/>
  <c r="Y7" i="19"/>
  <c r="Y7" i="27"/>
  <c r="Y7" i="16"/>
  <c r="Y7" i="10"/>
  <c r="Y7" i="8"/>
  <c r="Y7" i="12"/>
  <c r="Y7" i="18"/>
  <c r="Y7" i="20"/>
  <c r="Y7" i="4"/>
  <c r="Y7" i="25"/>
  <c r="Y7" i="5"/>
  <c r="Y7" i="7"/>
  <c r="Y7" i="23"/>
  <c r="Y7" i="3"/>
  <c r="Y7" i="15"/>
  <c r="F15" i="2"/>
  <c r="F36" i="2" s="1"/>
  <c r="F6" i="2"/>
  <c r="F27" i="2" s="1"/>
  <c r="Y11" i="7"/>
  <c r="Y11" i="17"/>
  <c r="Y11" i="20"/>
  <c r="Y11" i="24"/>
  <c r="Y11" i="5"/>
  <c r="Y11" i="25"/>
  <c r="Y11" i="15"/>
  <c r="Y11" i="21"/>
  <c r="Y11" i="9"/>
  <c r="Y11" i="12"/>
  <c r="Y11" i="4"/>
  <c r="Y11" i="23"/>
  <c r="Y11" i="18"/>
  <c r="Y11" i="16"/>
  <c r="Y11" i="22"/>
  <c r="Y11" i="3"/>
  <c r="Y11" i="13"/>
  <c r="Y11" i="27"/>
  <c r="Y11" i="14"/>
  <c r="Y11" i="19"/>
  <c r="Y11" i="26"/>
  <c r="Y11" i="11"/>
  <c r="Y11" i="8"/>
  <c r="Y11" i="6"/>
  <c r="Y11" i="10"/>
  <c r="F8" i="2"/>
  <c r="F29" i="2" s="1"/>
  <c r="F7" i="2"/>
  <c r="F28" i="2" s="1"/>
  <c r="F3" i="2"/>
  <c r="F24" i="2" s="1"/>
  <c r="Y4" i="6"/>
  <c r="Y4" i="12"/>
  <c r="Y4" i="11"/>
  <c r="Y4" i="15"/>
  <c r="Y4" i="24"/>
  <c r="Y4" i="13"/>
  <c r="Y4" i="10"/>
  <c r="Y4" i="27"/>
  <c r="Y4" i="23"/>
  <c r="Y4" i="17"/>
  <c r="Y4" i="18"/>
  <c r="Y4" i="20"/>
  <c r="Y4" i="16"/>
  <c r="Y4" i="21"/>
  <c r="Y4" i="3"/>
  <c r="Y4" i="8"/>
  <c r="Y4" i="4"/>
  <c r="Y4" i="25"/>
  <c r="Y4" i="26"/>
  <c r="Y4" i="7"/>
  <c r="Y4" i="14"/>
  <c r="Y4" i="5"/>
  <c r="Y4" i="19"/>
  <c r="Y4" i="22"/>
  <c r="Y4" i="9"/>
  <c r="Y6" i="26"/>
  <c r="Y6" i="5"/>
  <c r="Y6" i="17"/>
  <c r="Y6" i="20"/>
  <c r="Y6" i="4"/>
  <c r="Y6" i="16"/>
  <c r="Y6" i="6"/>
  <c r="Y6" i="7"/>
  <c r="Y6" i="8"/>
  <c r="Y6" i="10"/>
  <c r="Y6" i="9"/>
  <c r="Y6" i="18"/>
  <c r="Y6" i="3"/>
  <c r="Y6" i="13"/>
  <c r="Y6" i="11"/>
  <c r="Y6" i="25"/>
  <c r="Y6" i="27"/>
  <c r="Y6" i="24"/>
  <c r="Y6" i="19"/>
  <c r="Y6" i="23"/>
  <c r="Y6" i="22"/>
  <c r="Y6" i="21"/>
  <c r="Y6" i="14"/>
  <c r="Y6" i="15"/>
  <c r="Y6" i="12"/>
  <c r="Y8" i="14"/>
  <c r="Y8" i="21"/>
  <c r="Y8" i="17"/>
  <c r="Y8" i="4"/>
  <c r="Y8" i="20"/>
  <c r="Y8" i="16"/>
  <c r="Y8" i="3"/>
  <c r="Y8" i="9"/>
  <c r="Y8" i="24"/>
  <c r="Y8" i="8"/>
  <c r="Y8" i="7"/>
  <c r="Y8" i="25"/>
  <c r="Y8" i="6"/>
  <c r="Y8" i="27"/>
  <c r="Y8" i="19"/>
  <c r="Y8" i="5"/>
  <c r="Y8" i="23"/>
  <c r="Y8" i="12"/>
  <c r="Y8" i="15"/>
  <c r="Y8" i="13"/>
  <c r="Y8" i="10"/>
  <c r="Y8" i="26"/>
  <c r="Y8" i="18"/>
  <c r="Y8" i="11"/>
  <c r="Y8" i="22"/>
  <c r="F4" i="2"/>
  <c r="F25" i="2" s="1"/>
  <c r="Y10" i="13"/>
  <c r="Y10" i="4"/>
  <c r="Y10" i="15"/>
  <c r="Y10" i="20"/>
  <c r="Y10" i="27"/>
  <c r="Y10" i="18"/>
  <c r="Y10" i="9"/>
  <c r="Y10" i="7"/>
  <c r="Y10" i="23"/>
  <c r="Y10" i="8"/>
  <c r="Y10" i="3"/>
  <c r="Y10" i="5"/>
  <c r="Y10" i="25"/>
  <c r="Y10" i="10"/>
  <c r="Y10" i="14"/>
  <c r="Y10" i="16"/>
  <c r="Y10" i="22"/>
  <c r="Y10" i="17"/>
  <c r="Y10" i="21"/>
  <c r="Y10" i="19"/>
  <c r="Y10" i="24"/>
  <c r="Y10" i="11"/>
  <c r="Y10" i="12"/>
  <c r="Y10" i="26"/>
  <c r="Y10" i="6"/>
  <c r="F17" i="2"/>
  <c r="F38" i="2" s="1"/>
  <c r="Y2" i="14"/>
  <c r="Y2" i="18"/>
  <c r="Y2" i="27"/>
  <c r="Y2" i="25"/>
  <c r="Y2" i="24"/>
  <c r="Y2" i="4"/>
  <c r="Y2" i="26"/>
  <c r="Y2" i="22"/>
  <c r="Y2" i="20"/>
  <c r="Y2" i="7"/>
  <c r="Y2" i="16"/>
  <c r="Y2" i="21"/>
  <c r="Y2" i="5"/>
  <c r="Y2" i="12"/>
  <c r="Y2" i="8"/>
  <c r="Y2" i="19"/>
  <c r="Y2" i="10"/>
  <c r="Y2" i="17"/>
  <c r="Y2" i="9"/>
  <c r="Y2" i="15"/>
  <c r="Y2" i="23"/>
  <c r="Y2" i="3"/>
  <c r="Y2" i="13"/>
  <c r="Y2" i="11"/>
  <c r="Y2" i="6"/>
  <c r="F18" i="2"/>
  <c r="F39" i="2" s="1"/>
  <c r="F10" i="2"/>
  <c r="F31" i="2" s="1"/>
  <c r="F12" i="2"/>
  <c r="F33" i="2" s="1"/>
  <c r="Y16" i="18"/>
  <c r="Y16" i="4"/>
  <c r="Y16" i="14"/>
  <c r="Y16" i="20"/>
  <c r="Y16" i="9"/>
  <c r="Y16" i="17"/>
  <c r="Y16" i="24"/>
  <c r="Y16" i="23"/>
  <c r="Y16" i="13"/>
  <c r="Y16" i="6"/>
  <c r="Y16" i="16"/>
  <c r="Y16" i="10"/>
  <c r="Y16" i="11"/>
  <c r="Y16" i="3"/>
  <c r="Y16" i="25"/>
  <c r="Y16" i="8"/>
  <c r="Y16" i="27"/>
  <c r="Y16" i="19"/>
  <c r="Y16" i="12"/>
  <c r="Y16" i="15"/>
  <c r="Y16" i="26"/>
  <c r="Y16" i="7"/>
  <c r="Y16" i="22"/>
  <c r="Y16" i="5"/>
  <c r="Y16" i="21"/>
  <c r="H25" i="2"/>
  <c r="F2" i="2"/>
  <c r="F23" i="2" s="1"/>
  <c r="Y18" i="6"/>
  <c r="Y18" i="4"/>
  <c r="Y18" i="18"/>
  <c r="Y18" i="17"/>
  <c r="Y18" i="24"/>
  <c r="Y18" i="23"/>
  <c r="Y18" i="15"/>
  <c r="Y18" i="3"/>
  <c r="Y18" i="27"/>
  <c r="Y18" i="21"/>
  <c r="Y18" i="19"/>
  <c r="Y18" i="7"/>
  <c r="Y18" i="12"/>
  <c r="Y18" i="20"/>
  <c r="Y18" i="14"/>
  <c r="Y18" i="16"/>
  <c r="Y18" i="22"/>
  <c r="Y18" i="8"/>
  <c r="Y18" i="25"/>
  <c r="Y18" i="26"/>
  <c r="Y18" i="9"/>
  <c r="Y18" i="11"/>
  <c r="Y18" i="10"/>
  <c r="Y18" i="5"/>
  <c r="Y18" i="13"/>
  <c r="Y5" i="11"/>
  <c r="Y5" i="26"/>
  <c r="Y5" i="12"/>
  <c r="Y5" i="18"/>
  <c r="Y5" i="8"/>
  <c r="Y5" i="17"/>
  <c r="Y5" i="16"/>
  <c r="Y5" i="24"/>
  <c r="Y5" i="21"/>
  <c r="Y5" i="5"/>
  <c r="Y5" i="25"/>
  <c r="Y5" i="13"/>
  <c r="Y5" i="20"/>
  <c r="Y5" i="19"/>
  <c r="Y5" i="22"/>
  <c r="Y5" i="7"/>
  <c r="Y5" i="3"/>
  <c r="Y5" i="15"/>
  <c r="Y5" i="27"/>
  <c r="Y5" i="6"/>
  <c r="Y5" i="4"/>
  <c r="Y5" i="10"/>
  <c r="Y5" i="14"/>
  <c r="Y5" i="23"/>
  <c r="Y5" i="9"/>
  <c r="Y13" i="20"/>
  <c r="Y13" i="8"/>
  <c r="Y13" i="17"/>
  <c r="Y13" i="4"/>
  <c r="Y13" i="23"/>
  <c r="Y13" i="3"/>
  <c r="Y13" i="12"/>
  <c r="Y13" i="10"/>
  <c r="Y13" i="7"/>
  <c r="Y13" i="15"/>
  <c r="Y13" i="19"/>
  <c r="Y13" i="26"/>
  <c r="Y13" i="25"/>
  <c r="Y13" i="21"/>
  <c r="Y13" i="11"/>
  <c r="Y13" i="18"/>
  <c r="Y13" i="14"/>
  <c r="Y13" i="27"/>
  <c r="Y13" i="5"/>
  <c r="Y13" i="6"/>
  <c r="Y13" i="13"/>
  <c r="Y13" i="22"/>
  <c r="Y13" i="24"/>
  <c r="Y13" i="16"/>
  <c r="Y13" i="9"/>
  <c r="AE5" i="20" l="1"/>
  <c r="AD5" i="20"/>
  <c r="AB5" i="20"/>
  <c r="AG5" i="20"/>
  <c r="AC5" i="20"/>
  <c r="AF5" i="20"/>
  <c r="AH5" i="20"/>
  <c r="AJ5" i="20"/>
  <c r="AI5" i="20"/>
  <c r="AK5" i="20"/>
  <c r="AI10" i="9"/>
  <c r="AE10" i="9"/>
  <c r="AK10" i="9"/>
  <c r="AG10" i="9"/>
  <c r="AD10" i="9"/>
  <c r="AF10" i="9"/>
  <c r="AJ10" i="9"/>
  <c r="AB10" i="9"/>
  <c r="AC10" i="9"/>
  <c r="AH10" i="9"/>
  <c r="AC7" i="20"/>
  <c r="AB7" i="20"/>
  <c r="AF7" i="20"/>
  <c r="AK7" i="20"/>
  <c r="AG7" i="20"/>
  <c r="AD7" i="20"/>
  <c r="AJ7" i="20"/>
  <c r="AH7" i="20"/>
  <c r="AE7" i="20"/>
  <c r="AI7" i="20"/>
  <c r="AG7" i="21"/>
  <c r="AK7" i="21"/>
  <c r="AH7" i="21"/>
  <c r="AB7" i="21"/>
  <c r="AI7" i="21"/>
  <c r="AC7" i="21"/>
  <c r="AJ7" i="21"/>
  <c r="AF7" i="21"/>
  <c r="AE7" i="21"/>
  <c r="AD7" i="21"/>
  <c r="AE15" i="18"/>
  <c r="AC15" i="18"/>
  <c r="AD15" i="18"/>
  <c r="AK15" i="18"/>
  <c r="AH15" i="18"/>
  <c r="AI15" i="18"/>
  <c r="AB15" i="18"/>
  <c r="AF15" i="18"/>
  <c r="AG15" i="18"/>
  <c r="AJ15" i="18"/>
  <c r="AF15" i="10"/>
  <c r="AI15" i="10"/>
  <c r="AC15" i="10"/>
  <c r="AE15" i="10"/>
  <c r="AB15" i="10"/>
  <c r="AG15" i="10"/>
  <c r="AK15" i="10"/>
  <c r="AD15" i="10"/>
  <c r="AH15" i="10"/>
  <c r="AJ15" i="10"/>
  <c r="AG12" i="3"/>
  <c r="AD12" i="3"/>
  <c r="AK12" i="3"/>
  <c r="AB12" i="3"/>
  <c r="AH12" i="3"/>
  <c r="AI12" i="3"/>
  <c r="AF12" i="3"/>
  <c r="AE12" i="3"/>
  <c r="AC12" i="3"/>
  <c r="AJ12" i="3"/>
  <c r="AK12" i="24"/>
  <c r="AC12" i="24"/>
  <c r="AF12" i="24"/>
  <c r="AB12" i="24"/>
  <c r="AH12" i="24"/>
  <c r="AI12" i="24"/>
  <c r="AE12" i="24"/>
  <c r="AJ12" i="24"/>
  <c r="AG12" i="24"/>
  <c r="AD12" i="24"/>
  <c r="AE12" i="5"/>
  <c r="AK12" i="5"/>
  <c r="AC12" i="5"/>
  <c r="AI12" i="5"/>
  <c r="AH12" i="5"/>
  <c r="AF12" i="5"/>
  <c r="AG12" i="5"/>
  <c r="AD12" i="5"/>
  <c r="AB12" i="5"/>
  <c r="AJ12" i="5"/>
  <c r="AG17" i="11"/>
  <c r="AK17" i="11"/>
  <c r="AF17" i="11"/>
  <c r="AH17" i="11"/>
  <c r="AE17" i="11"/>
  <c r="AD17" i="11"/>
  <c r="AI17" i="11"/>
  <c r="AJ17" i="11"/>
  <c r="AC17" i="11"/>
  <c r="AB17" i="11"/>
  <c r="AK17" i="5"/>
  <c r="AE17" i="5"/>
  <c r="AF17" i="5"/>
  <c r="AJ17" i="5"/>
  <c r="AI17" i="5"/>
  <c r="AB17" i="5"/>
  <c r="AC17" i="5"/>
  <c r="AG17" i="5"/>
  <c r="AD17" i="5"/>
  <c r="AH17" i="5"/>
  <c r="AJ17" i="23"/>
  <c r="AG17" i="23"/>
  <c r="AH17" i="23"/>
  <c r="AC17" i="23"/>
  <c r="AK17" i="23"/>
  <c r="AE17" i="23"/>
  <c r="AF17" i="23"/>
  <c r="AI17" i="23"/>
  <c r="AD17" i="23"/>
  <c r="AB17" i="23"/>
  <c r="AB14" i="20"/>
  <c r="AD14" i="20"/>
  <c r="AJ14" i="20"/>
  <c r="AC14" i="20"/>
  <c r="AK14" i="20"/>
  <c r="AF14" i="20"/>
  <c r="AH14" i="20"/>
  <c r="AI14" i="20"/>
  <c r="AG14" i="20"/>
  <c r="AE14" i="20"/>
  <c r="AG14" i="11"/>
  <c r="AD14" i="11"/>
  <c r="AJ14" i="11"/>
  <c r="AE14" i="11"/>
  <c r="AH14" i="11"/>
  <c r="AC14" i="11"/>
  <c r="AI14" i="11"/>
  <c r="AF14" i="11"/>
  <c r="AK14" i="11"/>
  <c r="AB14" i="11"/>
  <c r="AF14" i="16"/>
  <c r="AK14" i="16"/>
  <c r="AH14" i="16"/>
  <c r="AD14" i="16"/>
  <c r="AJ14" i="16"/>
  <c r="AE14" i="16"/>
  <c r="AG14" i="16"/>
  <c r="AB14" i="16"/>
  <c r="AC14" i="16"/>
  <c r="AI14" i="16"/>
  <c r="AJ3" i="18"/>
  <c r="AB3" i="18"/>
  <c r="AH3" i="18"/>
  <c r="AK3" i="18"/>
  <c r="AC3" i="18"/>
  <c r="AE3" i="18"/>
  <c r="AF3" i="18"/>
  <c r="AG3" i="18"/>
  <c r="AI3" i="18"/>
  <c r="AD3" i="18"/>
  <c r="AJ9" i="16"/>
  <c r="AI9" i="16"/>
  <c r="AC9" i="16"/>
  <c r="AE9" i="16"/>
  <c r="AF9" i="16"/>
  <c r="AK9" i="16"/>
  <c r="AD9" i="16"/>
  <c r="AG9" i="16"/>
  <c r="AB9" i="16"/>
  <c r="AH9" i="16"/>
  <c r="AC13" i="19"/>
  <c r="AK13" i="19"/>
  <c r="AF13" i="19"/>
  <c r="AH13" i="19"/>
  <c r="AI13" i="19"/>
  <c r="AJ13" i="19"/>
  <c r="AD13" i="19"/>
  <c r="AG13" i="19"/>
  <c r="AE13" i="19"/>
  <c r="AB13" i="19"/>
  <c r="AG13" i="17"/>
  <c r="AC13" i="17"/>
  <c r="AB13" i="17"/>
  <c r="AE13" i="17"/>
  <c r="AJ13" i="17"/>
  <c r="AD13" i="17"/>
  <c r="AH13" i="17"/>
  <c r="AF13" i="17"/>
  <c r="AK13" i="17"/>
  <c r="AI13" i="17"/>
  <c r="AF5" i="6"/>
  <c r="AK5" i="6"/>
  <c r="AJ5" i="6"/>
  <c r="AG5" i="6"/>
  <c r="AB5" i="6"/>
  <c r="AH5" i="6"/>
  <c r="AE5" i="6"/>
  <c r="AD5" i="6"/>
  <c r="AI5" i="6"/>
  <c r="AC5" i="6"/>
  <c r="AC5" i="13"/>
  <c r="AJ5" i="13"/>
  <c r="AG5" i="13"/>
  <c r="AK5" i="13"/>
  <c r="AF5" i="13"/>
  <c r="AB5" i="13"/>
  <c r="AI5" i="13"/>
  <c r="AH5" i="13"/>
  <c r="AE5" i="13"/>
  <c r="AD5" i="13"/>
  <c r="AI5" i="18"/>
  <c r="AK5" i="18"/>
  <c r="AD5" i="18"/>
  <c r="AE5" i="18"/>
  <c r="AB5" i="18"/>
  <c r="AH5" i="18"/>
  <c r="AF5" i="18"/>
  <c r="AG5" i="18"/>
  <c r="AC5" i="18"/>
  <c r="AJ5" i="18"/>
  <c r="AK18" i="9"/>
  <c r="AI18" i="9"/>
  <c r="AF18" i="9"/>
  <c r="AD18" i="9"/>
  <c r="AG18" i="9"/>
  <c r="AJ18" i="9"/>
  <c r="AC18" i="9"/>
  <c r="AE18" i="9"/>
  <c r="AH18" i="9"/>
  <c r="AB18" i="9"/>
  <c r="AE18" i="12"/>
  <c r="AH18" i="12"/>
  <c r="AC18" i="12"/>
  <c r="AF18" i="12"/>
  <c r="AJ18" i="12"/>
  <c r="AI18" i="12"/>
  <c r="AG18" i="12"/>
  <c r="AD18" i="12"/>
  <c r="AK18" i="12"/>
  <c r="AB18" i="12"/>
  <c r="AG18" i="24"/>
  <c r="AB18" i="24"/>
  <c r="AF18" i="24"/>
  <c r="AH18" i="24"/>
  <c r="AI18" i="24"/>
  <c r="AC18" i="24"/>
  <c r="AD18" i="24"/>
  <c r="AE18" i="24"/>
  <c r="AJ18" i="24"/>
  <c r="AK18" i="24"/>
  <c r="AF16" i="5"/>
  <c r="AK16" i="5"/>
  <c r="AD16" i="5"/>
  <c r="AB16" i="5"/>
  <c r="AG16" i="5"/>
  <c r="AH16" i="5"/>
  <c r="AC16" i="5"/>
  <c r="AE16" i="5"/>
  <c r="AI16" i="5"/>
  <c r="AJ16" i="5"/>
  <c r="AD16" i="8"/>
  <c r="AH16" i="8"/>
  <c r="AK16" i="8"/>
  <c r="AF16" i="8"/>
  <c r="AE16" i="8"/>
  <c r="AI16" i="8"/>
  <c r="AB16" i="8"/>
  <c r="AC16" i="8"/>
  <c r="AG16" i="8"/>
  <c r="AJ16" i="8"/>
  <c r="AG16" i="23"/>
  <c r="AD16" i="23"/>
  <c r="AF16" i="23"/>
  <c r="AB16" i="23"/>
  <c r="AI16" i="23"/>
  <c r="AE16" i="23"/>
  <c r="AK16" i="23"/>
  <c r="AC16" i="23"/>
  <c r="AJ16" i="23"/>
  <c r="AH16" i="23"/>
  <c r="AE2" i="15"/>
  <c r="AG2" i="15"/>
  <c r="AK2" i="15"/>
  <c r="AJ2" i="15"/>
  <c r="AF2" i="15"/>
  <c r="AB2" i="15"/>
  <c r="AC2" i="15"/>
  <c r="AI2" i="15"/>
  <c r="AD2" i="15"/>
  <c r="AH2" i="15"/>
  <c r="AD2" i="21"/>
  <c r="AH2" i="21"/>
  <c r="AF2" i="21"/>
  <c r="AI2" i="21"/>
  <c r="AB2" i="21"/>
  <c r="AK2" i="21"/>
  <c r="AJ2" i="21"/>
  <c r="AE2" i="21"/>
  <c r="AG2" i="21"/>
  <c r="AC2" i="21"/>
  <c r="AE2" i="25"/>
  <c r="AF2" i="25"/>
  <c r="AI2" i="25"/>
  <c r="AJ2" i="25"/>
  <c r="AH2" i="25"/>
  <c r="AB2" i="25"/>
  <c r="AG2" i="25"/>
  <c r="AC2" i="25"/>
  <c r="AD2" i="25"/>
  <c r="AK2" i="25"/>
  <c r="AC10" i="11"/>
  <c r="AD10" i="11"/>
  <c r="AE10" i="11"/>
  <c r="AH10" i="11"/>
  <c r="AJ10" i="11"/>
  <c r="AI10" i="11"/>
  <c r="AK10" i="11"/>
  <c r="AB10" i="11"/>
  <c r="AF10" i="11"/>
  <c r="AG10" i="11"/>
  <c r="AF10" i="10"/>
  <c r="AB10" i="10"/>
  <c r="AI10" i="10"/>
  <c r="AJ10" i="10"/>
  <c r="AG10" i="10"/>
  <c r="AK10" i="10"/>
  <c r="AD10" i="10"/>
  <c r="AH10" i="10"/>
  <c r="AE10" i="10"/>
  <c r="AC10" i="10"/>
  <c r="AE10" i="18"/>
  <c r="AD10" i="18"/>
  <c r="AH10" i="18"/>
  <c r="AJ10" i="18"/>
  <c r="AG10" i="18"/>
  <c r="AI10" i="18"/>
  <c r="AF10" i="18"/>
  <c r="AB10" i="18"/>
  <c r="AK10" i="18"/>
  <c r="AC10" i="18"/>
  <c r="AE8" i="11"/>
  <c r="AF8" i="11"/>
  <c r="AG8" i="11"/>
  <c r="AJ8" i="11"/>
  <c r="AC8" i="11"/>
  <c r="AI8" i="11"/>
  <c r="AK8" i="11"/>
  <c r="AB8" i="11"/>
  <c r="AD8" i="11"/>
  <c r="AH8" i="11"/>
  <c r="AG8" i="5"/>
  <c r="AE8" i="5"/>
  <c r="AK8" i="5"/>
  <c r="AF8" i="5"/>
  <c r="AB8" i="5"/>
  <c r="AH8" i="5"/>
  <c r="AI8" i="5"/>
  <c r="AD8" i="5"/>
  <c r="AC8" i="5"/>
  <c r="AJ8" i="5"/>
  <c r="AC8" i="9"/>
  <c r="AI8" i="9"/>
  <c r="AK8" i="9"/>
  <c r="AJ8" i="9"/>
  <c r="AE8" i="9"/>
  <c r="AH8" i="9"/>
  <c r="AD8" i="9"/>
  <c r="AG8" i="9"/>
  <c r="AF8" i="9"/>
  <c r="AB8" i="9"/>
  <c r="AG6" i="12"/>
  <c r="AJ6" i="12"/>
  <c r="AC6" i="12"/>
  <c r="AE6" i="12"/>
  <c r="AK6" i="12"/>
  <c r="AB6" i="12"/>
  <c r="AF6" i="12"/>
  <c r="AH6" i="12"/>
  <c r="AD6" i="12"/>
  <c r="AI6" i="12"/>
  <c r="AF6" i="27"/>
  <c r="AI6" i="27"/>
  <c r="AG6" i="27"/>
  <c r="AB6" i="27"/>
  <c r="AD6" i="27"/>
  <c r="AE6" i="27"/>
  <c r="AJ6" i="27"/>
  <c r="AC6" i="27"/>
  <c r="AK6" i="27"/>
  <c r="AH6" i="27"/>
  <c r="AK6" i="8"/>
  <c r="AJ6" i="8"/>
  <c r="AI6" i="8"/>
  <c r="AD6" i="8"/>
  <c r="AF6" i="8"/>
  <c r="AH6" i="8"/>
  <c r="AG6" i="8"/>
  <c r="AE6" i="8"/>
  <c r="AC6" i="8"/>
  <c r="AB6" i="8"/>
  <c r="AE6" i="26"/>
  <c r="AK6" i="26"/>
  <c r="AB6" i="26"/>
  <c r="AC6" i="26"/>
  <c r="AD6" i="26"/>
  <c r="AG6" i="26"/>
  <c r="AF6" i="26"/>
  <c r="AI6" i="26"/>
  <c r="AJ6" i="26"/>
  <c r="AH6" i="26"/>
  <c r="AE4" i="25"/>
  <c r="AB4" i="25"/>
  <c r="AG4" i="25"/>
  <c r="AK4" i="25"/>
  <c r="AI4" i="25"/>
  <c r="AJ4" i="25"/>
  <c r="AC4" i="25"/>
  <c r="AF4" i="25"/>
  <c r="AH4" i="25"/>
  <c r="AD4" i="25"/>
  <c r="AF4" i="17"/>
  <c r="AE4" i="17"/>
  <c r="AG4" i="17"/>
  <c r="AD4" i="17"/>
  <c r="AB4" i="17"/>
  <c r="AC4" i="17"/>
  <c r="AJ4" i="17"/>
  <c r="AH4" i="17"/>
  <c r="AI4" i="17"/>
  <c r="AK4" i="17"/>
  <c r="AC4" i="12"/>
  <c r="AE4" i="12"/>
  <c r="AI4" i="12"/>
  <c r="AG4" i="12"/>
  <c r="AF4" i="12"/>
  <c r="AK4" i="12"/>
  <c r="AH4" i="12"/>
  <c r="AJ4" i="12"/>
  <c r="AB4" i="12"/>
  <c r="AD4" i="12"/>
  <c r="AC11" i="11"/>
  <c r="AH11" i="11"/>
  <c r="AK11" i="11"/>
  <c r="AB11" i="11"/>
  <c r="AD11" i="11"/>
  <c r="AI11" i="11"/>
  <c r="AE11" i="11"/>
  <c r="AJ11" i="11"/>
  <c r="AG11" i="11"/>
  <c r="AF11" i="11"/>
  <c r="AH11" i="16"/>
  <c r="AF11" i="16"/>
  <c r="AG11" i="16"/>
  <c r="AC11" i="16"/>
  <c r="AK11" i="16"/>
  <c r="AE11" i="16"/>
  <c r="AB11" i="16"/>
  <c r="AJ11" i="16"/>
  <c r="AD11" i="16"/>
  <c r="AI11" i="16"/>
  <c r="AC11" i="25"/>
  <c r="AH11" i="25"/>
  <c r="AG11" i="25"/>
  <c r="AJ11" i="25"/>
  <c r="AF11" i="25"/>
  <c r="AE11" i="25"/>
  <c r="AI11" i="25"/>
  <c r="AD11" i="25"/>
  <c r="AK11" i="25"/>
  <c r="AB11" i="25"/>
  <c r="AG7" i="15"/>
  <c r="AI7" i="15"/>
  <c r="AJ7" i="15"/>
  <c r="AH7" i="15"/>
  <c r="AB7" i="15"/>
  <c r="AE7" i="15"/>
  <c r="AK7" i="15"/>
  <c r="AF7" i="15"/>
  <c r="AC7" i="15"/>
  <c r="AD7" i="15"/>
  <c r="AD7" i="18"/>
  <c r="AI7" i="18"/>
  <c r="AF7" i="18"/>
  <c r="AC7" i="18"/>
  <c r="AB7" i="18"/>
  <c r="AJ7" i="18"/>
  <c r="AK7" i="18"/>
  <c r="AH7" i="18"/>
  <c r="AG7" i="18"/>
  <c r="AE7" i="18"/>
  <c r="AJ7" i="11"/>
  <c r="AE7" i="11"/>
  <c r="AD7" i="11"/>
  <c r="AF7" i="11"/>
  <c r="AK7" i="11"/>
  <c r="AG7" i="11"/>
  <c r="AC7" i="11"/>
  <c r="AI7" i="11"/>
  <c r="AH7" i="11"/>
  <c r="AB7" i="11"/>
  <c r="AE7" i="6"/>
  <c r="AH7" i="6"/>
  <c r="AB7" i="6"/>
  <c r="AD7" i="6"/>
  <c r="AJ7" i="6"/>
  <c r="AG7" i="6"/>
  <c r="AI7" i="6"/>
  <c r="AK7" i="6"/>
  <c r="AC7" i="6"/>
  <c r="AF7" i="6"/>
  <c r="AG15" i="7"/>
  <c r="AC15" i="7"/>
  <c r="AD15" i="7"/>
  <c r="AH15" i="7"/>
  <c r="AE15" i="7"/>
  <c r="AI15" i="7"/>
  <c r="AB15" i="7"/>
  <c r="AF15" i="7"/>
  <c r="AK15" i="7"/>
  <c r="AJ15" i="7"/>
  <c r="AH15" i="8"/>
  <c r="AJ15" i="8"/>
  <c r="AC15" i="8"/>
  <c r="AB15" i="8"/>
  <c r="AF15" i="8"/>
  <c r="AG15" i="8"/>
  <c r="AI15" i="8"/>
  <c r="AE15" i="8"/>
  <c r="AD15" i="8"/>
  <c r="AK15" i="8"/>
  <c r="AG15" i="21"/>
  <c r="AD15" i="21"/>
  <c r="AH15" i="21"/>
  <c r="AE15" i="21"/>
  <c r="AF15" i="21"/>
  <c r="AJ15" i="21"/>
  <c r="AB15" i="21"/>
  <c r="AI15" i="21"/>
  <c r="AK15" i="21"/>
  <c r="AC15" i="21"/>
  <c r="AD12" i="7"/>
  <c r="AE12" i="7"/>
  <c r="AG12" i="7"/>
  <c r="AF12" i="7"/>
  <c r="AI12" i="7"/>
  <c r="AB12" i="7"/>
  <c r="AK12" i="7"/>
  <c r="AC12" i="7"/>
  <c r="AJ12" i="7"/>
  <c r="AH12" i="7"/>
  <c r="AD12" i="4"/>
  <c r="AB12" i="4"/>
  <c r="AK12" i="4"/>
  <c r="AC12" i="4"/>
  <c r="AG12" i="4"/>
  <c r="AJ12" i="4"/>
  <c r="AF12" i="4"/>
  <c r="AH12" i="4"/>
  <c r="AI12" i="4"/>
  <c r="AE12" i="4"/>
  <c r="AE12" i="20"/>
  <c r="AF12" i="20"/>
  <c r="AJ12" i="20"/>
  <c r="AG12" i="20"/>
  <c r="AB12" i="20"/>
  <c r="AI12" i="20"/>
  <c r="AH12" i="20"/>
  <c r="AC12" i="20"/>
  <c r="AK12" i="20"/>
  <c r="AD12" i="20"/>
  <c r="AJ17" i="6"/>
  <c r="AD17" i="6"/>
  <c r="AI17" i="6"/>
  <c r="AF17" i="6"/>
  <c r="AC17" i="6"/>
  <c r="AB17" i="6"/>
  <c r="AH17" i="6"/>
  <c r="AE17" i="6"/>
  <c r="AG17" i="6"/>
  <c r="AK17" i="6"/>
  <c r="AG17" i="22"/>
  <c r="AD17" i="22"/>
  <c r="AC17" i="22"/>
  <c r="AH17" i="22"/>
  <c r="AB17" i="22"/>
  <c r="AI17" i="22"/>
  <c r="AJ17" i="22"/>
  <c r="AF17" i="22"/>
  <c r="AK17" i="22"/>
  <c r="AE17" i="22"/>
  <c r="AC17" i="25"/>
  <c r="AB17" i="25"/>
  <c r="AI17" i="25"/>
  <c r="AF17" i="25"/>
  <c r="AJ17" i="25"/>
  <c r="AK17" i="25"/>
  <c r="AG17" i="25"/>
  <c r="AH17" i="25"/>
  <c r="AE17" i="25"/>
  <c r="AD17" i="25"/>
  <c r="AC14" i="5"/>
  <c r="AI14" i="5"/>
  <c r="AF14" i="5"/>
  <c r="AG14" i="5"/>
  <c r="AH14" i="5"/>
  <c r="AJ14" i="5"/>
  <c r="AE14" i="5"/>
  <c r="AK14" i="5"/>
  <c r="AB14" i="5"/>
  <c r="AD14" i="5"/>
  <c r="AI14" i="8"/>
  <c r="AD14" i="8"/>
  <c r="AG14" i="8"/>
  <c r="AF14" i="8"/>
  <c r="AC14" i="8"/>
  <c r="AE14" i="8"/>
  <c r="AB14" i="8"/>
  <c r="AJ14" i="8"/>
  <c r="AH14" i="8"/>
  <c r="AK14" i="8"/>
  <c r="AI14" i="24"/>
  <c r="AE14" i="24"/>
  <c r="AD14" i="24"/>
  <c r="AK14" i="24"/>
  <c r="AF14" i="24"/>
  <c r="AB14" i="24"/>
  <c r="AC14" i="24"/>
  <c r="AJ14" i="24"/>
  <c r="AH14" i="24"/>
  <c r="AG14" i="24"/>
  <c r="AF3" i="17"/>
  <c r="AG3" i="17"/>
  <c r="AK3" i="17"/>
  <c r="AB3" i="17"/>
  <c r="AI3" i="17"/>
  <c r="AC3" i="17"/>
  <c r="AE3" i="17"/>
  <c r="AD3" i="17"/>
  <c r="AJ3" i="17"/>
  <c r="AH3" i="17"/>
  <c r="AD3" i="16"/>
  <c r="AE3" i="16"/>
  <c r="AC3" i="16"/>
  <c r="AJ3" i="16"/>
  <c r="AH3" i="16"/>
  <c r="AG3" i="16"/>
  <c r="AI3" i="16"/>
  <c r="AF3" i="16"/>
  <c r="AK3" i="16"/>
  <c r="AB3" i="16"/>
  <c r="AG3" i="25"/>
  <c r="AF3" i="25"/>
  <c r="AI3" i="25"/>
  <c r="AK3" i="25"/>
  <c r="AC3" i="25"/>
  <c r="AJ3" i="25"/>
  <c r="AB3" i="25"/>
  <c r="AD3" i="25"/>
  <c r="AE3" i="25"/>
  <c r="AH3" i="25"/>
  <c r="AI3" i="10"/>
  <c r="AB3" i="10"/>
  <c r="AD3" i="10"/>
  <c r="AF3" i="10"/>
  <c r="AH3" i="10"/>
  <c r="AK3" i="10"/>
  <c r="AJ3" i="10"/>
  <c r="AG3" i="10"/>
  <c r="AC3" i="10"/>
  <c r="AE3" i="10"/>
  <c r="AG19" i="17"/>
  <c r="AC19" i="17"/>
  <c r="AF19" i="17"/>
  <c r="AH19" i="17"/>
  <c r="AI19" i="17"/>
  <c r="AJ19" i="17"/>
  <c r="AE19" i="17"/>
  <c r="AB19" i="17"/>
  <c r="AD19" i="17"/>
  <c r="AK19" i="17"/>
  <c r="AH19" i="16"/>
  <c r="AG19" i="16"/>
  <c r="AK19" i="16"/>
  <c r="AB19" i="16"/>
  <c r="AD19" i="16"/>
  <c r="AI19" i="16"/>
  <c r="AE19" i="16"/>
  <c r="AJ19" i="16"/>
  <c r="AC19" i="16"/>
  <c r="AF19" i="16"/>
  <c r="AC19" i="18"/>
  <c r="AJ19" i="18"/>
  <c r="AG19" i="18"/>
  <c r="AI19" i="18"/>
  <c r="AD19" i="18"/>
  <c r="AE19" i="18"/>
  <c r="AH19" i="18"/>
  <c r="AK19" i="18"/>
  <c r="AF19" i="18"/>
  <c r="AB19" i="18"/>
  <c r="AE9" i="4"/>
  <c r="AB9" i="4"/>
  <c r="AH9" i="4"/>
  <c r="AI9" i="4"/>
  <c r="AJ9" i="4"/>
  <c r="AC9" i="4"/>
  <c r="AF9" i="4"/>
  <c r="AK9" i="4"/>
  <c r="AD9" i="4"/>
  <c r="AG9" i="4"/>
  <c r="AH9" i="19"/>
  <c r="AG9" i="19"/>
  <c r="AC9" i="19"/>
  <c r="AE9" i="19"/>
  <c r="AJ9" i="19"/>
  <c r="AI9" i="19"/>
  <c r="AB9" i="19"/>
  <c r="AD9" i="19"/>
  <c r="AF9" i="19"/>
  <c r="AK9" i="19"/>
  <c r="AD9" i="24"/>
  <c r="AG9" i="24"/>
  <c r="AB9" i="24"/>
  <c r="AH9" i="24"/>
  <c r="AK9" i="24"/>
  <c r="AE9" i="24"/>
  <c r="AF9" i="24"/>
  <c r="AI9" i="24"/>
  <c r="AC9" i="24"/>
  <c r="AJ9" i="24"/>
  <c r="AJ13" i="26"/>
  <c r="AH13" i="26"/>
  <c r="AF13" i="26"/>
  <c r="AI13" i="26"/>
  <c r="AC13" i="26"/>
  <c r="AD13" i="26"/>
  <c r="AE13" i="26"/>
  <c r="AB13" i="26"/>
  <c r="AK13" i="26"/>
  <c r="AG13" i="26"/>
  <c r="AG18" i="20"/>
  <c r="AB18" i="20"/>
  <c r="AF18" i="20"/>
  <c r="AI18" i="20"/>
  <c r="AK18" i="20"/>
  <c r="AD18" i="20"/>
  <c r="AH18" i="20"/>
  <c r="AE18" i="20"/>
  <c r="AC18" i="20"/>
  <c r="AJ18" i="20"/>
  <c r="AH16" i="27"/>
  <c r="AF16" i="27"/>
  <c r="AE16" i="27"/>
  <c r="AK16" i="27"/>
  <c r="AC16" i="27"/>
  <c r="AJ16" i="27"/>
  <c r="AB16" i="27"/>
  <c r="AG16" i="27"/>
  <c r="AD16" i="27"/>
  <c r="AI16" i="27"/>
  <c r="AK2" i="23"/>
  <c r="AB2" i="23"/>
  <c r="AE2" i="23"/>
  <c r="AC2" i="23"/>
  <c r="AG2" i="23"/>
  <c r="AH2" i="23"/>
  <c r="AD2" i="23"/>
  <c r="AI2" i="23"/>
  <c r="AF2" i="23"/>
  <c r="AJ2" i="23"/>
  <c r="AJ10" i="12"/>
  <c r="AB10" i="12"/>
  <c r="AK10" i="12"/>
  <c r="AI10" i="12"/>
  <c r="AC10" i="12"/>
  <c r="AD10" i="12"/>
  <c r="AG10" i="12"/>
  <c r="AH10" i="12"/>
  <c r="AE10" i="12"/>
  <c r="AF10" i="12"/>
  <c r="AB10" i="14"/>
  <c r="AH10" i="14"/>
  <c r="AE10" i="14"/>
  <c r="AD10" i="14"/>
  <c r="AJ10" i="14"/>
  <c r="AG10" i="14"/>
  <c r="AI10" i="14"/>
  <c r="AK10" i="14"/>
  <c r="AC10" i="14"/>
  <c r="AF10" i="14"/>
  <c r="AG8" i="22"/>
  <c r="AB8" i="22"/>
  <c r="AC8" i="22"/>
  <c r="AJ8" i="22"/>
  <c r="AD8" i="22"/>
  <c r="AK8" i="22"/>
  <c r="AF8" i="22"/>
  <c r="AI8" i="22"/>
  <c r="AE8" i="22"/>
  <c r="AH8" i="22"/>
  <c r="AF8" i="14"/>
  <c r="AC8" i="14"/>
  <c r="AJ8" i="14"/>
  <c r="AI8" i="14"/>
  <c r="AD8" i="14"/>
  <c r="AB8" i="14"/>
  <c r="AG8" i="14"/>
  <c r="AK8" i="14"/>
  <c r="AH8" i="14"/>
  <c r="AE8" i="14"/>
  <c r="AB6" i="10"/>
  <c r="AC6" i="10"/>
  <c r="AK6" i="10"/>
  <c r="AE6" i="10"/>
  <c r="AJ6" i="10"/>
  <c r="AD6" i="10"/>
  <c r="AG6" i="10"/>
  <c r="AH6" i="10"/>
  <c r="AF6" i="10"/>
  <c r="AI6" i="10"/>
  <c r="AC6" i="5"/>
  <c r="AJ6" i="5"/>
  <c r="AG6" i="5"/>
  <c r="AB6" i="5"/>
  <c r="AH6" i="5"/>
  <c r="AD6" i="5"/>
  <c r="AI6" i="5"/>
  <c r="AE6" i="5"/>
  <c r="AF6" i="5"/>
  <c r="AK6" i="5"/>
  <c r="AD4" i="26"/>
  <c r="AK4" i="26"/>
  <c r="AJ4" i="26"/>
  <c r="AB4" i="26"/>
  <c r="AH4" i="26"/>
  <c r="AG4" i="26"/>
  <c r="AI4" i="26"/>
  <c r="AC4" i="26"/>
  <c r="AE4" i="26"/>
  <c r="AF4" i="26"/>
  <c r="AH4" i="18"/>
  <c r="AI4" i="18"/>
  <c r="AF4" i="18"/>
  <c r="AD4" i="18"/>
  <c r="AC4" i="18"/>
  <c r="AE4" i="18"/>
  <c r="AB4" i="18"/>
  <c r="AJ4" i="18"/>
  <c r="AG4" i="18"/>
  <c r="AK4" i="18"/>
  <c r="AK4" i="11"/>
  <c r="AJ4" i="11"/>
  <c r="AF4" i="11"/>
  <c r="AD4" i="11"/>
  <c r="AI4" i="11"/>
  <c r="AG4" i="11"/>
  <c r="AE4" i="11"/>
  <c r="AH4" i="11"/>
  <c r="AB4" i="11"/>
  <c r="AC4" i="11"/>
  <c r="AH11" i="8"/>
  <c r="AC11" i="8"/>
  <c r="AG11" i="8"/>
  <c r="AI11" i="8"/>
  <c r="AJ11" i="8"/>
  <c r="AD11" i="8"/>
  <c r="AB11" i="8"/>
  <c r="AE11" i="8"/>
  <c r="AF11" i="8"/>
  <c r="AK11" i="8"/>
  <c r="AH11" i="22"/>
  <c r="AF11" i="22"/>
  <c r="AE11" i="22"/>
  <c r="AI11" i="22"/>
  <c r="AB11" i="22"/>
  <c r="AJ11" i="22"/>
  <c r="AD11" i="22"/>
  <c r="AG11" i="22"/>
  <c r="AC11" i="22"/>
  <c r="AK11" i="22"/>
  <c r="AE11" i="15"/>
  <c r="AG11" i="15"/>
  <c r="AI11" i="15"/>
  <c r="AF11" i="15"/>
  <c r="AJ11" i="15"/>
  <c r="AB11" i="15"/>
  <c r="AD11" i="15"/>
  <c r="AH11" i="15"/>
  <c r="AK11" i="15"/>
  <c r="AC11" i="15"/>
  <c r="AH7" i="22"/>
  <c r="AJ7" i="22"/>
  <c r="AE7" i="22"/>
  <c r="AC7" i="22"/>
  <c r="AI7" i="22"/>
  <c r="AK7" i="22"/>
  <c r="AB7" i="22"/>
  <c r="AG7" i="22"/>
  <c r="AD7" i="22"/>
  <c r="AF7" i="22"/>
  <c r="AC15" i="4"/>
  <c r="AJ15" i="4"/>
  <c r="AH15" i="4"/>
  <c r="AG15" i="4"/>
  <c r="AK15" i="4"/>
  <c r="AD15" i="4"/>
  <c r="AI15" i="4"/>
  <c r="AB15" i="4"/>
  <c r="AF15" i="4"/>
  <c r="AE15" i="4"/>
  <c r="AG3" i="11"/>
  <c r="AB3" i="11"/>
  <c r="AD3" i="11"/>
  <c r="AE3" i="11"/>
  <c r="AK3" i="11"/>
  <c r="AH3" i="11"/>
  <c r="AI3" i="11"/>
  <c r="AJ3" i="11"/>
  <c r="AC3" i="11"/>
  <c r="AF3" i="11"/>
  <c r="AG3" i="26"/>
  <c r="AH3" i="26"/>
  <c r="AF3" i="26"/>
  <c r="AE3" i="26"/>
  <c r="AI3" i="26"/>
  <c r="AJ3" i="26"/>
  <c r="AC3" i="26"/>
  <c r="AB3" i="26"/>
  <c r="AK3" i="26"/>
  <c r="AD3" i="26"/>
  <c r="AK19" i="7"/>
  <c r="AJ19" i="7"/>
  <c r="AD19" i="7"/>
  <c r="AE19" i="7"/>
  <c r="AF19" i="7"/>
  <c r="AC19" i="7"/>
  <c r="AB19" i="7"/>
  <c r="AI19" i="7"/>
  <c r="AG19" i="7"/>
  <c r="AH19" i="7"/>
  <c r="AB19" i="20"/>
  <c r="AG19" i="20"/>
  <c r="AF19" i="20"/>
  <c r="AI19" i="20"/>
  <c r="AH19" i="20"/>
  <c r="AE19" i="20"/>
  <c r="AD19" i="20"/>
  <c r="AJ19" i="20"/>
  <c r="AC19" i="20"/>
  <c r="AK19" i="20"/>
  <c r="AB19" i="9"/>
  <c r="AF19" i="9"/>
  <c r="AE19" i="9"/>
  <c r="AC19" i="9"/>
  <c r="AK19" i="9"/>
  <c r="AD19" i="9"/>
  <c r="AG19" i="9"/>
  <c r="AI19" i="9"/>
  <c r="AH19" i="9"/>
  <c r="AJ19" i="9"/>
  <c r="AI9" i="7"/>
  <c r="AB9" i="7"/>
  <c r="AD9" i="7"/>
  <c r="AE9" i="7"/>
  <c r="AK9" i="7"/>
  <c r="AC9" i="7"/>
  <c r="AH9" i="7"/>
  <c r="AG9" i="7"/>
  <c r="AJ9" i="7"/>
  <c r="AF9" i="7"/>
  <c r="AG9" i="8"/>
  <c r="AE9" i="8"/>
  <c r="AD9" i="8"/>
  <c r="AC9" i="8"/>
  <c r="AF9" i="8"/>
  <c r="AB9" i="8"/>
  <c r="AH9" i="8"/>
  <c r="AJ9" i="8"/>
  <c r="AK9" i="8"/>
  <c r="AI9" i="8"/>
  <c r="AH13" i="5"/>
  <c r="AB13" i="5"/>
  <c r="AE13" i="5"/>
  <c r="AG13" i="5"/>
  <c r="AC13" i="5"/>
  <c r="AF13" i="5"/>
  <c r="AI13" i="5"/>
  <c r="AD13" i="5"/>
  <c r="AJ13" i="5"/>
  <c r="AK13" i="5"/>
  <c r="AE13" i="27"/>
  <c r="AH13" i="27"/>
  <c r="AG13" i="27"/>
  <c r="AJ13" i="27"/>
  <c r="AF13" i="27"/>
  <c r="AC13" i="27"/>
  <c r="AI13" i="27"/>
  <c r="AB13" i="27"/>
  <c r="AD13" i="27"/>
  <c r="AK13" i="27"/>
  <c r="AK13" i="15"/>
  <c r="AJ13" i="15"/>
  <c r="AH13" i="15"/>
  <c r="AF13" i="15"/>
  <c r="AB13" i="15"/>
  <c r="AI13" i="15"/>
  <c r="AD13" i="15"/>
  <c r="AC13" i="15"/>
  <c r="AG13" i="15"/>
  <c r="AE13" i="15"/>
  <c r="AK13" i="8"/>
  <c r="AI13" i="8"/>
  <c r="AE13" i="8"/>
  <c r="AD13" i="8"/>
  <c r="AH13" i="8"/>
  <c r="AF13" i="8"/>
  <c r="AJ13" i="8"/>
  <c r="AC13" i="8"/>
  <c r="AG13" i="8"/>
  <c r="AB13" i="8"/>
  <c r="AB5" i="27"/>
  <c r="AJ5" i="27"/>
  <c r="AD5" i="27"/>
  <c r="AC5" i="27"/>
  <c r="AF5" i="27"/>
  <c r="AI5" i="27"/>
  <c r="AE5" i="27"/>
  <c r="AK5" i="27"/>
  <c r="AH5" i="27"/>
  <c r="AG5" i="27"/>
  <c r="AB5" i="25"/>
  <c r="AJ5" i="25"/>
  <c r="AD5" i="25"/>
  <c r="AI5" i="25"/>
  <c r="AK5" i="25"/>
  <c r="AC5" i="25"/>
  <c r="AE5" i="25"/>
  <c r="AF5" i="25"/>
  <c r="AG5" i="25"/>
  <c r="AH5" i="25"/>
  <c r="AC5" i="12"/>
  <c r="AK5" i="12"/>
  <c r="AE5" i="12"/>
  <c r="AI5" i="12"/>
  <c r="AH5" i="12"/>
  <c r="AJ5" i="12"/>
  <c r="AB5" i="12"/>
  <c r="AF5" i="12"/>
  <c r="AD5" i="12"/>
  <c r="AG5" i="12"/>
  <c r="AK18" i="26"/>
  <c r="AF18" i="26"/>
  <c r="AB18" i="26"/>
  <c r="AH18" i="26"/>
  <c r="AJ18" i="26"/>
  <c r="AE18" i="26"/>
  <c r="AG18" i="26"/>
  <c r="AC18" i="26"/>
  <c r="AI18" i="26"/>
  <c r="AD18" i="26"/>
  <c r="AK18" i="7"/>
  <c r="AB18" i="7"/>
  <c r="AF18" i="7"/>
  <c r="AG18" i="7"/>
  <c r="AC18" i="7"/>
  <c r="AD18" i="7"/>
  <c r="AH18" i="7"/>
  <c r="AE18" i="7"/>
  <c r="AJ18" i="7"/>
  <c r="AI18" i="7"/>
  <c r="AD18" i="17"/>
  <c r="AH18" i="17"/>
  <c r="AB18" i="17"/>
  <c r="AG18" i="17"/>
  <c r="AJ18" i="17"/>
  <c r="AE18" i="17"/>
  <c r="AF18" i="17"/>
  <c r="AI18" i="17"/>
  <c r="AC18" i="17"/>
  <c r="AK18" i="17"/>
  <c r="AE16" i="22"/>
  <c r="AC16" i="22"/>
  <c r="AB16" i="22"/>
  <c r="AJ16" i="22"/>
  <c r="AD16" i="22"/>
  <c r="AK16" i="22"/>
  <c r="AH16" i="22"/>
  <c r="AI16" i="22"/>
  <c r="AG16" i="22"/>
  <c r="AF16" i="22"/>
  <c r="AF16" i="25"/>
  <c r="AK16" i="25"/>
  <c r="AJ16" i="25"/>
  <c r="AD16" i="25"/>
  <c r="AH16" i="25"/>
  <c r="AB16" i="25"/>
  <c r="AC16" i="25"/>
  <c r="AE16" i="25"/>
  <c r="AG16" i="25"/>
  <c r="AI16" i="25"/>
  <c r="AI16" i="24"/>
  <c r="AK16" i="24"/>
  <c r="AC16" i="24"/>
  <c r="AJ16" i="24"/>
  <c r="AD16" i="24"/>
  <c r="AG16" i="24"/>
  <c r="AB16" i="24"/>
  <c r="AH16" i="24"/>
  <c r="AF16" i="24"/>
  <c r="AE16" i="24"/>
  <c r="AG2" i="9"/>
  <c r="AF2" i="9"/>
  <c r="AB2" i="9"/>
  <c r="AJ2" i="9"/>
  <c r="AH2" i="9"/>
  <c r="AD2" i="9"/>
  <c r="AK2" i="9"/>
  <c r="AI2" i="9"/>
  <c r="AE2" i="9"/>
  <c r="AC2" i="9"/>
  <c r="AD2" i="16"/>
  <c r="AI2" i="16"/>
  <c r="AJ2" i="16"/>
  <c r="AC2" i="16"/>
  <c r="AK2" i="16"/>
  <c r="AG2" i="16"/>
  <c r="AH2" i="16"/>
  <c r="AB2" i="16"/>
  <c r="AF2" i="16"/>
  <c r="AE2" i="16"/>
  <c r="AE2" i="27"/>
  <c r="AI2" i="27"/>
  <c r="AB2" i="27"/>
  <c r="AC2" i="27"/>
  <c r="AG2" i="27"/>
  <c r="AK2" i="27"/>
  <c r="AJ2" i="27"/>
  <c r="AH2" i="27"/>
  <c r="AD2" i="27"/>
  <c r="AF2" i="27"/>
  <c r="AD10" i="24"/>
  <c r="AH10" i="24"/>
  <c r="AB10" i="24"/>
  <c r="AE10" i="24"/>
  <c r="AF10" i="24"/>
  <c r="AG10" i="24"/>
  <c r="AI10" i="24"/>
  <c r="AK10" i="24"/>
  <c r="AJ10" i="24"/>
  <c r="AC10" i="24"/>
  <c r="AC10" i="25"/>
  <c r="AF10" i="25"/>
  <c r="AB10" i="25"/>
  <c r="AH10" i="25"/>
  <c r="AG10" i="25"/>
  <c r="AK10" i="25"/>
  <c r="AE10" i="25"/>
  <c r="AI10" i="25"/>
  <c r="AJ10" i="25"/>
  <c r="AD10" i="25"/>
  <c r="AK10" i="27"/>
  <c r="AC10" i="27"/>
  <c r="AB10" i="27"/>
  <c r="AJ10" i="27"/>
  <c r="AH10" i="27"/>
  <c r="AG10" i="27"/>
  <c r="AI10" i="27"/>
  <c r="AF10" i="27"/>
  <c r="AD10" i="27"/>
  <c r="AE10" i="27"/>
  <c r="AH8" i="18"/>
  <c r="AC8" i="18"/>
  <c r="AB8" i="18"/>
  <c r="AD8" i="18"/>
  <c r="AG8" i="18"/>
  <c r="AE8" i="18"/>
  <c r="AF8" i="18"/>
  <c r="AK8" i="18"/>
  <c r="AI8" i="18"/>
  <c r="AJ8" i="18"/>
  <c r="AC8" i="19"/>
  <c r="AF8" i="19"/>
  <c r="AG8" i="19"/>
  <c r="AE8" i="19"/>
  <c r="AI8" i="19"/>
  <c r="AJ8" i="19"/>
  <c r="AD8" i="19"/>
  <c r="AK8" i="19"/>
  <c r="AH8" i="19"/>
  <c r="AB8" i="19"/>
  <c r="AC8" i="3"/>
  <c r="AJ8" i="3"/>
  <c r="AG8" i="3"/>
  <c r="AH8" i="3"/>
  <c r="AK8" i="3"/>
  <c r="AB8" i="3"/>
  <c r="AE8" i="3"/>
  <c r="AI8" i="3"/>
  <c r="AD8" i="3"/>
  <c r="AF8" i="3"/>
  <c r="AD6" i="15"/>
  <c r="AI6" i="15"/>
  <c r="AK6" i="15"/>
  <c r="AJ6" i="15"/>
  <c r="AG6" i="15"/>
  <c r="AE6" i="15"/>
  <c r="AB6" i="15"/>
  <c r="AH6" i="15"/>
  <c r="AC6" i="15"/>
  <c r="AF6" i="15"/>
  <c r="AF6" i="25"/>
  <c r="AB6" i="25"/>
  <c r="AD6" i="25"/>
  <c r="AC6" i="25"/>
  <c r="AE6" i="25"/>
  <c r="AJ6" i="25"/>
  <c r="AG6" i="25"/>
  <c r="AH6" i="25"/>
  <c r="AK6" i="25"/>
  <c r="AI6" i="25"/>
  <c r="AB6" i="7"/>
  <c r="AE6" i="7"/>
  <c r="AG6" i="7"/>
  <c r="AJ6" i="7"/>
  <c r="AI6" i="7"/>
  <c r="AF6" i="7"/>
  <c r="AD6" i="7"/>
  <c r="AH6" i="7"/>
  <c r="AK6" i="7"/>
  <c r="AC6" i="7"/>
  <c r="AK4" i="9"/>
  <c r="AJ4" i="9"/>
  <c r="AG4" i="9"/>
  <c r="AH4" i="9"/>
  <c r="AB4" i="9"/>
  <c r="AD4" i="9"/>
  <c r="AC4" i="9"/>
  <c r="AE4" i="9"/>
  <c r="AF4" i="9"/>
  <c r="AI4" i="9"/>
  <c r="AI4" i="4"/>
  <c r="AD4" i="4"/>
  <c r="AK4" i="4"/>
  <c r="AJ4" i="4"/>
  <c r="AB4" i="4"/>
  <c r="AH4" i="4"/>
  <c r="AC4" i="4"/>
  <c r="AF4" i="4"/>
  <c r="AE4" i="4"/>
  <c r="AG4" i="4"/>
  <c r="AG4" i="23"/>
  <c r="AE4" i="23"/>
  <c r="AB4" i="23"/>
  <c r="AK4" i="23"/>
  <c r="AI4" i="23"/>
  <c r="AJ4" i="23"/>
  <c r="AF4" i="23"/>
  <c r="AH4" i="23"/>
  <c r="AD4" i="23"/>
  <c r="AC4" i="23"/>
  <c r="AI4" i="6"/>
  <c r="AF4" i="6"/>
  <c r="AK4" i="6"/>
  <c r="AE4" i="6"/>
  <c r="AD4" i="6"/>
  <c r="AG4" i="6"/>
  <c r="AH4" i="6"/>
  <c r="AJ4" i="6"/>
  <c r="AB4" i="6"/>
  <c r="AC4" i="6"/>
  <c r="AD11" i="26"/>
  <c r="AC11" i="26"/>
  <c r="AE11" i="26"/>
  <c r="AB11" i="26"/>
  <c r="AH11" i="26"/>
  <c r="AK11" i="26"/>
  <c r="AF11" i="26"/>
  <c r="AG11" i="26"/>
  <c r="AJ11" i="26"/>
  <c r="AI11" i="26"/>
  <c r="AB11" i="18"/>
  <c r="AK11" i="18"/>
  <c r="AJ11" i="18"/>
  <c r="AF11" i="18"/>
  <c r="AH11" i="18"/>
  <c r="AI11" i="18"/>
  <c r="AE11" i="18"/>
  <c r="AD11" i="18"/>
  <c r="AC11" i="18"/>
  <c r="AG11" i="18"/>
  <c r="AG11" i="5"/>
  <c r="AE11" i="5"/>
  <c r="AK11" i="5"/>
  <c r="AF11" i="5"/>
  <c r="AH11" i="5"/>
  <c r="AJ11" i="5"/>
  <c r="AB11" i="5"/>
  <c r="AC11" i="5"/>
  <c r="AD11" i="5"/>
  <c r="AI11" i="5"/>
  <c r="AB7" i="3"/>
  <c r="AD7" i="3"/>
  <c r="AK7" i="3"/>
  <c r="AJ7" i="3"/>
  <c r="AC7" i="3"/>
  <c r="AE7" i="3"/>
  <c r="AH7" i="3"/>
  <c r="AG7" i="3"/>
  <c r="AI7" i="3"/>
  <c r="AF7" i="3"/>
  <c r="AC7" i="12"/>
  <c r="AF7" i="12"/>
  <c r="AG7" i="12"/>
  <c r="AI7" i="12"/>
  <c r="AE7" i="12"/>
  <c r="AD7" i="12"/>
  <c r="AB7" i="12"/>
  <c r="AK7" i="12"/>
  <c r="AH7" i="12"/>
  <c r="AJ7" i="12"/>
  <c r="AE7" i="14"/>
  <c r="AH7" i="14"/>
  <c r="AD7" i="14"/>
  <c r="AJ7" i="14"/>
  <c r="AK7" i="14"/>
  <c r="AF7" i="14"/>
  <c r="AI7" i="14"/>
  <c r="AC7" i="14"/>
  <c r="AG7" i="14"/>
  <c r="AB7" i="14"/>
  <c r="AI15" i="14"/>
  <c r="AB15" i="14"/>
  <c r="AJ15" i="14"/>
  <c r="AC15" i="14"/>
  <c r="AH15" i="14"/>
  <c r="AD15" i="14"/>
  <c r="AK15" i="14"/>
  <c r="AF15" i="14"/>
  <c r="AG15" i="14"/>
  <c r="AE15" i="14"/>
  <c r="AJ15" i="26"/>
  <c r="AG15" i="26"/>
  <c r="AI15" i="26"/>
  <c r="AB15" i="26"/>
  <c r="AD15" i="26"/>
  <c r="AC15" i="26"/>
  <c r="AH15" i="26"/>
  <c r="AE15" i="26"/>
  <c r="AK15" i="26"/>
  <c r="AF15" i="26"/>
  <c r="AC15" i="13"/>
  <c r="AD15" i="13"/>
  <c r="AK15" i="13"/>
  <c r="AE15" i="13"/>
  <c r="AJ15" i="13"/>
  <c r="AI15" i="13"/>
  <c r="AG15" i="13"/>
  <c r="AH15" i="13"/>
  <c r="AF15" i="13"/>
  <c r="AB15" i="13"/>
  <c r="AH15" i="16"/>
  <c r="AF15" i="16"/>
  <c r="AK15" i="16"/>
  <c r="AE15" i="16"/>
  <c r="AB15" i="16"/>
  <c r="AD15" i="16"/>
  <c r="AG15" i="16"/>
  <c r="AC15" i="16"/>
  <c r="AI15" i="16"/>
  <c r="AJ15" i="16"/>
  <c r="AK12" i="14"/>
  <c r="AC12" i="14"/>
  <c r="AE12" i="14"/>
  <c r="AB12" i="14"/>
  <c r="AF12" i="14"/>
  <c r="AH12" i="14"/>
  <c r="AD12" i="14"/>
  <c r="AJ12" i="14"/>
  <c r="AG12" i="14"/>
  <c r="AI12" i="14"/>
  <c r="AF12" i="17"/>
  <c r="AJ12" i="17"/>
  <c r="AE12" i="17"/>
  <c r="AK12" i="17"/>
  <c r="AG12" i="17"/>
  <c r="AC12" i="17"/>
  <c r="AI12" i="17"/>
  <c r="AB12" i="17"/>
  <c r="AH12" i="17"/>
  <c r="AD12" i="17"/>
  <c r="AI12" i="15"/>
  <c r="AD12" i="15"/>
  <c r="AB12" i="15"/>
  <c r="AJ12" i="15"/>
  <c r="AK12" i="15"/>
  <c r="AH12" i="15"/>
  <c r="AE12" i="15"/>
  <c r="AG12" i="15"/>
  <c r="AF12" i="15"/>
  <c r="AC12" i="15"/>
  <c r="AH17" i="4"/>
  <c r="AF17" i="4"/>
  <c r="AI17" i="4"/>
  <c r="AG17" i="4"/>
  <c r="AD17" i="4"/>
  <c r="AK17" i="4"/>
  <c r="AJ17" i="4"/>
  <c r="AC17" i="4"/>
  <c r="AB17" i="4"/>
  <c r="AE17" i="4"/>
  <c r="AE17" i="14"/>
  <c r="AF17" i="14"/>
  <c r="AD17" i="14"/>
  <c r="AJ17" i="14"/>
  <c r="AH17" i="14"/>
  <c r="AG17" i="14"/>
  <c r="AK17" i="14"/>
  <c r="AI17" i="14"/>
  <c r="AC17" i="14"/>
  <c r="AB17" i="14"/>
  <c r="AB17" i="21"/>
  <c r="AF17" i="21"/>
  <c r="AH17" i="21"/>
  <c r="AC17" i="21"/>
  <c r="AJ17" i="21"/>
  <c r="AG17" i="21"/>
  <c r="AI17" i="21"/>
  <c r="AK17" i="21"/>
  <c r="AD17" i="21"/>
  <c r="AE17" i="21"/>
  <c r="AB14" i="14"/>
  <c r="AD14" i="14"/>
  <c r="AE14" i="14"/>
  <c r="AG14" i="14"/>
  <c r="AC14" i="14"/>
  <c r="AI14" i="14"/>
  <c r="AF14" i="14"/>
  <c r="AJ14" i="14"/>
  <c r="AH14" i="14"/>
  <c r="AK14" i="14"/>
  <c r="AH14" i="9"/>
  <c r="AJ14" i="9"/>
  <c r="AC14" i="9"/>
  <c r="AD14" i="9"/>
  <c r="AI14" i="9"/>
  <c r="AE14" i="9"/>
  <c r="AB14" i="9"/>
  <c r="AG14" i="9"/>
  <c r="AF14" i="9"/>
  <c r="AK14" i="9"/>
  <c r="AC14" i="27"/>
  <c r="AG14" i="27"/>
  <c r="AB14" i="27"/>
  <c r="AD14" i="27"/>
  <c r="AK14" i="27"/>
  <c r="AF14" i="27"/>
  <c r="AH14" i="27"/>
  <c r="AJ14" i="27"/>
  <c r="AI14" i="27"/>
  <c r="AE14" i="27"/>
  <c r="AI3" i="15"/>
  <c r="AF3" i="15"/>
  <c r="AB3" i="15"/>
  <c r="AC3" i="15"/>
  <c r="AG3" i="15"/>
  <c r="AK3" i="15"/>
  <c r="AD3" i="15"/>
  <c r="AH3" i="15"/>
  <c r="AE3" i="15"/>
  <c r="AJ3" i="15"/>
  <c r="AH3" i="9"/>
  <c r="AJ3" i="9"/>
  <c r="AF3" i="9"/>
  <c r="AK3" i="9"/>
  <c r="AG3" i="9"/>
  <c r="AI3" i="9"/>
  <c r="AE3" i="9"/>
  <c r="AB3" i="9"/>
  <c r="AC3" i="9"/>
  <c r="AD3" i="9"/>
  <c r="AK3" i="5"/>
  <c r="AB3" i="5"/>
  <c r="AF3" i="5"/>
  <c r="AI3" i="5"/>
  <c r="AJ3" i="5"/>
  <c r="AG3" i="5"/>
  <c r="AC3" i="5"/>
  <c r="AE3" i="5"/>
  <c r="AH3" i="5"/>
  <c r="AD3" i="5"/>
  <c r="AB19" i="27"/>
  <c r="AF19" i="27"/>
  <c r="AK19" i="27"/>
  <c r="AJ19" i="27"/>
  <c r="AI19" i="27"/>
  <c r="AE19" i="27"/>
  <c r="AC19" i="27"/>
  <c r="AD19" i="27"/>
  <c r="AG19" i="27"/>
  <c r="AH19" i="27"/>
  <c r="AD19" i="15"/>
  <c r="AF19" i="15"/>
  <c r="AI19" i="15"/>
  <c r="AE19" i="15"/>
  <c r="AC19" i="15"/>
  <c r="AH19" i="15"/>
  <c r="AJ19" i="15"/>
  <c r="AG19" i="15"/>
  <c r="AK19" i="15"/>
  <c r="AB19" i="15"/>
  <c r="AK19" i="25"/>
  <c r="AG19" i="25"/>
  <c r="AB19" i="25"/>
  <c r="AD19" i="25"/>
  <c r="AC19" i="25"/>
  <c r="AJ19" i="25"/>
  <c r="AE19" i="25"/>
  <c r="AF19" i="25"/>
  <c r="AH19" i="25"/>
  <c r="AI19" i="25"/>
  <c r="AJ9" i="26"/>
  <c r="AF9" i="26"/>
  <c r="AI9" i="26"/>
  <c r="AE9" i="26"/>
  <c r="AG9" i="26"/>
  <c r="AH9" i="26"/>
  <c r="AC9" i="26"/>
  <c r="AB9" i="26"/>
  <c r="AK9" i="26"/>
  <c r="AD9" i="26"/>
  <c r="AE9" i="13"/>
  <c r="AK9" i="13"/>
  <c r="AH9" i="13"/>
  <c r="AG9" i="13"/>
  <c r="AF9" i="13"/>
  <c r="AB9" i="13"/>
  <c r="AC9" i="13"/>
  <c r="AD9" i="13"/>
  <c r="AJ9" i="13"/>
  <c r="AI9" i="13"/>
  <c r="AI9" i="6"/>
  <c r="AG9" i="6"/>
  <c r="AH9" i="6"/>
  <c r="AJ9" i="6"/>
  <c r="AC9" i="6"/>
  <c r="AK9" i="6"/>
  <c r="AD9" i="6"/>
  <c r="AB9" i="6"/>
  <c r="AE9" i="6"/>
  <c r="AF9" i="6"/>
  <c r="AB5" i="4"/>
  <c r="AH5" i="4"/>
  <c r="AG5" i="4"/>
  <c r="AK5" i="4"/>
  <c r="AD5" i="4"/>
  <c r="AE5" i="4"/>
  <c r="AC5" i="4"/>
  <c r="AI5" i="4"/>
  <c r="AF5" i="4"/>
  <c r="AJ5" i="4"/>
  <c r="AD18" i="23"/>
  <c r="AI18" i="23"/>
  <c r="AE18" i="23"/>
  <c r="AG18" i="23"/>
  <c r="AH18" i="23"/>
  <c r="AC18" i="23"/>
  <c r="AJ18" i="23"/>
  <c r="AK18" i="23"/>
  <c r="AB18" i="23"/>
  <c r="AF18" i="23"/>
  <c r="AG16" i="13"/>
  <c r="AK16" i="13"/>
  <c r="AD16" i="13"/>
  <c r="AI16" i="13"/>
  <c r="AJ16" i="13"/>
  <c r="AH16" i="13"/>
  <c r="AB16" i="13"/>
  <c r="AE16" i="13"/>
  <c r="AC16" i="13"/>
  <c r="AF16" i="13"/>
  <c r="AC2" i="24"/>
  <c r="AB2" i="24"/>
  <c r="AE2" i="24"/>
  <c r="AF2" i="24"/>
  <c r="AK2" i="24"/>
  <c r="AG2" i="24"/>
  <c r="AD2" i="24"/>
  <c r="AH2" i="24"/>
  <c r="AJ2" i="24"/>
  <c r="AI2" i="24"/>
  <c r="AE8" i="24"/>
  <c r="AH8" i="24"/>
  <c r="AG8" i="24"/>
  <c r="AI8" i="24"/>
  <c r="AD8" i="24"/>
  <c r="AB8" i="24"/>
  <c r="AK8" i="24"/>
  <c r="AF8" i="24"/>
  <c r="AJ8" i="24"/>
  <c r="AC8" i="24"/>
  <c r="AC13" i="9"/>
  <c r="AK13" i="9"/>
  <c r="AD13" i="9"/>
  <c r="AG13" i="9"/>
  <c r="AI13" i="9"/>
  <c r="AE13" i="9"/>
  <c r="AB13" i="9"/>
  <c r="AJ13" i="9"/>
  <c r="AH13" i="9"/>
  <c r="AF13" i="9"/>
  <c r="AI13" i="20"/>
  <c r="AD13" i="20"/>
  <c r="AC13" i="20"/>
  <c r="AJ13" i="20"/>
  <c r="AK13" i="20"/>
  <c r="AH13" i="20"/>
  <c r="AE13" i="20"/>
  <c r="AG13" i="20"/>
  <c r="AB13" i="20"/>
  <c r="AF13" i="20"/>
  <c r="AK5" i="26"/>
  <c r="AB5" i="26"/>
  <c r="AI5" i="26"/>
  <c r="AJ5" i="26"/>
  <c r="AG5" i="26"/>
  <c r="AD5" i="26"/>
  <c r="AC5" i="26"/>
  <c r="AE5" i="26"/>
  <c r="AF5" i="26"/>
  <c r="AH5" i="26"/>
  <c r="AJ18" i="19"/>
  <c r="AH18" i="19"/>
  <c r="AF18" i="19"/>
  <c r="AD18" i="19"/>
  <c r="AC18" i="19"/>
  <c r="AG18" i="19"/>
  <c r="AK18" i="19"/>
  <c r="AE18" i="19"/>
  <c r="AI18" i="19"/>
  <c r="AB18" i="19"/>
  <c r="AC16" i="3"/>
  <c r="AG16" i="3"/>
  <c r="AB16" i="3"/>
  <c r="AJ16" i="3"/>
  <c r="AD16" i="3"/>
  <c r="AK16" i="3"/>
  <c r="AH16" i="3"/>
  <c r="AF16" i="3"/>
  <c r="AI16" i="3"/>
  <c r="AE16" i="3"/>
  <c r="AJ2" i="7"/>
  <c r="AD2" i="7"/>
  <c r="AB2" i="7"/>
  <c r="AH2" i="7"/>
  <c r="AF2" i="7"/>
  <c r="AC2" i="7"/>
  <c r="AE2" i="7"/>
  <c r="AK2" i="7"/>
  <c r="AI2" i="7"/>
  <c r="AG2" i="7"/>
  <c r="AI10" i="5"/>
  <c r="AD10" i="5"/>
  <c r="AG10" i="5"/>
  <c r="AB10" i="5"/>
  <c r="AE10" i="5"/>
  <c r="AH10" i="5"/>
  <c r="AJ10" i="5"/>
  <c r="AK10" i="5"/>
  <c r="AF10" i="5"/>
  <c r="AC10" i="5"/>
  <c r="AD8" i="16"/>
  <c r="AH8" i="16"/>
  <c r="AG8" i="16"/>
  <c r="AI8" i="16"/>
  <c r="AC8" i="16"/>
  <c r="AB8" i="16"/>
  <c r="AK8" i="16"/>
  <c r="AF8" i="16"/>
  <c r="AE8" i="16"/>
  <c r="AJ8" i="16"/>
  <c r="AF4" i="22"/>
  <c r="AI4" i="22"/>
  <c r="AD4" i="22"/>
  <c r="AC4" i="22"/>
  <c r="AK4" i="22"/>
  <c r="AJ4" i="22"/>
  <c r="AE4" i="22"/>
  <c r="AB4" i="22"/>
  <c r="AG4" i="22"/>
  <c r="AH4" i="22"/>
  <c r="AC12" i="8"/>
  <c r="AF12" i="8"/>
  <c r="AB12" i="8"/>
  <c r="AJ12" i="8"/>
  <c r="AI12" i="8"/>
  <c r="AH12" i="8"/>
  <c r="AD12" i="8"/>
  <c r="AG12" i="8"/>
  <c r="AK12" i="8"/>
  <c r="AE12" i="8"/>
  <c r="AF17" i="7"/>
  <c r="AJ17" i="7"/>
  <c r="AH17" i="7"/>
  <c r="AK17" i="7"/>
  <c r="AB17" i="7"/>
  <c r="AE17" i="7"/>
  <c r="AD17" i="7"/>
  <c r="AC17" i="7"/>
  <c r="AI17" i="7"/>
  <c r="AG17" i="7"/>
  <c r="AC17" i="19"/>
  <c r="AK17" i="19"/>
  <c r="AE17" i="19"/>
  <c r="AD17" i="19"/>
  <c r="AH17" i="19"/>
  <c r="AI17" i="19"/>
  <c r="AF17" i="19"/>
  <c r="AG17" i="19"/>
  <c r="AJ17" i="19"/>
  <c r="AB17" i="19"/>
  <c r="AB14" i="17"/>
  <c r="AJ14" i="17"/>
  <c r="AC14" i="17"/>
  <c r="AE14" i="17"/>
  <c r="AI14" i="17"/>
  <c r="AF14" i="17"/>
  <c r="AG14" i="17"/>
  <c r="AH14" i="17"/>
  <c r="AK14" i="17"/>
  <c r="AD14" i="17"/>
  <c r="AK3" i="21"/>
  <c r="AF3" i="21"/>
  <c r="AC3" i="21"/>
  <c r="AI3" i="21"/>
  <c r="AD3" i="21"/>
  <c r="AB3" i="21"/>
  <c r="AJ3" i="21"/>
  <c r="AE3" i="21"/>
  <c r="AG3" i="21"/>
  <c r="AH3" i="21"/>
  <c r="AG3" i="27"/>
  <c r="AF3" i="27"/>
  <c r="AI3" i="27"/>
  <c r="AD3" i="27"/>
  <c r="AB3" i="27"/>
  <c r="AC3" i="27"/>
  <c r="AE3" i="27"/>
  <c r="AJ3" i="27"/>
  <c r="AK3" i="27"/>
  <c r="AH3" i="27"/>
  <c r="AB19" i="19"/>
  <c r="AK19" i="19"/>
  <c r="AJ19" i="19"/>
  <c r="AC19" i="19"/>
  <c r="AI19" i="19"/>
  <c r="AF19" i="19"/>
  <c r="AE19" i="19"/>
  <c r="AH19" i="19"/>
  <c r="AD19" i="19"/>
  <c r="AG19" i="19"/>
  <c r="AJ9" i="25"/>
  <c r="AI9" i="25"/>
  <c r="AK9" i="25"/>
  <c r="AE9" i="25"/>
  <c r="AF9" i="25"/>
  <c r="AH9" i="25"/>
  <c r="AB9" i="25"/>
  <c r="AD9" i="25"/>
  <c r="AG9" i="25"/>
  <c r="AC9" i="25"/>
  <c r="AC13" i="16"/>
  <c r="AE13" i="16"/>
  <c r="AB13" i="16"/>
  <c r="AI13" i="16"/>
  <c r="AG13" i="16"/>
  <c r="AF13" i="16"/>
  <c r="AH13" i="16"/>
  <c r="AJ13" i="16"/>
  <c r="AK13" i="16"/>
  <c r="AD13" i="16"/>
  <c r="AG13" i="18"/>
  <c r="AD13" i="18"/>
  <c r="AJ13" i="18"/>
  <c r="AC13" i="18"/>
  <c r="AF13" i="18"/>
  <c r="AB13" i="18"/>
  <c r="AE13" i="18"/>
  <c r="AI13" i="18"/>
  <c r="AH13" i="18"/>
  <c r="AK13" i="18"/>
  <c r="AG13" i="10"/>
  <c r="AC13" i="10"/>
  <c r="AF13" i="10"/>
  <c r="AB13" i="10"/>
  <c r="AD13" i="10"/>
  <c r="AH13" i="10"/>
  <c r="AE13" i="10"/>
  <c r="AJ13" i="10"/>
  <c r="AI13" i="10"/>
  <c r="AK13" i="10"/>
  <c r="AH5" i="9"/>
  <c r="AI5" i="9"/>
  <c r="AF5" i="9"/>
  <c r="AB5" i="9"/>
  <c r="AK5" i="9"/>
  <c r="AG5" i="9"/>
  <c r="AD5" i="9"/>
  <c r="AE5" i="9"/>
  <c r="AJ5" i="9"/>
  <c r="AC5" i="9"/>
  <c r="AD5" i="3"/>
  <c r="AB5" i="3"/>
  <c r="AF5" i="3"/>
  <c r="AJ5" i="3"/>
  <c r="AG5" i="3"/>
  <c r="AH5" i="3"/>
  <c r="AC5" i="3"/>
  <c r="AK5" i="3"/>
  <c r="AI5" i="3"/>
  <c r="AE5" i="3"/>
  <c r="AF5" i="21"/>
  <c r="AI5" i="21"/>
  <c r="AD5" i="21"/>
  <c r="AK5" i="21"/>
  <c r="AJ5" i="21"/>
  <c r="AE5" i="21"/>
  <c r="AB5" i="21"/>
  <c r="AH5" i="21"/>
  <c r="AG5" i="21"/>
  <c r="AC5" i="21"/>
  <c r="AF5" i="11"/>
  <c r="AJ5" i="11"/>
  <c r="AK5" i="11"/>
  <c r="AI5" i="11"/>
  <c r="AC5" i="11"/>
  <c r="AD5" i="11"/>
  <c r="AG5" i="11"/>
  <c r="AE5" i="11"/>
  <c r="AH5" i="11"/>
  <c r="AB5" i="11"/>
  <c r="AE18" i="8"/>
  <c r="AF18" i="8"/>
  <c r="AI18" i="8"/>
  <c r="AH18" i="8"/>
  <c r="AB18" i="8"/>
  <c r="AG18" i="8"/>
  <c r="AJ18" i="8"/>
  <c r="AC18" i="8"/>
  <c r="AD18" i="8"/>
  <c r="AK18" i="8"/>
  <c r="AD18" i="21"/>
  <c r="AK18" i="21"/>
  <c r="AI18" i="21"/>
  <c r="AJ18" i="21"/>
  <c r="AG18" i="21"/>
  <c r="AB18" i="21"/>
  <c r="AE18" i="21"/>
  <c r="AC18" i="21"/>
  <c r="AH18" i="21"/>
  <c r="AF18" i="21"/>
  <c r="AH18" i="4"/>
  <c r="AI18" i="4"/>
  <c r="AE18" i="4"/>
  <c r="AK18" i="4"/>
  <c r="AC18" i="4"/>
  <c r="AD18" i="4"/>
  <c r="AB18" i="4"/>
  <c r="AF18" i="4"/>
  <c r="AG18" i="4"/>
  <c r="AJ18" i="4"/>
  <c r="AE16" i="26"/>
  <c r="AI16" i="26"/>
  <c r="AK16" i="26"/>
  <c r="AJ16" i="26"/>
  <c r="AG16" i="26"/>
  <c r="AB16" i="26"/>
  <c r="AD16" i="26"/>
  <c r="AC16" i="26"/>
  <c r="AF16" i="26"/>
  <c r="AH16" i="26"/>
  <c r="AK16" i="11"/>
  <c r="AD16" i="11"/>
  <c r="AJ16" i="11"/>
  <c r="AE16" i="11"/>
  <c r="AB16" i="11"/>
  <c r="AF16" i="11"/>
  <c r="AG16" i="11"/>
  <c r="AI16" i="11"/>
  <c r="AH16" i="11"/>
  <c r="AC16" i="11"/>
  <c r="AD16" i="9"/>
  <c r="AE16" i="9"/>
  <c r="AK16" i="9"/>
  <c r="AH16" i="9"/>
  <c r="AI16" i="9"/>
  <c r="AC16" i="9"/>
  <c r="AF16" i="9"/>
  <c r="AG16" i="9"/>
  <c r="AB16" i="9"/>
  <c r="AJ16" i="9"/>
  <c r="AE2" i="6"/>
  <c r="AB2" i="6"/>
  <c r="AJ2" i="6"/>
  <c r="AD2" i="6"/>
  <c r="AG2" i="6"/>
  <c r="AK2" i="6"/>
  <c r="AC2" i="6"/>
  <c r="AI2" i="6"/>
  <c r="AF2" i="6"/>
  <c r="AH2" i="6"/>
  <c r="AF2" i="10"/>
  <c r="AC2" i="10"/>
  <c r="AB2" i="10"/>
  <c r="AJ2" i="10"/>
  <c r="AG2" i="10"/>
  <c r="AI2" i="10"/>
  <c r="AD2" i="10"/>
  <c r="AH2" i="10"/>
  <c r="AE2" i="10"/>
  <c r="AK2" i="10"/>
  <c r="AK2" i="20"/>
  <c r="AG2" i="20"/>
  <c r="AH2" i="20"/>
  <c r="AE2" i="20"/>
  <c r="AD2" i="20"/>
  <c r="AC2" i="20"/>
  <c r="AB2" i="20"/>
  <c r="AJ2" i="20"/>
  <c r="AI2" i="20"/>
  <c r="AF2" i="20"/>
  <c r="AJ2" i="14"/>
  <c r="AK2" i="14"/>
  <c r="AG2" i="14"/>
  <c r="AH2" i="14"/>
  <c r="AB2" i="14"/>
  <c r="AE2" i="14"/>
  <c r="AF2" i="14"/>
  <c r="AD2" i="14"/>
  <c r="AI2" i="14"/>
  <c r="AC2" i="14"/>
  <c r="AB10" i="21"/>
  <c r="AE10" i="21"/>
  <c r="AF10" i="21"/>
  <c r="AK10" i="21"/>
  <c r="AI10" i="21"/>
  <c r="AC10" i="21"/>
  <c r="AD10" i="21"/>
  <c r="AJ10" i="21"/>
  <c r="AG10" i="21"/>
  <c r="AH10" i="21"/>
  <c r="AI10" i="3"/>
  <c r="AG10" i="3"/>
  <c r="AC10" i="3"/>
  <c r="AB10" i="3"/>
  <c r="AH10" i="3"/>
  <c r="AD10" i="3"/>
  <c r="AK10" i="3"/>
  <c r="AJ10" i="3"/>
  <c r="AE10" i="3"/>
  <c r="AF10" i="3"/>
  <c r="AH10" i="15"/>
  <c r="AB10" i="15"/>
  <c r="AD10" i="15"/>
  <c r="AF10" i="15"/>
  <c r="AK10" i="15"/>
  <c r="AI10" i="15"/>
  <c r="AC10" i="15"/>
  <c r="AJ10" i="15"/>
  <c r="AE10" i="15"/>
  <c r="AG10" i="15"/>
  <c r="AD8" i="10"/>
  <c r="AF8" i="10"/>
  <c r="AH8" i="10"/>
  <c r="AI8" i="10"/>
  <c r="AC8" i="10"/>
  <c r="AJ8" i="10"/>
  <c r="AB8" i="10"/>
  <c r="AE8" i="10"/>
  <c r="AG8" i="10"/>
  <c r="AK8" i="10"/>
  <c r="AF8" i="6"/>
  <c r="AB8" i="6"/>
  <c r="AH8" i="6"/>
  <c r="AE8" i="6"/>
  <c r="AI8" i="6"/>
  <c r="AD8" i="6"/>
  <c r="AK8" i="6"/>
  <c r="AJ8" i="6"/>
  <c r="AC8" i="6"/>
  <c r="AG8" i="6"/>
  <c r="AC8" i="20"/>
  <c r="AE8" i="20"/>
  <c r="AB8" i="20"/>
  <c r="AK8" i="20"/>
  <c r="AG8" i="20"/>
  <c r="AF8" i="20"/>
  <c r="AH8" i="20"/>
  <c r="AJ8" i="20"/>
  <c r="AI8" i="20"/>
  <c r="AD8" i="20"/>
  <c r="AB6" i="21"/>
  <c r="AH6" i="21"/>
  <c r="AG6" i="21"/>
  <c r="AF6" i="21"/>
  <c r="AJ6" i="21"/>
  <c r="AK6" i="21"/>
  <c r="AD6" i="21"/>
  <c r="AE6" i="21"/>
  <c r="AI6" i="21"/>
  <c r="AC6" i="21"/>
  <c r="AI6" i="13"/>
  <c r="AC6" i="13"/>
  <c r="AK6" i="13"/>
  <c r="AE6" i="13"/>
  <c r="AG6" i="13"/>
  <c r="AB6" i="13"/>
  <c r="AF6" i="13"/>
  <c r="AJ6" i="13"/>
  <c r="AH6" i="13"/>
  <c r="AD6" i="13"/>
  <c r="AK6" i="16"/>
  <c r="AH6" i="16"/>
  <c r="AG6" i="16"/>
  <c r="AB6" i="16"/>
  <c r="AI6" i="16"/>
  <c r="AC6" i="16"/>
  <c r="AF6" i="16"/>
  <c r="AD6" i="16"/>
  <c r="AJ6" i="16"/>
  <c r="AE6" i="16"/>
  <c r="AI4" i="19"/>
  <c r="AC4" i="19"/>
  <c r="AH4" i="19"/>
  <c r="AG4" i="19"/>
  <c r="AK4" i="19"/>
  <c r="AE4" i="19"/>
  <c r="AJ4" i="19"/>
  <c r="AF4" i="19"/>
  <c r="AB4" i="19"/>
  <c r="AD4" i="19"/>
  <c r="AG4" i="3"/>
  <c r="AC4" i="3"/>
  <c r="AJ4" i="3"/>
  <c r="AD4" i="3"/>
  <c r="AB4" i="3"/>
  <c r="AF4" i="3"/>
  <c r="AK4" i="3"/>
  <c r="AE4" i="3"/>
  <c r="AI4" i="3"/>
  <c r="AH4" i="3"/>
  <c r="AI4" i="10"/>
  <c r="AE4" i="10"/>
  <c r="AC4" i="10"/>
  <c r="AK4" i="10"/>
  <c r="AJ4" i="10"/>
  <c r="AF4" i="10"/>
  <c r="AG4" i="10"/>
  <c r="AB4" i="10"/>
  <c r="AH4" i="10"/>
  <c r="AD4" i="10"/>
  <c r="AE11" i="14"/>
  <c r="AI11" i="14"/>
  <c r="AK11" i="14"/>
  <c r="AB11" i="14"/>
  <c r="AG11" i="14"/>
  <c r="AH11" i="14"/>
  <c r="AJ11" i="14"/>
  <c r="AF11" i="14"/>
  <c r="AC11" i="14"/>
  <c r="AD11" i="14"/>
  <c r="AG11" i="4"/>
  <c r="AE11" i="4"/>
  <c r="AC11" i="4"/>
  <c r="AJ11" i="4"/>
  <c r="AK11" i="4"/>
  <c r="AF11" i="4"/>
  <c r="AI11" i="4"/>
  <c r="AB11" i="4"/>
  <c r="AH11" i="4"/>
  <c r="AD11" i="4"/>
  <c r="AH11" i="20"/>
  <c r="AJ11" i="20"/>
  <c r="AC11" i="20"/>
  <c r="AK11" i="20"/>
  <c r="AF11" i="20"/>
  <c r="AD11" i="20"/>
  <c r="AB11" i="20"/>
  <c r="AI11" i="20"/>
  <c r="AG11" i="20"/>
  <c r="AE11" i="20"/>
  <c r="AD7" i="7"/>
  <c r="AH7" i="7"/>
  <c r="AK7" i="7"/>
  <c r="AC7" i="7"/>
  <c r="AG7" i="7"/>
  <c r="AF7" i="7"/>
  <c r="AB7" i="7"/>
  <c r="AJ7" i="7"/>
  <c r="AI7" i="7"/>
  <c r="AE7" i="7"/>
  <c r="AC7" i="10"/>
  <c r="AJ7" i="10"/>
  <c r="AG7" i="10"/>
  <c r="AB7" i="10"/>
  <c r="AF7" i="10"/>
  <c r="AK7" i="10"/>
  <c r="AI7" i="10"/>
  <c r="AD7" i="10"/>
  <c r="AH7" i="10"/>
  <c r="AE7" i="10"/>
  <c r="AH7" i="24"/>
  <c r="AF7" i="24"/>
  <c r="AK7" i="24"/>
  <c r="AJ7" i="24"/>
  <c r="AC7" i="24"/>
  <c r="AD7" i="24"/>
  <c r="AI7" i="24"/>
  <c r="AE7" i="24"/>
  <c r="AG7" i="24"/>
  <c r="AB7" i="24"/>
  <c r="AC15" i="9"/>
  <c r="AH15" i="9"/>
  <c r="AI15" i="9"/>
  <c r="AB15" i="9"/>
  <c r="AK15" i="9"/>
  <c r="AF15" i="9"/>
  <c r="AD15" i="9"/>
  <c r="AE15" i="9"/>
  <c r="AG15" i="9"/>
  <c r="AJ15" i="9"/>
  <c r="AJ15" i="20"/>
  <c r="AI15" i="20"/>
  <c r="AC15" i="20"/>
  <c r="AF15" i="20"/>
  <c r="AG15" i="20"/>
  <c r="AK15" i="20"/>
  <c r="AE15" i="20"/>
  <c r="AH15" i="20"/>
  <c r="AB15" i="20"/>
  <c r="AD15" i="20"/>
  <c r="AB15" i="15"/>
  <c r="AG15" i="15"/>
  <c r="AH15" i="15"/>
  <c r="AF15" i="15"/>
  <c r="AC15" i="15"/>
  <c r="AK15" i="15"/>
  <c r="AE15" i="15"/>
  <c r="AJ15" i="15"/>
  <c r="AI15" i="15"/>
  <c r="AD15" i="15"/>
  <c r="AE12" i="19"/>
  <c r="AD12" i="19"/>
  <c r="AK12" i="19"/>
  <c r="AH12" i="19"/>
  <c r="AI12" i="19"/>
  <c r="AJ12" i="19"/>
  <c r="AF12" i="19"/>
  <c r="AG12" i="19"/>
  <c r="AB12" i="19"/>
  <c r="AC12" i="19"/>
  <c r="AK12" i="9"/>
  <c r="AB12" i="9"/>
  <c r="AJ12" i="9"/>
  <c r="AC12" i="9"/>
  <c r="AF12" i="9"/>
  <c r="AH12" i="9"/>
  <c r="AE12" i="9"/>
  <c r="AG12" i="9"/>
  <c r="AD12" i="9"/>
  <c r="AI12" i="9"/>
  <c r="AH12" i="10"/>
  <c r="AE12" i="10"/>
  <c r="AB12" i="10"/>
  <c r="AK12" i="10"/>
  <c r="AJ12" i="10"/>
  <c r="AD12" i="10"/>
  <c r="AI12" i="10"/>
  <c r="AG12" i="10"/>
  <c r="AF12" i="10"/>
  <c r="AC12" i="10"/>
  <c r="AG12" i="16"/>
  <c r="AI12" i="16"/>
  <c r="AE12" i="16"/>
  <c r="AD12" i="16"/>
  <c r="AB12" i="16"/>
  <c r="AH12" i="16"/>
  <c r="AK12" i="16"/>
  <c r="AF12" i="16"/>
  <c r="AJ12" i="16"/>
  <c r="AC12" i="16"/>
  <c r="AE17" i="12"/>
  <c r="AC17" i="12"/>
  <c r="AK17" i="12"/>
  <c r="AB17" i="12"/>
  <c r="AG17" i="12"/>
  <c r="AI17" i="12"/>
  <c r="AH17" i="12"/>
  <c r="AD17" i="12"/>
  <c r="AJ17" i="12"/>
  <c r="AF17" i="12"/>
  <c r="AH17" i="8"/>
  <c r="AI17" i="8"/>
  <c r="AK17" i="8"/>
  <c r="AJ17" i="8"/>
  <c r="AF17" i="8"/>
  <c r="AE17" i="8"/>
  <c r="AG17" i="8"/>
  <c r="AB17" i="8"/>
  <c r="AD17" i="8"/>
  <c r="AC17" i="8"/>
  <c r="AJ17" i="9"/>
  <c r="AD17" i="9"/>
  <c r="AE17" i="9"/>
  <c r="AG17" i="9"/>
  <c r="AB17" i="9"/>
  <c r="AF17" i="9"/>
  <c r="AK17" i="9"/>
  <c r="AI17" i="9"/>
  <c r="AH17" i="9"/>
  <c r="AC17" i="9"/>
  <c r="AJ14" i="13"/>
  <c r="AF14" i="13"/>
  <c r="AC14" i="13"/>
  <c r="AI14" i="13"/>
  <c r="AH14" i="13"/>
  <c r="AE14" i="13"/>
  <c r="AB14" i="13"/>
  <c r="AD14" i="13"/>
  <c r="AK14" i="13"/>
  <c r="AG14" i="13"/>
  <c r="AH14" i="7"/>
  <c r="AK14" i="7"/>
  <c r="AG14" i="7"/>
  <c r="AF14" i="7"/>
  <c r="AD14" i="7"/>
  <c r="AJ14" i="7"/>
  <c r="AI14" i="7"/>
  <c r="AB14" i="7"/>
  <c r="AE14" i="7"/>
  <c r="AC14" i="7"/>
  <c r="AE14" i="12"/>
  <c r="AI14" i="12"/>
  <c r="AH14" i="12"/>
  <c r="AF14" i="12"/>
  <c r="AK14" i="12"/>
  <c r="AC14" i="12"/>
  <c r="AB14" i="12"/>
  <c r="AD14" i="12"/>
  <c r="AG14" i="12"/>
  <c r="AJ14" i="12"/>
  <c r="AH3" i="20"/>
  <c r="AF3" i="20"/>
  <c r="AE3" i="20"/>
  <c r="AI3" i="20"/>
  <c r="AB3" i="20"/>
  <c r="AC3" i="20"/>
  <c r="AD3" i="20"/>
  <c r="AJ3" i="20"/>
  <c r="AG3" i="20"/>
  <c r="AK3" i="20"/>
  <c r="AG3" i="12"/>
  <c r="AD3" i="12"/>
  <c r="AJ3" i="12"/>
  <c r="AC3" i="12"/>
  <c r="AB3" i="12"/>
  <c r="AF3" i="12"/>
  <c r="AI3" i="12"/>
  <c r="AH3" i="12"/>
  <c r="AK3" i="12"/>
  <c r="AE3" i="12"/>
  <c r="AB3" i="3"/>
  <c r="AK3" i="3"/>
  <c r="AI3" i="3"/>
  <c r="AC3" i="3"/>
  <c r="AF3" i="3"/>
  <c r="AJ3" i="3"/>
  <c r="AD3" i="3"/>
  <c r="AE3" i="3"/>
  <c r="AG3" i="3"/>
  <c r="AH3" i="3"/>
  <c r="AH19" i="3"/>
  <c r="AC19" i="3"/>
  <c r="AD19" i="3"/>
  <c r="AB19" i="3"/>
  <c r="AI19" i="3"/>
  <c r="AE19" i="3"/>
  <c r="AJ19" i="3"/>
  <c r="AG19" i="3"/>
  <c r="AF19" i="3"/>
  <c r="AK19" i="3"/>
  <c r="AI19" i="12"/>
  <c r="AE19" i="12"/>
  <c r="AC19" i="12"/>
  <c r="AK19" i="12"/>
  <c r="AJ19" i="12"/>
  <c r="AF19" i="12"/>
  <c r="AD19" i="12"/>
  <c r="AG19" i="12"/>
  <c r="AH19" i="12"/>
  <c r="AB19" i="12"/>
  <c r="AJ19" i="6"/>
  <c r="AF19" i="6"/>
  <c r="AG19" i="6"/>
  <c r="AE19" i="6"/>
  <c r="AK19" i="6"/>
  <c r="AD19" i="6"/>
  <c r="AC19" i="6"/>
  <c r="AB19" i="6"/>
  <c r="AI19" i="6"/>
  <c r="AH19" i="6"/>
  <c r="AC9" i="3"/>
  <c r="AG9" i="3"/>
  <c r="AE9" i="3"/>
  <c r="AB9" i="3"/>
  <c r="AJ9" i="3"/>
  <c r="AK9" i="3"/>
  <c r="AH9" i="3"/>
  <c r="AD9" i="3"/>
  <c r="AF9" i="3"/>
  <c r="AI9" i="3"/>
  <c r="AD9" i="21"/>
  <c r="AC9" i="21"/>
  <c r="AJ9" i="21"/>
  <c r="AI9" i="21"/>
  <c r="AH9" i="21"/>
  <c r="AK9" i="21"/>
  <c r="AB9" i="21"/>
  <c r="AG9" i="21"/>
  <c r="AE9" i="21"/>
  <c r="AF9" i="21"/>
  <c r="AF9" i="27"/>
  <c r="AE9" i="27"/>
  <c r="AK9" i="27"/>
  <c r="AD9" i="27"/>
  <c r="AH9" i="27"/>
  <c r="AI9" i="27"/>
  <c r="AC9" i="27"/>
  <c r="AG9" i="27"/>
  <c r="AB9" i="27"/>
  <c r="AJ9" i="27"/>
  <c r="AE13" i="6"/>
  <c r="AG13" i="6"/>
  <c r="AH13" i="6"/>
  <c r="AK13" i="6"/>
  <c r="AD13" i="6"/>
  <c r="AC13" i="6"/>
  <c r="AI13" i="6"/>
  <c r="AF13" i="6"/>
  <c r="AB13" i="6"/>
  <c r="AJ13" i="6"/>
  <c r="AH18" i="11"/>
  <c r="AF18" i="11"/>
  <c r="AJ18" i="11"/>
  <c r="AG18" i="11"/>
  <c r="AC18" i="11"/>
  <c r="AB18" i="11"/>
  <c r="AE18" i="11"/>
  <c r="AK18" i="11"/>
  <c r="AD18" i="11"/>
  <c r="AI18" i="11"/>
  <c r="AF16" i="18"/>
  <c r="AJ16" i="18"/>
  <c r="AH16" i="18"/>
  <c r="AC16" i="18"/>
  <c r="AD16" i="18"/>
  <c r="AI16" i="18"/>
  <c r="AB16" i="18"/>
  <c r="AG16" i="18"/>
  <c r="AE16" i="18"/>
  <c r="AK16" i="18"/>
  <c r="AE8" i="23"/>
  <c r="AH8" i="23"/>
  <c r="AF8" i="23"/>
  <c r="AB8" i="23"/>
  <c r="AD8" i="23"/>
  <c r="AI8" i="23"/>
  <c r="AK8" i="23"/>
  <c r="AJ8" i="23"/>
  <c r="AC8" i="23"/>
  <c r="AG8" i="23"/>
  <c r="AJ13" i="14"/>
  <c r="AC13" i="14"/>
  <c r="AI13" i="14"/>
  <c r="AF13" i="14"/>
  <c r="AE13" i="14"/>
  <c r="AD13" i="14"/>
  <c r="AG13" i="14"/>
  <c r="AH13" i="14"/>
  <c r="AK13" i="14"/>
  <c r="AB13" i="14"/>
  <c r="AC5" i="15"/>
  <c r="AH5" i="15"/>
  <c r="AJ5" i="15"/>
  <c r="AE5" i="15"/>
  <c r="AG5" i="15"/>
  <c r="AB5" i="15"/>
  <c r="AK5" i="15"/>
  <c r="AD5" i="15"/>
  <c r="AI5" i="15"/>
  <c r="AF5" i="15"/>
  <c r="AD18" i="18"/>
  <c r="AF18" i="18"/>
  <c r="AI18" i="18"/>
  <c r="AB18" i="18"/>
  <c r="AG18" i="18"/>
  <c r="AK18" i="18"/>
  <c r="AH18" i="18"/>
  <c r="AE18" i="18"/>
  <c r="AC18" i="18"/>
  <c r="AJ18" i="18"/>
  <c r="AI16" i="17"/>
  <c r="AB16" i="17"/>
  <c r="AF16" i="17"/>
  <c r="AH16" i="17"/>
  <c r="AD16" i="17"/>
  <c r="AJ16" i="17"/>
  <c r="AK16" i="17"/>
  <c r="AG16" i="17"/>
  <c r="AC16" i="17"/>
  <c r="AE16" i="17"/>
  <c r="AJ2" i="18"/>
  <c r="AB2" i="18"/>
  <c r="AI2" i="18"/>
  <c r="AC2" i="18"/>
  <c r="AF2" i="18"/>
  <c r="AE2" i="18"/>
  <c r="AG2" i="18"/>
  <c r="AH2" i="18"/>
  <c r="AD2" i="18"/>
  <c r="AK2" i="18"/>
  <c r="AG10" i="20"/>
  <c r="AI10" i="20"/>
  <c r="AE10" i="20"/>
  <c r="AC10" i="20"/>
  <c r="AH10" i="20"/>
  <c r="AB10" i="20"/>
  <c r="AJ10" i="20"/>
  <c r="AF10" i="20"/>
  <c r="AK10" i="20"/>
  <c r="AD10" i="20"/>
  <c r="AE8" i="27"/>
  <c r="AC8" i="27"/>
  <c r="AG8" i="27"/>
  <c r="AJ8" i="27"/>
  <c r="AH8" i="27"/>
  <c r="AF8" i="27"/>
  <c r="AB8" i="27"/>
  <c r="AI8" i="27"/>
  <c r="AD8" i="27"/>
  <c r="AK8" i="27"/>
  <c r="AG6" i="14"/>
  <c r="AK6" i="14"/>
  <c r="AB6" i="14"/>
  <c r="AF6" i="14"/>
  <c r="AH6" i="14"/>
  <c r="AD6" i="14"/>
  <c r="AI6" i="14"/>
  <c r="AE6" i="14"/>
  <c r="AJ6" i="14"/>
  <c r="AC6" i="14"/>
  <c r="AE6" i="6"/>
  <c r="AC6" i="6"/>
  <c r="AB6" i="6"/>
  <c r="AG6" i="6"/>
  <c r="AI6" i="6"/>
  <c r="AK6" i="6"/>
  <c r="AD6" i="6"/>
  <c r="AF6" i="6"/>
  <c r="AH6" i="6"/>
  <c r="AJ6" i="6"/>
  <c r="AB4" i="27"/>
  <c r="AH4" i="27"/>
  <c r="AG4" i="27"/>
  <c r="AC4" i="27"/>
  <c r="AE4" i="27"/>
  <c r="AK4" i="27"/>
  <c r="AI4" i="27"/>
  <c r="AF4" i="27"/>
  <c r="AD4" i="27"/>
  <c r="AJ4" i="27"/>
  <c r="AJ11" i="23"/>
  <c r="AE11" i="23"/>
  <c r="AI11" i="23"/>
  <c r="AH11" i="23"/>
  <c r="AG11" i="23"/>
  <c r="AB11" i="23"/>
  <c r="AD11" i="23"/>
  <c r="AK11" i="23"/>
  <c r="AF11" i="23"/>
  <c r="AC11" i="23"/>
  <c r="AJ7" i="8"/>
  <c r="AH7" i="8"/>
  <c r="AG7" i="8"/>
  <c r="AI7" i="8"/>
  <c r="AF7" i="8"/>
  <c r="AB7" i="8"/>
  <c r="AD7" i="8"/>
  <c r="AC7" i="8"/>
  <c r="AK7" i="8"/>
  <c r="AE7" i="8"/>
  <c r="AE12" i="27"/>
  <c r="AC12" i="27"/>
  <c r="AD12" i="27"/>
  <c r="AB12" i="27"/>
  <c r="AH12" i="27"/>
  <c r="AG12" i="27"/>
  <c r="AK12" i="27"/>
  <c r="AI12" i="27"/>
  <c r="AJ12" i="27"/>
  <c r="AF12" i="27"/>
  <c r="AD19" i="11"/>
  <c r="AI19" i="11"/>
  <c r="AG19" i="11"/>
  <c r="AB19" i="11"/>
  <c r="AE19" i="11"/>
  <c r="AC19" i="11"/>
  <c r="AF19" i="11"/>
  <c r="AK19" i="11"/>
  <c r="AJ19" i="11"/>
  <c r="AH19" i="11"/>
  <c r="AI13" i="11"/>
  <c r="AF13" i="11"/>
  <c r="AJ13" i="11"/>
  <c r="AH13" i="11"/>
  <c r="AD13" i="11"/>
  <c r="AK13" i="11"/>
  <c r="AG13" i="11"/>
  <c r="AB13" i="11"/>
  <c r="AC13" i="11"/>
  <c r="AE13" i="11"/>
  <c r="AG5" i="23"/>
  <c r="AJ5" i="23"/>
  <c r="AE5" i="23"/>
  <c r="AI5" i="23"/>
  <c r="AB5" i="23"/>
  <c r="AD5" i="23"/>
  <c r="AH5" i="23"/>
  <c r="AF5" i="23"/>
  <c r="AK5" i="23"/>
  <c r="AC5" i="23"/>
  <c r="AI18" i="13"/>
  <c r="AH18" i="13"/>
  <c r="AK18" i="13"/>
  <c r="AJ18" i="13"/>
  <c r="AE18" i="13"/>
  <c r="AF18" i="13"/>
  <c r="AD18" i="13"/>
  <c r="AB18" i="13"/>
  <c r="AG18" i="13"/>
  <c r="AC18" i="13"/>
  <c r="AK18" i="6"/>
  <c r="AI18" i="6"/>
  <c r="AC18" i="6"/>
  <c r="AJ18" i="6"/>
  <c r="AH18" i="6"/>
  <c r="AF18" i="6"/>
  <c r="AE18" i="6"/>
  <c r="AG18" i="6"/>
  <c r="AB18" i="6"/>
  <c r="AD18" i="6"/>
  <c r="AC2" i="11"/>
  <c r="AH2" i="11"/>
  <c r="AG2" i="11"/>
  <c r="AI2" i="11"/>
  <c r="AK2" i="11"/>
  <c r="AD2" i="11"/>
  <c r="AF2" i="11"/>
  <c r="AB2" i="11"/>
  <c r="AJ2" i="11"/>
  <c r="AE2" i="11"/>
  <c r="AE10" i="17"/>
  <c r="AI10" i="17"/>
  <c r="AH10" i="17"/>
  <c r="AB10" i="17"/>
  <c r="AJ10" i="17"/>
  <c r="AG10" i="17"/>
  <c r="AF10" i="17"/>
  <c r="AC10" i="17"/>
  <c r="AK10" i="17"/>
  <c r="AD10" i="17"/>
  <c r="AH10" i="8"/>
  <c r="AD10" i="8"/>
  <c r="AG10" i="8"/>
  <c r="AE10" i="8"/>
  <c r="AB10" i="8"/>
  <c r="AF10" i="8"/>
  <c r="AC10" i="8"/>
  <c r="AI10" i="8"/>
  <c r="AJ10" i="8"/>
  <c r="AK10" i="8"/>
  <c r="AJ10" i="4"/>
  <c r="AK10" i="4"/>
  <c r="AI10" i="4"/>
  <c r="AD10" i="4"/>
  <c r="AB10" i="4"/>
  <c r="AC10" i="4"/>
  <c r="AE10" i="4"/>
  <c r="AF10" i="4"/>
  <c r="AG10" i="4"/>
  <c r="AH10" i="4"/>
  <c r="AE8" i="13"/>
  <c r="AH8" i="13"/>
  <c r="AG8" i="13"/>
  <c r="AC8" i="13"/>
  <c r="AI8" i="13"/>
  <c r="AJ8" i="13"/>
  <c r="AB8" i="13"/>
  <c r="AD8" i="13"/>
  <c r="AK8" i="13"/>
  <c r="AF8" i="13"/>
  <c r="AJ8" i="25"/>
  <c r="AI8" i="25"/>
  <c r="AK8" i="25"/>
  <c r="AE8" i="25"/>
  <c r="AF8" i="25"/>
  <c r="AH8" i="25"/>
  <c r="AD8" i="25"/>
  <c r="AB8" i="25"/>
  <c r="AC8" i="25"/>
  <c r="AG8" i="25"/>
  <c r="AJ8" i="4"/>
  <c r="AH8" i="4"/>
  <c r="AB8" i="4"/>
  <c r="AD8" i="4"/>
  <c r="AC8" i="4"/>
  <c r="AI8" i="4"/>
  <c r="AK8" i="4"/>
  <c r="AF8" i="4"/>
  <c r="AG8" i="4"/>
  <c r="AE8" i="4"/>
  <c r="AC6" i="22"/>
  <c r="AD6" i="22"/>
  <c r="AH6" i="22"/>
  <c r="AK6" i="22"/>
  <c r="AB6" i="22"/>
  <c r="AE6" i="22"/>
  <c r="AG6" i="22"/>
  <c r="AI6" i="22"/>
  <c r="AJ6" i="22"/>
  <c r="AF6" i="22"/>
  <c r="AJ6" i="3"/>
  <c r="AE6" i="3"/>
  <c r="AF6" i="3"/>
  <c r="AG6" i="3"/>
  <c r="AI6" i="3"/>
  <c r="AD6" i="3"/>
  <c r="AB6" i="3"/>
  <c r="AK6" i="3"/>
  <c r="AC6" i="3"/>
  <c r="AH6" i="3"/>
  <c r="AB6" i="4"/>
  <c r="AC6" i="4"/>
  <c r="AG6" i="4"/>
  <c r="AH6" i="4"/>
  <c r="AF6" i="4"/>
  <c r="AI6" i="4"/>
  <c r="AK6" i="4"/>
  <c r="AJ6" i="4"/>
  <c r="AE6" i="4"/>
  <c r="AD6" i="4"/>
  <c r="AE4" i="5"/>
  <c r="AK4" i="5"/>
  <c r="AJ4" i="5"/>
  <c r="AG4" i="5"/>
  <c r="AF4" i="5"/>
  <c r="AH4" i="5"/>
  <c r="AD4" i="5"/>
  <c r="AC4" i="5"/>
  <c r="AB4" i="5"/>
  <c r="AI4" i="5"/>
  <c r="AK4" i="21"/>
  <c r="AB4" i="21"/>
  <c r="AI4" i="21"/>
  <c r="AC4" i="21"/>
  <c r="AD4" i="21"/>
  <c r="AF4" i="21"/>
  <c r="AE4" i="21"/>
  <c r="AG4" i="21"/>
  <c r="AH4" i="21"/>
  <c r="AJ4" i="21"/>
  <c r="AC4" i="13"/>
  <c r="AI4" i="13"/>
  <c r="AB4" i="13"/>
  <c r="AE4" i="13"/>
  <c r="AH4" i="13"/>
  <c r="AJ4" i="13"/>
  <c r="AF4" i="13"/>
  <c r="AD4" i="13"/>
  <c r="AK4" i="13"/>
  <c r="AG4" i="13"/>
  <c r="AG11" i="27"/>
  <c r="AD11" i="27"/>
  <c r="AC11" i="27"/>
  <c r="AE11" i="27"/>
  <c r="AH11" i="27"/>
  <c r="AF11" i="27"/>
  <c r="AJ11" i="27"/>
  <c r="AB11" i="27"/>
  <c r="AK11" i="27"/>
  <c r="AI11" i="27"/>
  <c r="AE11" i="12"/>
  <c r="AK11" i="12"/>
  <c r="AI11" i="12"/>
  <c r="AD11" i="12"/>
  <c r="AC11" i="12"/>
  <c r="AF11" i="12"/>
  <c r="AJ11" i="12"/>
  <c r="AH11" i="12"/>
  <c r="AB11" i="12"/>
  <c r="AG11" i="12"/>
  <c r="AJ11" i="17"/>
  <c r="AC11" i="17"/>
  <c r="AI11" i="17"/>
  <c r="AG11" i="17"/>
  <c r="AB11" i="17"/>
  <c r="AK11" i="17"/>
  <c r="AF11" i="17"/>
  <c r="AD11" i="17"/>
  <c r="AH11" i="17"/>
  <c r="AE11" i="17"/>
  <c r="AF7" i="5"/>
  <c r="AJ7" i="5"/>
  <c r="AI7" i="5"/>
  <c r="AK7" i="5"/>
  <c r="AH7" i="5"/>
  <c r="AC7" i="5"/>
  <c r="AG7" i="5"/>
  <c r="AB7" i="5"/>
  <c r="AD7" i="5"/>
  <c r="AE7" i="5"/>
  <c r="AH7" i="16"/>
  <c r="AG7" i="16"/>
  <c r="AI7" i="16"/>
  <c r="AJ7" i="16"/>
  <c r="AC7" i="16"/>
  <c r="AK7" i="16"/>
  <c r="AD7" i="16"/>
  <c r="AE7" i="16"/>
  <c r="AB7" i="16"/>
  <c r="AF7" i="16"/>
  <c r="AJ7" i="13"/>
  <c r="AH7" i="13"/>
  <c r="AE7" i="13"/>
  <c r="AF7" i="13"/>
  <c r="AB7" i="13"/>
  <c r="AI7" i="13"/>
  <c r="AC7" i="13"/>
  <c r="AD7" i="13"/>
  <c r="AG7" i="13"/>
  <c r="AK7" i="13"/>
  <c r="AG15" i="19"/>
  <c r="AK15" i="19"/>
  <c r="AE15" i="19"/>
  <c r="AI15" i="19"/>
  <c r="AC15" i="19"/>
  <c r="AB15" i="19"/>
  <c r="AJ15" i="19"/>
  <c r="AH15" i="19"/>
  <c r="AF15" i="19"/>
  <c r="AD15" i="19"/>
  <c r="AJ15" i="25"/>
  <c r="AC15" i="25"/>
  <c r="AD15" i="25"/>
  <c r="AF15" i="25"/>
  <c r="AH15" i="25"/>
  <c r="AB15" i="25"/>
  <c r="AI15" i="25"/>
  <c r="AK15" i="25"/>
  <c r="AG15" i="25"/>
  <c r="AE15" i="25"/>
  <c r="AB15" i="3"/>
  <c r="AJ15" i="3"/>
  <c r="AC15" i="3"/>
  <c r="AG15" i="3"/>
  <c r="AH15" i="3"/>
  <c r="AI15" i="3"/>
  <c r="AD15" i="3"/>
  <c r="AK15" i="3"/>
  <c r="AE15" i="3"/>
  <c r="AF15" i="3"/>
  <c r="AE12" i="6"/>
  <c r="AF12" i="6"/>
  <c r="AJ12" i="6"/>
  <c r="AG12" i="6"/>
  <c r="AC12" i="6"/>
  <c r="AB12" i="6"/>
  <c r="AH12" i="6"/>
  <c r="AD12" i="6"/>
  <c r="AK12" i="6"/>
  <c r="AI12" i="6"/>
  <c r="AG12" i="11"/>
  <c r="AC12" i="11"/>
  <c r="AF12" i="11"/>
  <c r="AD12" i="11"/>
  <c r="AH12" i="11"/>
  <c r="AB12" i="11"/>
  <c r="AJ12" i="11"/>
  <c r="AE12" i="11"/>
  <c r="AK12" i="11"/>
  <c r="AI12" i="11"/>
  <c r="AH12" i="18"/>
  <c r="AK12" i="18"/>
  <c r="AG12" i="18"/>
  <c r="AC12" i="18"/>
  <c r="AE12" i="18"/>
  <c r="AD12" i="18"/>
  <c r="AB12" i="18"/>
  <c r="AJ12" i="18"/>
  <c r="AF12" i="18"/>
  <c r="AI12" i="18"/>
  <c r="AD17" i="3"/>
  <c r="AI17" i="3"/>
  <c r="AE17" i="3"/>
  <c r="AK17" i="3"/>
  <c r="AG17" i="3"/>
  <c r="AH17" i="3"/>
  <c r="AC17" i="3"/>
  <c r="AF17" i="3"/>
  <c r="AJ17" i="3"/>
  <c r="AB17" i="3"/>
  <c r="AG17" i="15"/>
  <c r="AD17" i="15"/>
  <c r="AB17" i="15"/>
  <c r="AF17" i="15"/>
  <c r="AH17" i="15"/>
  <c r="AE17" i="15"/>
  <c r="AJ17" i="15"/>
  <c r="AI17" i="15"/>
  <c r="AC17" i="15"/>
  <c r="AK17" i="15"/>
  <c r="AE17" i="10"/>
  <c r="AC17" i="10"/>
  <c r="AG17" i="10"/>
  <c r="AD17" i="10"/>
  <c r="AK17" i="10"/>
  <c r="AB17" i="10"/>
  <c r="AF17" i="10"/>
  <c r="AH17" i="10"/>
  <c r="AI17" i="10"/>
  <c r="AJ17" i="10"/>
  <c r="AF17" i="16"/>
  <c r="AH17" i="16"/>
  <c r="AJ17" i="16"/>
  <c r="AI17" i="16"/>
  <c r="AD17" i="16"/>
  <c r="AC17" i="16"/>
  <c r="AE17" i="16"/>
  <c r="AG17" i="16"/>
  <c r="AK17" i="16"/>
  <c r="AB17" i="16"/>
  <c r="AB14" i="22"/>
  <c r="AE14" i="22"/>
  <c r="AF14" i="22"/>
  <c r="AC14" i="22"/>
  <c r="AG14" i="22"/>
  <c r="AD14" i="22"/>
  <c r="AI14" i="22"/>
  <c r="AH14" i="22"/>
  <c r="AK14" i="22"/>
  <c r="AJ14" i="22"/>
  <c r="AF14" i="19"/>
  <c r="AC14" i="19"/>
  <c r="AJ14" i="19"/>
  <c r="AD14" i="19"/>
  <c r="AH14" i="19"/>
  <c r="AG14" i="19"/>
  <c r="AB14" i="19"/>
  <c r="AK14" i="19"/>
  <c r="AE14" i="19"/>
  <c r="AI14" i="19"/>
  <c r="AJ14" i="18"/>
  <c r="AF14" i="18"/>
  <c r="AI14" i="18"/>
  <c r="AE14" i="18"/>
  <c r="AG14" i="18"/>
  <c r="AB14" i="18"/>
  <c r="AD14" i="18"/>
  <c r="AK14" i="18"/>
  <c r="AH14" i="18"/>
  <c r="AC14" i="18"/>
  <c r="AC3" i="8"/>
  <c r="AD3" i="8"/>
  <c r="AB3" i="8"/>
  <c r="AF3" i="8"/>
  <c r="AJ3" i="8"/>
  <c r="AK3" i="8"/>
  <c r="AG3" i="8"/>
  <c r="AE3" i="8"/>
  <c r="AI3" i="8"/>
  <c r="AH3" i="8"/>
  <c r="AF3" i="13"/>
  <c r="AD3" i="13"/>
  <c r="AK3" i="13"/>
  <c r="AE3" i="13"/>
  <c r="AG3" i="13"/>
  <c r="AI3" i="13"/>
  <c r="AJ3" i="13"/>
  <c r="AB3" i="13"/>
  <c r="AC3" i="13"/>
  <c r="AH3" i="13"/>
  <c r="AF3" i="14"/>
  <c r="AG3" i="14"/>
  <c r="AD3" i="14"/>
  <c r="AK3" i="14"/>
  <c r="AI3" i="14"/>
  <c r="AE3" i="14"/>
  <c r="AC3" i="14"/>
  <c r="AH3" i="14"/>
  <c r="AJ3" i="14"/>
  <c r="AB3" i="14"/>
  <c r="AK19" i="26"/>
  <c r="AE19" i="26"/>
  <c r="AC19" i="26"/>
  <c r="AJ19" i="26"/>
  <c r="AI19" i="26"/>
  <c r="AD19" i="26"/>
  <c r="AH19" i="26"/>
  <c r="AG19" i="26"/>
  <c r="AB19" i="26"/>
  <c r="AF19" i="26"/>
  <c r="AG19" i="22"/>
  <c r="AD19" i="22"/>
  <c r="AB19" i="22"/>
  <c r="AI19" i="22"/>
  <c r="AC19" i="22"/>
  <c r="AJ19" i="22"/>
  <c r="AE19" i="22"/>
  <c r="AF19" i="22"/>
  <c r="AK19" i="22"/>
  <c r="AH19" i="22"/>
  <c r="AI19" i="4"/>
  <c r="AD19" i="4"/>
  <c r="AC19" i="4"/>
  <c r="AK19" i="4"/>
  <c r="AF19" i="4"/>
  <c r="AE19" i="4"/>
  <c r="AG19" i="4"/>
  <c r="AJ19" i="4"/>
  <c r="AH19" i="4"/>
  <c r="AB19" i="4"/>
  <c r="AH19" i="5"/>
  <c r="AI19" i="5"/>
  <c r="AF19" i="5"/>
  <c r="AB19" i="5"/>
  <c r="AE19" i="5"/>
  <c r="AD19" i="5"/>
  <c r="AC19" i="5"/>
  <c r="AG19" i="5"/>
  <c r="AJ19" i="5"/>
  <c r="AK19" i="5"/>
  <c r="AC9" i="10"/>
  <c r="AI9" i="10"/>
  <c r="AK9" i="10"/>
  <c r="AJ9" i="10"/>
  <c r="AG9" i="10"/>
  <c r="AD9" i="10"/>
  <c r="AB9" i="10"/>
  <c r="AE9" i="10"/>
  <c r="AF9" i="10"/>
  <c r="AH9" i="10"/>
  <c r="AB9" i="20"/>
  <c r="AK9" i="20"/>
  <c r="AD9" i="20"/>
  <c r="AJ9" i="20"/>
  <c r="AE9" i="20"/>
  <c r="AC9" i="20"/>
  <c r="AH9" i="20"/>
  <c r="AI9" i="20"/>
  <c r="AG9" i="20"/>
  <c r="AF9" i="20"/>
  <c r="AJ9" i="17"/>
  <c r="AE9" i="17"/>
  <c r="AK9" i="17"/>
  <c r="AC9" i="17"/>
  <c r="AB9" i="17"/>
  <c r="AH9" i="17"/>
  <c r="AD9" i="17"/>
  <c r="AI9" i="17"/>
  <c r="AG9" i="17"/>
  <c r="AF9" i="17"/>
  <c r="AE11" i="19"/>
  <c r="AH11" i="19"/>
  <c r="AB11" i="19"/>
  <c r="AI11" i="19"/>
  <c r="AG11" i="19"/>
  <c r="AC11" i="19"/>
  <c r="AF11" i="19"/>
  <c r="AD11" i="19"/>
  <c r="AK11" i="19"/>
  <c r="AJ11" i="19"/>
  <c r="AH11" i="24"/>
  <c r="AB11" i="24"/>
  <c r="AC11" i="24"/>
  <c r="AG11" i="24"/>
  <c r="AI11" i="24"/>
  <c r="AE11" i="24"/>
  <c r="AJ11" i="24"/>
  <c r="AD11" i="24"/>
  <c r="AF11" i="24"/>
  <c r="AK11" i="24"/>
  <c r="AJ7" i="23"/>
  <c r="AE7" i="23"/>
  <c r="AG7" i="23"/>
  <c r="AD7" i="23"/>
  <c r="AK7" i="23"/>
  <c r="AH7" i="23"/>
  <c r="AC7" i="23"/>
  <c r="AB7" i="23"/>
  <c r="AF7" i="23"/>
  <c r="AI7" i="23"/>
  <c r="AF15" i="5"/>
  <c r="AD15" i="5"/>
  <c r="AH15" i="5"/>
  <c r="AI15" i="5"/>
  <c r="AK15" i="5"/>
  <c r="AG15" i="5"/>
  <c r="AB15" i="5"/>
  <c r="AJ15" i="5"/>
  <c r="AC15" i="5"/>
  <c r="AE15" i="5"/>
  <c r="AD15" i="22"/>
  <c r="AC15" i="22"/>
  <c r="AG15" i="22"/>
  <c r="AE15" i="22"/>
  <c r="AB15" i="22"/>
  <c r="AK15" i="22"/>
  <c r="AH15" i="22"/>
  <c r="AJ15" i="22"/>
  <c r="AF15" i="22"/>
  <c r="AI15" i="22"/>
  <c r="AG15" i="24"/>
  <c r="AI15" i="24"/>
  <c r="AC15" i="24"/>
  <c r="AK15" i="24"/>
  <c r="AH15" i="24"/>
  <c r="AD15" i="24"/>
  <c r="AE15" i="24"/>
  <c r="AB15" i="24"/>
  <c r="AF15" i="24"/>
  <c r="AJ15" i="24"/>
  <c r="AE12" i="21"/>
  <c r="AJ12" i="21"/>
  <c r="AI12" i="21"/>
  <c r="AD12" i="21"/>
  <c r="AB12" i="21"/>
  <c r="AC12" i="21"/>
  <c r="AH12" i="21"/>
  <c r="AG12" i="21"/>
  <c r="AF12" i="21"/>
  <c r="AK12" i="21"/>
  <c r="AE17" i="20"/>
  <c r="AH17" i="20"/>
  <c r="AF17" i="20"/>
  <c r="AB17" i="20"/>
  <c r="AI17" i="20"/>
  <c r="AC17" i="20"/>
  <c r="AJ17" i="20"/>
  <c r="AD17" i="20"/>
  <c r="AK17" i="20"/>
  <c r="AG17" i="20"/>
  <c r="AH14" i="26"/>
  <c r="AI14" i="26"/>
  <c r="AD14" i="26"/>
  <c r="AK14" i="26"/>
  <c r="AF14" i="26"/>
  <c r="AE14" i="26"/>
  <c r="AG14" i="26"/>
  <c r="AC14" i="26"/>
  <c r="AB14" i="26"/>
  <c r="AJ14" i="26"/>
  <c r="AH14" i="25"/>
  <c r="AD14" i="25"/>
  <c r="AB14" i="25"/>
  <c r="AK14" i="25"/>
  <c r="AI14" i="25"/>
  <c r="AE14" i="25"/>
  <c r="AJ14" i="25"/>
  <c r="AF14" i="25"/>
  <c r="AG14" i="25"/>
  <c r="AC14" i="25"/>
  <c r="AJ3" i="4"/>
  <c r="AG3" i="4"/>
  <c r="AE3" i="4"/>
  <c r="AH3" i="4"/>
  <c r="AI3" i="4"/>
  <c r="AB3" i="4"/>
  <c r="AD3" i="4"/>
  <c r="AF3" i="4"/>
  <c r="AC3" i="4"/>
  <c r="AK3" i="4"/>
  <c r="AD9" i="22"/>
  <c r="AI9" i="22"/>
  <c r="AC9" i="22"/>
  <c r="AE9" i="22"/>
  <c r="AG9" i="22"/>
  <c r="AF9" i="22"/>
  <c r="AH9" i="22"/>
  <c r="AJ9" i="22"/>
  <c r="AK9" i="22"/>
  <c r="AB9" i="22"/>
  <c r="AB13" i="24"/>
  <c r="AC13" i="24"/>
  <c r="AE13" i="24"/>
  <c r="AH13" i="24"/>
  <c r="AG13" i="24"/>
  <c r="AF13" i="24"/>
  <c r="AD13" i="24"/>
  <c r="AI13" i="24"/>
  <c r="AK13" i="24"/>
  <c r="AJ13" i="24"/>
  <c r="AB13" i="12"/>
  <c r="AI13" i="12"/>
  <c r="AJ13" i="12"/>
  <c r="AD13" i="12"/>
  <c r="AC13" i="12"/>
  <c r="AG13" i="12"/>
  <c r="AF13" i="12"/>
  <c r="AH13" i="12"/>
  <c r="AE13" i="12"/>
  <c r="AK13" i="12"/>
  <c r="AJ5" i="7"/>
  <c r="AH5" i="7"/>
  <c r="AI5" i="7"/>
  <c r="AC5" i="7"/>
  <c r="AK5" i="7"/>
  <c r="AD5" i="7"/>
  <c r="AB5" i="7"/>
  <c r="AE5" i="7"/>
  <c r="AF5" i="7"/>
  <c r="AG5" i="7"/>
  <c r="AH5" i="24"/>
  <c r="AI5" i="24"/>
  <c r="AK5" i="24"/>
  <c r="AF5" i="24"/>
  <c r="AC5" i="24"/>
  <c r="AJ5" i="24"/>
  <c r="AD5" i="24"/>
  <c r="AE5" i="24"/>
  <c r="AB5" i="24"/>
  <c r="AG5" i="24"/>
  <c r="AD18" i="22"/>
  <c r="AH18" i="22"/>
  <c r="AF18" i="22"/>
  <c r="AK18" i="22"/>
  <c r="AG18" i="22"/>
  <c r="AJ18" i="22"/>
  <c r="AI18" i="22"/>
  <c r="AB18" i="22"/>
  <c r="AC18" i="22"/>
  <c r="AE18" i="22"/>
  <c r="AF18" i="27"/>
  <c r="AJ18" i="27"/>
  <c r="AK18" i="27"/>
  <c r="AH18" i="27"/>
  <c r="AE18" i="27"/>
  <c r="AC18" i="27"/>
  <c r="AD18" i="27"/>
  <c r="AB18" i="27"/>
  <c r="AI18" i="27"/>
  <c r="AG18" i="27"/>
  <c r="AC16" i="15"/>
  <c r="AG16" i="15"/>
  <c r="AK16" i="15"/>
  <c r="AH16" i="15"/>
  <c r="AE16" i="15"/>
  <c r="AI16" i="15"/>
  <c r="AJ16" i="15"/>
  <c r="AD16" i="15"/>
  <c r="AB16" i="15"/>
  <c r="AF16" i="15"/>
  <c r="AG16" i="10"/>
  <c r="AH16" i="10"/>
  <c r="AB16" i="10"/>
  <c r="AF16" i="10"/>
  <c r="AC16" i="10"/>
  <c r="AD16" i="10"/>
  <c r="AJ16" i="10"/>
  <c r="AK16" i="10"/>
  <c r="AE16" i="10"/>
  <c r="AI16" i="10"/>
  <c r="AC16" i="20"/>
  <c r="AB16" i="20"/>
  <c r="AJ16" i="20"/>
  <c r="AH16" i="20"/>
  <c r="AF16" i="20"/>
  <c r="AI16" i="20"/>
  <c r="AG16" i="20"/>
  <c r="AE16" i="20"/>
  <c r="AK16" i="20"/>
  <c r="AD16" i="20"/>
  <c r="AE2" i="19"/>
  <c r="AF2" i="19"/>
  <c r="AC2" i="19"/>
  <c r="AH2" i="19"/>
  <c r="AI2" i="19"/>
  <c r="AG2" i="19"/>
  <c r="AB2" i="19"/>
  <c r="AJ2" i="19"/>
  <c r="AD2" i="19"/>
  <c r="AK2" i="19"/>
  <c r="AC2" i="22"/>
  <c r="AG2" i="22"/>
  <c r="AI2" i="22"/>
  <c r="AH2" i="22"/>
  <c r="AE2" i="22"/>
  <c r="AF2" i="22"/>
  <c r="AB2" i="22"/>
  <c r="AJ2" i="22"/>
  <c r="AD2" i="22"/>
  <c r="AK2" i="22"/>
  <c r="AB13" i="22"/>
  <c r="AD13" i="22"/>
  <c r="AF13" i="22"/>
  <c r="AE13" i="22"/>
  <c r="AC13" i="22"/>
  <c r="AG13" i="22"/>
  <c r="AI13" i="22"/>
  <c r="AJ13" i="22"/>
  <c r="AH13" i="22"/>
  <c r="AK13" i="22"/>
  <c r="AC13" i="21"/>
  <c r="AK13" i="21"/>
  <c r="AE13" i="21"/>
  <c r="AD13" i="21"/>
  <c r="AF13" i="21"/>
  <c r="AI13" i="21"/>
  <c r="AB13" i="21"/>
  <c r="AJ13" i="21"/>
  <c r="AG13" i="21"/>
  <c r="AH13" i="21"/>
  <c r="AB13" i="3"/>
  <c r="AC13" i="3"/>
  <c r="AE13" i="3"/>
  <c r="AD13" i="3"/>
  <c r="AK13" i="3"/>
  <c r="AF13" i="3"/>
  <c r="AI13" i="3"/>
  <c r="AG13" i="3"/>
  <c r="AH13" i="3"/>
  <c r="AJ13" i="3"/>
  <c r="AH5" i="14"/>
  <c r="AD5" i="14"/>
  <c r="AB5" i="14"/>
  <c r="AK5" i="14"/>
  <c r="AI5" i="14"/>
  <c r="AG5" i="14"/>
  <c r="AF5" i="14"/>
  <c r="AC5" i="14"/>
  <c r="AE5" i="14"/>
  <c r="AJ5" i="14"/>
  <c r="AH5" i="22"/>
  <c r="AG5" i="22"/>
  <c r="AI5" i="22"/>
  <c r="AK5" i="22"/>
  <c r="AJ5" i="22"/>
  <c r="AF5" i="22"/>
  <c r="AD5" i="22"/>
  <c r="AC5" i="22"/>
  <c r="AB5" i="22"/>
  <c r="AE5" i="22"/>
  <c r="AG5" i="16"/>
  <c r="AC5" i="16"/>
  <c r="AD5" i="16"/>
  <c r="AF5" i="16"/>
  <c r="AB5" i="16"/>
  <c r="AK5" i="16"/>
  <c r="AH5" i="16"/>
  <c r="AJ5" i="16"/>
  <c r="AI5" i="16"/>
  <c r="AE5" i="16"/>
  <c r="AD18" i="5"/>
  <c r="AK18" i="5"/>
  <c r="AJ18" i="5"/>
  <c r="AF18" i="5"/>
  <c r="AI18" i="5"/>
  <c r="AE18" i="5"/>
  <c r="AB18" i="5"/>
  <c r="AG18" i="5"/>
  <c r="AH18" i="5"/>
  <c r="AC18" i="5"/>
  <c r="AE18" i="16"/>
  <c r="AJ18" i="16"/>
  <c r="AC18" i="16"/>
  <c r="AI18" i="16"/>
  <c r="AK18" i="16"/>
  <c r="AG18" i="16"/>
  <c r="AF18" i="16"/>
  <c r="AH18" i="16"/>
  <c r="AB18" i="16"/>
  <c r="AD18" i="16"/>
  <c r="AJ18" i="3"/>
  <c r="AB18" i="3"/>
  <c r="AD18" i="3"/>
  <c r="AC18" i="3"/>
  <c r="AG18" i="3"/>
  <c r="AI18" i="3"/>
  <c r="AF18" i="3"/>
  <c r="AH18" i="3"/>
  <c r="AK18" i="3"/>
  <c r="AE18" i="3"/>
  <c r="F41" i="2"/>
  <c r="AH16" i="12"/>
  <c r="AB16" i="12"/>
  <c r="AD16" i="12"/>
  <c r="AF16" i="12"/>
  <c r="AG16" i="12"/>
  <c r="AK16" i="12"/>
  <c r="AI16" i="12"/>
  <c r="AJ16" i="12"/>
  <c r="AC16" i="12"/>
  <c r="AE16" i="12"/>
  <c r="AD16" i="16"/>
  <c r="AB16" i="16"/>
  <c r="AJ16" i="16"/>
  <c r="AC16" i="16"/>
  <c r="AK16" i="16"/>
  <c r="AG16" i="16"/>
  <c r="AE16" i="16"/>
  <c r="AI16" i="16"/>
  <c r="AF16" i="16"/>
  <c r="AH16" i="16"/>
  <c r="AJ16" i="14"/>
  <c r="AE16" i="14"/>
  <c r="AG16" i="14"/>
  <c r="AD16" i="14"/>
  <c r="AC16" i="14"/>
  <c r="AH16" i="14"/>
  <c r="AB16" i="14"/>
  <c r="AF16" i="14"/>
  <c r="AI16" i="14"/>
  <c r="AK16" i="14"/>
  <c r="AG2" i="13"/>
  <c r="AK2" i="13"/>
  <c r="AH2" i="13"/>
  <c r="AJ2" i="13"/>
  <c r="AC2" i="13"/>
  <c r="AF2" i="13"/>
  <c r="AE2" i="13"/>
  <c r="AB2" i="13"/>
  <c r="AI2" i="13"/>
  <c r="AD2" i="13"/>
  <c r="AG2" i="8"/>
  <c r="AC2" i="8"/>
  <c r="AK2" i="8"/>
  <c r="AJ2" i="8"/>
  <c r="AD2" i="8"/>
  <c r="AF2" i="8"/>
  <c r="AH2" i="8"/>
  <c r="AI2" i="8"/>
  <c r="AB2" i="8"/>
  <c r="AE2" i="8"/>
  <c r="AH2" i="26"/>
  <c r="AF2" i="26"/>
  <c r="AK2" i="26"/>
  <c r="AI2" i="26"/>
  <c r="AD2" i="26"/>
  <c r="AG2" i="26"/>
  <c r="AC2" i="26"/>
  <c r="AE2" i="26"/>
  <c r="AJ2" i="26"/>
  <c r="AB2" i="26"/>
  <c r="AG10" i="6"/>
  <c r="AF10" i="6"/>
  <c r="AE10" i="6"/>
  <c r="AD10" i="6"/>
  <c r="AJ10" i="6"/>
  <c r="AB10" i="6"/>
  <c r="AK10" i="6"/>
  <c r="AC10" i="6"/>
  <c r="AH10" i="6"/>
  <c r="AI10" i="6"/>
  <c r="AF10" i="22"/>
  <c r="AB10" i="22"/>
  <c r="AK10" i="22"/>
  <c r="AI10" i="22"/>
  <c r="AH10" i="22"/>
  <c r="AJ10" i="22"/>
  <c r="AE10" i="22"/>
  <c r="AC10" i="22"/>
  <c r="AD10" i="22"/>
  <c r="AG10" i="22"/>
  <c r="AJ10" i="23"/>
  <c r="AK10" i="23"/>
  <c r="AH10" i="23"/>
  <c r="AG10" i="23"/>
  <c r="AE10" i="23"/>
  <c r="AD10" i="23"/>
  <c r="AB10" i="23"/>
  <c r="AF10" i="23"/>
  <c r="AI10" i="23"/>
  <c r="AC10" i="23"/>
  <c r="AJ10" i="13"/>
  <c r="AI10" i="13"/>
  <c r="AE10" i="13"/>
  <c r="AB10" i="13"/>
  <c r="AF10" i="13"/>
  <c r="AD10" i="13"/>
  <c r="AH10" i="13"/>
  <c r="AK10" i="13"/>
  <c r="AG10" i="13"/>
  <c r="AC10" i="13"/>
  <c r="AG8" i="15"/>
  <c r="AC8" i="15"/>
  <c r="AK8" i="15"/>
  <c r="AD8" i="15"/>
  <c r="AI8" i="15"/>
  <c r="AB8" i="15"/>
  <c r="AE8" i="15"/>
  <c r="AF8" i="15"/>
  <c r="AJ8" i="15"/>
  <c r="AH8" i="15"/>
  <c r="AC8" i="7"/>
  <c r="AD8" i="7"/>
  <c r="AB8" i="7"/>
  <c r="AF8" i="7"/>
  <c r="AG8" i="7"/>
  <c r="AE8" i="7"/>
  <c r="AK8" i="7"/>
  <c r="AI8" i="7"/>
  <c r="AH8" i="7"/>
  <c r="AJ8" i="7"/>
  <c r="AF8" i="17"/>
  <c r="AG8" i="17"/>
  <c r="AK8" i="17"/>
  <c r="AH8" i="17"/>
  <c r="AD8" i="17"/>
  <c r="AI8" i="17"/>
  <c r="AJ8" i="17"/>
  <c r="AE8" i="17"/>
  <c r="AC8" i="17"/>
  <c r="AB8" i="17"/>
  <c r="AJ6" i="23"/>
  <c r="AH6" i="23"/>
  <c r="AB6" i="23"/>
  <c r="AG6" i="23"/>
  <c r="AD6" i="23"/>
  <c r="AK6" i="23"/>
  <c r="AF6" i="23"/>
  <c r="AE6" i="23"/>
  <c r="AC6" i="23"/>
  <c r="AI6" i="23"/>
  <c r="AI6" i="18"/>
  <c r="AG6" i="18"/>
  <c r="AC6" i="18"/>
  <c r="AJ6" i="18"/>
  <c r="AD6" i="18"/>
  <c r="AH6" i="18"/>
  <c r="AF6" i="18"/>
  <c r="AE6" i="18"/>
  <c r="AK6" i="18"/>
  <c r="AB6" i="18"/>
  <c r="AI6" i="20"/>
  <c r="AB6" i="20"/>
  <c r="AJ6" i="20"/>
  <c r="AK6" i="20"/>
  <c r="AD6" i="20"/>
  <c r="AG6" i="20"/>
  <c r="AF6" i="20"/>
  <c r="AC6" i="20"/>
  <c r="AE6" i="20"/>
  <c r="AH6" i="20"/>
  <c r="AJ4" i="14"/>
  <c r="AK4" i="14"/>
  <c r="AG4" i="14"/>
  <c r="AC4" i="14"/>
  <c r="AF4" i="14"/>
  <c r="AE4" i="14"/>
  <c r="AH4" i="14"/>
  <c r="AB4" i="14"/>
  <c r="AD4" i="14"/>
  <c r="AI4" i="14"/>
  <c r="AI4" i="16"/>
  <c r="AE4" i="16"/>
  <c r="AF4" i="16"/>
  <c r="AH4" i="16"/>
  <c r="AB4" i="16"/>
  <c r="AG4" i="16"/>
  <c r="AC4" i="16"/>
  <c r="AJ4" i="16"/>
  <c r="AK4" i="16"/>
  <c r="AD4" i="16"/>
  <c r="AC4" i="24"/>
  <c r="AK4" i="24"/>
  <c r="AJ4" i="24"/>
  <c r="AG4" i="24"/>
  <c r="AI4" i="24"/>
  <c r="AB4" i="24"/>
  <c r="AF4" i="24"/>
  <c r="AH4" i="24"/>
  <c r="AD4" i="24"/>
  <c r="AE4" i="24"/>
  <c r="AJ11" i="10"/>
  <c r="AI11" i="10"/>
  <c r="AH11" i="10"/>
  <c r="AK11" i="10"/>
  <c r="AC11" i="10"/>
  <c r="AD11" i="10"/>
  <c r="AE11" i="10"/>
  <c r="AG11" i="10"/>
  <c r="AF11" i="10"/>
  <c r="AB11" i="10"/>
  <c r="AE11" i="13"/>
  <c r="AI11" i="13"/>
  <c r="AC11" i="13"/>
  <c r="AK11" i="13"/>
  <c r="AH11" i="13"/>
  <c r="AJ11" i="13"/>
  <c r="AF11" i="13"/>
  <c r="AD11" i="13"/>
  <c r="AG11" i="13"/>
  <c r="AB11" i="13"/>
  <c r="AC11" i="9"/>
  <c r="AJ11" i="9"/>
  <c r="AE11" i="9"/>
  <c r="AD11" i="9"/>
  <c r="AF11" i="9"/>
  <c r="AH11" i="9"/>
  <c r="AK11" i="9"/>
  <c r="AI11" i="9"/>
  <c r="AG11" i="9"/>
  <c r="AB11" i="9"/>
  <c r="AH11" i="7"/>
  <c r="AB11" i="7"/>
  <c r="AK11" i="7"/>
  <c r="AF11" i="7"/>
  <c r="AG11" i="7"/>
  <c r="AI11" i="7"/>
  <c r="AD11" i="7"/>
  <c r="AJ11" i="7"/>
  <c r="AC11" i="7"/>
  <c r="AE11" i="7"/>
  <c r="AJ7" i="25"/>
  <c r="AB7" i="25"/>
  <c r="AE7" i="25"/>
  <c r="AF7" i="25"/>
  <c r="AI7" i="25"/>
  <c r="AC7" i="25"/>
  <c r="AH7" i="25"/>
  <c r="AK7" i="25"/>
  <c r="AG7" i="25"/>
  <c r="AD7" i="25"/>
  <c r="AH7" i="27"/>
  <c r="AJ7" i="27"/>
  <c r="AC7" i="27"/>
  <c r="AG7" i="27"/>
  <c r="AD7" i="27"/>
  <c r="AI7" i="27"/>
  <c r="AF7" i="27"/>
  <c r="AB7" i="27"/>
  <c r="AE7" i="27"/>
  <c r="AK7" i="27"/>
  <c r="AH7" i="26"/>
  <c r="AD7" i="26"/>
  <c r="AF7" i="26"/>
  <c r="AI7" i="26"/>
  <c r="AE7" i="26"/>
  <c r="AK7" i="26"/>
  <c r="AB7" i="26"/>
  <c r="AG7" i="26"/>
  <c r="AJ7" i="26"/>
  <c r="AC7" i="26"/>
  <c r="AJ15" i="23"/>
  <c r="AF15" i="23"/>
  <c r="AB15" i="23"/>
  <c r="AC15" i="23"/>
  <c r="AH15" i="23"/>
  <c r="AK15" i="23"/>
  <c r="AG15" i="23"/>
  <c r="AE15" i="23"/>
  <c r="AD15" i="23"/>
  <c r="AI15" i="23"/>
  <c r="AD15" i="17"/>
  <c r="AK15" i="17"/>
  <c r="AB15" i="17"/>
  <c r="AE15" i="17"/>
  <c r="AF15" i="17"/>
  <c r="AH15" i="17"/>
  <c r="AG15" i="17"/>
  <c r="AJ15" i="17"/>
  <c r="AI15" i="17"/>
  <c r="AC15" i="17"/>
  <c r="AI15" i="6"/>
  <c r="AB15" i="6"/>
  <c r="AD15" i="6"/>
  <c r="AJ15" i="6"/>
  <c r="AC15" i="6"/>
  <c r="AF15" i="6"/>
  <c r="AE15" i="6"/>
  <c r="AG15" i="6"/>
  <c r="AK15" i="6"/>
  <c r="AH15" i="6"/>
  <c r="AK12" i="23"/>
  <c r="AG12" i="23"/>
  <c r="AI12" i="23"/>
  <c r="AD12" i="23"/>
  <c r="AF12" i="23"/>
  <c r="AE12" i="23"/>
  <c r="AB12" i="23"/>
  <c r="AH12" i="23"/>
  <c r="AJ12" i="23"/>
  <c r="AC12" i="23"/>
  <c r="AJ12" i="13"/>
  <c r="AK12" i="13"/>
  <c r="AG12" i="13"/>
  <c r="AF12" i="13"/>
  <c r="AB12" i="13"/>
  <c r="AC12" i="13"/>
  <c r="AH12" i="13"/>
  <c r="AI12" i="13"/>
  <c r="AD12" i="13"/>
  <c r="AE12" i="13"/>
  <c r="AF12" i="22"/>
  <c r="AK12" i="22"/>
  <c r="AG12" i="22"/>
  <c r="AC12" i="22"/>
  <c r="AI12" i="22"/>
  <c r="AE12" i="22"/>
  <c r="AJ12" i="22"/>
  <c r="AB12" i="22"/>
  <c r="AH12" i="22"/>
  <c r="AD12" i="22"/>
  <c r="AK17" i="26"/>
  <c r="AF17" i="26"/>
  <c r="AE17" i="26"/>
  <c r="AG17" i="26"/>
  <c r="AJ17" i="26"/>
  <c r="AI17" i="26"/>
  <c r="AD17" i="26"/>
  <c r="AC17" i="26"/>
  <c r="AB17" i="26"/>
  <c r="AH17" i="26"/>
  <c r="AB17" i="18"/>
  <c r="AG17" i="18"/>
  <c r="AD17" i="18"/>
  <c r="AK17" i="18"/>
  <c r="AJ17" i="18"/>
  <c r="AE17" i="18"/>
  <c r="AI17" i="18"/>
  <c r="AC17" i="18"/>
  <c r="AH17" i="18"/>
  <c r="AF17" i="18"/>
  <c r="AI17" i="17"/>
  <c r="AK17" i="17"/>
  <c r="AG17" i="17"/>
  <c r="AH17" i="17"/>
  <c r="AE17" i="17"/>
  <c r="AC17" i="17"/>
  <c r="AB17" i="17"/>
  <c r="AF17" i="17"/>
  <c r="AJ17" i="17"/>
  <c r="AD17" i="17"/>
  <c r="AG14" i="21"/>
  <c r="AB14" i="21"/>
  <c r="AC14" i="21"/>
  <c r="AH14" i="21"/>
  <c r="AF14" i="21"/>
  <c r="AK14" i="21"/>
  <c r="AD14" i="21"/>
  <c r="AE14" i="21"/>
  <c r="AI14" i="21"/>
  <c r="AJ14" i="21"/>
  <c r="AH14" i="10"/>
  <c r="AC14" i="10"/>
  <c r="AJ14" i="10"/>
  <c r="AF14" i="10"/>
  <c r="AD14" i="10"/>
  <c r="AE14" i="10"/>
  <c r="AG14" i="10"/>
  <c r="AI14" i="10"/>
  <c r="AB14" i="10"/>
  <c r="AK14" i="10"/>
  <c r="AD14" i="15"/>
  <c r="AK14" i="15"/>
  <c r="AE14" i="15"/>
  <c r="AC14" i="15"/>
  <c r="AI14" i="15"/>
  <c r="AF14" i="15"/>
  <c r="AG14" i="15"/>
  <c r="AH14" i="15"/>
  <c r="AJ14" i="15"/>
  <c r="AB14" i="15"/>
  <c r="AJ14" i="4"/>
  <c r="AI14" i="4"/>
  <c r="AG14" i="4"/>
  <c r="AD14" i="4"/>
  <c r="AK14" i="4"/>
  <c r="AE14" i="4"/>
  <c r="AB14" i="4"/>
  <c r="AC14" i="4"/>
  <c r="AF14" i="4"/>
  <c r="AH14" i="4"/>
  <c r="AJ3" i="24"/>
  <c r="AB3" i="24"/>
  <c r="AD3" i="24"/>
  <c r="AI3" i="24"/>
  <c r="AC3" i="24"/>
  <c r="AF3" i="24"/>
  <c r="AG3" i="24"/>
  <c r="AK3" i="24"/>
  <c r="AE3" i="24"/>
  <c r="AH3" i="24"/>
  <c r="AC3" i="23"/>
  <c r="AI3" i="23"/>
  <c r="AD3" i="23"/>
  <c r="AG3" i="23"/>
  <c r="AJ3" i="23"/>
  <c r="AB3" i="23"/>
  <c r="AE3" i="23"/>
  <c r="AK3" i="23"/>
  <c r="AF3" i="23"/>
  <c r="AH3" i="23"/>
  <c r="AK3" i="22"/>
  <c r="AG3" i="22"/>
  <c r="AD3" i="22"/>
  <c r="AH3" i="22"/>
  <c r="AF3" i="22"/>
  <c r="AI3" i="22"/>
  <c r="AE3" i="22"/>
  <c r="AB3" i="22"/>
  <c r="AC3" i="22"/>
  <c r="AJ3" i="22"/>
  <c r="AF19" i="10"/>
  <c r="AI19" i="10"/>
  <c r="AB19" i="10"/>
  <c r="AK19" i="10"/>
  <c r="AJ19" i="10"/>
  <c r="AD19" i="10"/>
  <c r="AH19" i="10"/>
  <c r="AE19" i="10"/>
  <c r="AG19" i="10"/>
  <c r="AC19" i="10"/>
  <c r="AG19" i="14"/>
  <c r="AF19" i="14"/>
  <c r="AD19" i="14"/>
  <c r="AC19" i="14"/>
  <c r="AI19" i="14"/>
  <c r="AK19" i="14"/>
  <c r="AB19" i="14"/>
  <c r="AH19" i="14"/>
  <c r="AE19" i="14"/>
  <c r="AJ19" i="14"/>
  <c r="AH19" i="13"/>
  <c r="AD19" i="13"/>
  <c r="AF19" i="13"/>
  <c r="AI19" i="13"/>
  <c r="AE19" i="13"/>
  <c r="AB19" i="13"/>
  <c r="AK19" i="13"/>
  <c r="AJ19" i="13"/>
  <c r="AC19" i="13"/>
  <c r="AG19" i="13"/>
  <c r="AE9" i="15"/>
  <c r="AC9" i="15"/>
  <c r="AJ9" i="15"/>
  <c r="AB9" i="15"/>
  <c r="AI9" i="15"/>
  <c r="AF9" i="15"/>
  <c r="AG9" i="15"/>
  <c r="AH9" i="15"/>
  <c r="AD9" i="15"/>
  <c r="AK9" i="15"/>
  <c r="AF9" i="5"/>
  <c r="AE9" i="5"/>
  <c r="AK9" i="5"/>
  <c r="AC9" i="5"/>
  <c r="AB9" i="5"/>
  <c r="AH9" i="5"/>
  <c r="AI9" i="5"/>
  <c r="AD9" i="5"/>
  <c r="AJ9" i="5"/>
  <c r="AG9" i="5"/>
  <c r="AG9" i="11"/>
  <c r="AK9" i="11"/>
  <c r="AH9" i="11"/>
  <c r="AF9" i="11"/>
  <c r="AC9" i="11"/>
  <c r="AJ9" i="11"/>
  <c r="AI9" i="11"/>
  <c r="AE9" i="11"/>
  <c r="AB9" i="11"/>
  <c r="AD9" i="11"/>
  <c r="AG9" i="9"/>
  <c r="AB9" i="9"/>
  <c r="AF9" i="9"/>
  <c r="AD9" i="9"/>
  <c r="AJ9" i="9"/>
  <c r="AK9" i="9"/>
  <c r="AE9" i="9"/>
  <c r="AC9" i="9"/>
  <c r="AH9" i="9"/>
  <c r="AI9" i="9"/>
  <c r="AF13" i="4"/>
  <c r="AG13" i="4"/>
  <c r="AD13" i="4"/>
  <c r="AB13" i="4"/>
  <c r="AE13" i="4"/>
  <c r="AH13" i="4"/>
  <c r="AC13" i="4"/>
  <c r="AJ13" i="4"/>
  <c r="AK13" i="4"/>
  <c r="AI13" i="4"/>
  <c r="AE5" i="8"/>
  <c r="AK5" i="8"/>
  <c r="AD5" i="8"/>
  <c r="AJ5" i="8"/>
  <c r="AI5" i="8"/>
  <c r="AG5" i="8"/>
  <c r="AB5" i="8"/>
  <c r="AH5" i="8"/>
  <c r="AF5" i="8"/>
  <c r="AC5" i="8"/>
  <c r="AB16" i="21"/>
  <c r="AF16" i="21"/>
  <c r="AG16" i="21"/>
  <c r="AH16" i="21"/>
  <c r="AD16" i="21"/>
  <c r="AK16" i="21"/>
  <c r="AC16" i="21"/>
  <c r="AE16" i="21"/>
  <c r="AI16" i="21"/>
  <c r="AJ16" i="21"/>
  <c r="AJ2" i="5"/>
  <c r="AG2" i="5"/>
  <c r="AE2" i="5"/>
  <c r="AB2" i="5"/>
  <c r="AD2" i="5"/>
  <c r="AC2" i="5"/>
  <c r="AI2" i="5"/>
  <c r="AF2" i="5"/>
  <c r="AH2" i="5"/>
  <c r="AK2" i="5"/>
  <c r="AH6" i="24"/>
  <c r="AE6" i="24"/>
  <c r="AF6" i="24"/>
  <c r="AC6" i="24"/>
  <c r="AI6" i="24"/>
  <c r="AK6" i="24"/>
  <c r="AG6" i="24"/>
  <c r="AJ6" i="24"/>
  <c r="AD6" i="24"/>
  <c r="AB6" i="24"/>
  <c r="AD13" i="7"/>
  <c r="AE13" i="7"/>
  <c r="AF13" i="7"/>
  <c r="AJ13" i="7"/>
  <c r="AG13" i="7"/>
  <c r="AK13" i="7"/>
  <c r="AC13" i="7"/>
  <c r="AB13" i="7"/>
  <c r="AH13" i="7"/>
  <c r="AI13" i="7"/>
  <c r="AG5" i="5"/>
  <c r="AF5" i="5"/>
  <c r="AH5" i="5"/>
  <c r="AE5" i="5"/>
  <c r="AI5" i="5"/>
  <c r="AB5" i="5"/>
  <c r="AC5" i="5"/>
  <c r="AJ5" i="5"/>
  <c r="AD5" i="5"/>
  <c r="AK5" i="5"/>
  <c r="AH18" i="25"/>
  <c r="AD18" i="25"/>
  <c r="AI18" i="25"/>
  <c r="AJ18" i="25"/>
  <c r="AB18" i="25"/>
  <c r="AG18" i="25"/>
  <c r="AF18" i="25"/>
  <c r="AC18" i="25"/>
  <c r="AE18" i="25"/>
  <c r="AK18" i="25"/>
  <c r="AF16" i="7"/>
  <c r="AK16" i="7"/>
  <c r="AC16" i="7"/>
  <c r="AI16" i="7"/>
  <c r="AH16" i="7"/>
  <c r="AG16" i="7"/>
  <c r="AD16" i="7"/>
  <c r="AB16" i="7"/>
  <c r="AJ16" i="7"/>
  <c r="AE16" i="7"/>
  <c r="AJ2" i="17"/>
  <c r="AI2" i="17"/>
  <c r="AF2" i="17"/>
  <c r="AB2" i="17"/>
  <c r="AE2" i="17"/>
  <c r="AK2" i="17"/>
  <c r="AD2" i="17"/>
  <c r="AC2" i="17"/>
  <c r="AG2" i="17"/>
  <c r="AH2" i="17"/>
  <c r="AJ10" i="19"/>
  <c r="AE10" i="19"/>
  <c r="AK10" i="19"/>
  <c r="AI10" i="19"/>
  <c r="AB10" i="19"/>
  <c r="AF10" i="19"/>
  <c r="AG10" i="19"/>
  <c r="AC10" i="19"/>
  <c r="AH10" i="19"/>
  <c r="AD10" i="19"/>
  <c r="AK8" i="26"/>
  <c r="AJ8" i="26"/>
  <c r="AC8" i="26"/>
  <c r="AH8" i="26"/>
  <c r="AI8" i="26"/>
  <c r="AF8" i="26"/>
  <c r="AG8" i="26"/>
  <c r="AB8" i="26"/>
  <c r="AE8" i="26"/>
  <c r="AD8" i="26"/>
  <c r="AE6" i="11"/>
  <c r="AH6" i="11"/>
  <c r="AJ6" i="11"/>
  <c r="AI6" i="11"/>
  <c r="AK6" i="11"/>
  <c r="AF6" i="11"/>
  <c r="AC6" i="11"/>
  <c r="AB6" i="11"/>
  <c r="AD6" i="11"/>
  <c r="AG6" i="11"/>
  <c r="AK4" i="8"/>
  <c r="AH4" i="8"/>
  <c r="AJ4" i="8"/>
  <c r="AC4" i="8"/>
  <c r="AB4" i="8"/>
  <c r="AD4" i="8"/>
  <c r="AG4" i="8"/>
  <c r="AI4" i="8"/>
  <c r="AE4" i="8"/>
  <c r="AF4" i="8"/>
  <c r="AC7" i="9"/>
  <c r="AK7" i="9"/>
  <c r="AI7" i="9"/>
  <c r="AF7" i="9"/>
  <c r="AG7" i="9"/>
  <c r="AH7" i="9"/>
  <c r="AD7" i="9"/>
  <c r="AE7" i="9"/>
  <c r="AB7" i="9"/>
  <c r="AJ7" i="9"/>
  <c r="AH19" i="23"/>
  <c r="AK19" i="23"/>
  <c r="AD19" i="23"/>
  <c r="AC19" i="23"/>
  <c r="AJ19" i="23"/>
  <c r="AI19" i="23"/>
  <c r="AG19" i="23"/>
  <c r="AF19" i="23"/>
  <c r="AB19" i="23"/>
  <c r="AE19" i="23"/>
  <c r="AI9" i="18"/>
  <c r="AC9" i="18"/>
  <c r="AJ9" i="18"/>
  <c r="AH9" i="18"/>
  <c r="AD9" i="18"/>
  <c r="AE9" i="18"/>
  <c r="AK9" i="18"/>
  <c r="AF9" i="18"/>
  <c r="AG9" i="18"/>
  <c r="AB9" i="18"/>
  <c r="AG13" i="13"/>
  <c r="AC13" i="13"/>
  <c r="AJ13" i="13"/>
  <c r="AI13" i="13"/>
  <c r="AD13" i="13"/>
  <c r="AB13" i="13"/>
  <c r="AF13" i="13"/>
  <c r="AK13" i="13"/>
  <c r="AH13" i="13"/>
  <c r="AE13" i="13"/>
  <c r="AE13" i="25"/>
  <c r="AC13" i="25"/>
  <c r="AI13" i="25"/>
  <c r="AH13" i="25"/>
  <c r="AD13" i="25"/>
  <c r="AJ13" i="25"/>
  <c r="AF13" i="25"/>
  <c r="AB13" i="25"/>
  <c r="AG13" i="25"/>
  <c r="AK13" i="25"/>
  <c r="AD13" i="23"/>
  <c r="AC13" i="23"/>
  <c r="AI13" i="23"/>
  <c r="AF13" i="23"/>
  <c r="AG13" i="23"/>
  <c r="AE13" i="23"/>
  <c r="AJ13" i="23"/>
  <c r="AB13" i="23"/>
  <c r="AH13" i="23"/>
  <c r="AK13" i="23"/>
  <c r="AD5" i="10"/>
  <c r="AG5" i="10"/>
  <c r="AF5" i="10"/>
  <c r="AE5" i="10"/>
  <c r="AH5" i="10"/>
  <c r="AK5" i="10"/>
  <c r="AJ5" i="10"/>
  <c r="AI5" i="10"/>
  <c r="AC5" i="10"/>
  <c r="AB5" i="10"/>
  <c r="AD5" i="19"/>
  <c r="AJ5" i="19"/>
  <c r="AK5" i="19"/>
  <c r="AE5" i="19"/>
  <c r="AG5" i="19"/>
  <c r="AF5" i="19"/>
  <c r="AB5" i="19"/>
  <c r="AH5" i="19"/>
  <c r="AI5" i="19"/>
  <c r="AC5" i="19"/>
  <c r="AH5" i="17"/>
  <c r="AI5" i="17"/>
  <c r="AD5" i="17"/>
  <c r="AJ5" i="17"/>
  <c r="AB5" i="17"/>
  <c r="AE5" i="17"/>
  <c r="AG5" i="17"/>
  <c r="AF5" i="17"/>
  <c r="AC5" i="17"/>
  <c r="AK5" i="17"/>
  <c r="AD18" i="10"/>
  <c r="AG18" i="10"/>
  <c r="AC18" i="10"/>
  <c r="AB18" i="10"/>
  <c r="AK18" i="10"/>
  <c r="AF18" i="10"/>
  <c r="AE18" i="10"/>
  <c r="AI18" i="10"/>
  <c r="AJ18" i="10"/>
  <c r="AH18" i="10"/>
  <c r="AF18" i="14"/>
  <c r="AI18" i="14"/>
  <c r="AJ18" i="14"/>
  <c r="AD18" i="14"/>
  <c r="AC18" i="14"/>
  <c r="AG18" i="14"/>
  <c r="AK18" i="14"/>
  <c r="AH18" i="14"/>
  <c r="AE18" i="14"/>
  <c r="AB18" i="14"/>
  <c r="AH18" i="15"/>
  <c r="AG18" i="15"/>
  <c r="AB18" i="15"/>
  <c r="AF18" i="15"/>
  <c r="AC18" i="15"/>
  <c r="AJ18" i="15"/>
  <c r="AI18" i="15"/>
  <c r="AE18" i="15"/>
  <c r="AK18" i="15"/>
  <c r="AD18" i="15"/>
  <c r="AG16" i="19"/>
  <c r="AB16" i="19"/>
  <c r="AJ16" i="19"/>
  <c r="AE16" i="19"/>
  <c r="AH16" i="19"/>
  <c r="AK16" i="19"/>
  <c r="AF16" i="19"/>
  <c r="AI16" i="19"/>
  <c r="AD16" i="19"/>
  <c r="AC16" i="19"/>
  <c r="AJ16" i="6"/>
  <c r="AH16" i="6"/>
  <c r="AI16" i="6"/>
  <c r="AF16" i="6"/>
  <c r="AK16" i="6"/>
  <c r="AB16" i="6"/>
  <c r="AG16" i="6"/>
  <c r="AE16" i="6"/>
  <c r="AC16" i="6"/>
  <c r="AD16" i="6"/>
  <c r="AE16" i="4"/>
  <c r="AD16" i="4"/>
  <c r="AK16" i="4"/>
  <c r="AG16" i="4"/>
  <c r="AH16" i="4"/>
  <c r="AC16" i="4"/>
  <c r="AB16" i="4"/>
  <c r="AI16" i="4"/>
  <c r="AJ16" i="4"/>
  <c r="AF16" i="4"/>
  <c r="AG2" i="3"/>
  <c r="AE2" i="3"/>
  <c r="AH2" i="3"/>
  <c r="AB2" i="3"/>
  <c r="AF2" i="3"/>
  <c r="AC2" i="3"/>
  <c r="AD2" i="3"/>
  <c r="AI2" i="3"/>
  <c r="AK2" i="3"/>
  <c r="AJ2" i="3"/>
  <c r="AC2" i="12"/>
  <c r="AF2" i="12"/>
  <c r="AJ2" i="12"/>
  <c r="AD2" i="12"/>
  <c r="AI2" i="12"/>
  <c r="AK2" i="12"/>
  <c r="AE2" i="12"/>
  <c r="AH2" i="12"/>
  <c r="AB2" i="12"/>
  <c r="AG2" i="12"/>
  <c r="AB2" i="4"/>
  <c r="AE2" i="4"/>
  <c r="AC2" i="4"/>
  <c r="AG2" i="4"/>
  <c r="AF2" i="4"/>
  <c r="AJ2" i="4"/>
  <c r="AK2" i="4"/>
  <c r="AH2" i="4"/>
  <c r="AI2" i="4"/>
  <c r="AD2" i="4"/>
  <c r="AJ10" i="26"/>
  <c r="AC10" i="26"/>
  <c r="AI10" i="26"/>
  <c r="AH10" i="26"/>
  <c r="AD10" i="26"/>
  <c r="AB10" i="26"/>
  <c r="AG10" i="26"/>
  <c r="AK10" i="26"/>
  <c r="AF10" i="26"/>
  <c r="AE10" i="26"/>
  <c r="AH10" i="16"/>
  <c r="AK10" i="16"/>
  <c r="AE10" i="16"/>
  <c r="AB10" i="16"/>
  <c r="AC10" i="16"/>
  <c r="AI10" i="16"/>
  <c r="AD10" i="16"/>
  <c r="AF10" i="16"/>
  <c r="AJ10" i="16"/>
  <c r="AG10" i="16"/>
  <c r="AG10" i="7"/>
  <c r="AC10" i="7"/>
  <c r="AE10" i="7"/>
  <c r="AF10" i="7"/>
  <c r="AH10" i="7"/>
  <c r="AI10" i="7"/>
  <c r="AJ10" i="7"/>
  <c r="AD10" i="7"/>
  <c r="AK10" i="7"/>
  <c r="AB10" i="7"/>
  <c r="AG8" i="12"/>
  <c r="AE8" i="12"/>
  <c r="AK8" i="12"/>
  <c r="AD8" i="12"/>
  <c r="AH8" i="12"/>
  <c r="AC8" i="12"/>
  <c r="AF8" i="12"/>
  <c r="AI8" i="12"/>
  <c r="AB8" i="12"/>
  <c r="AJ8" i="12"/>
  <c r="AD8" i="8"/>
  <c r="AI8" i="8"/>
  <c r="AE8" i="8"/>
  <c r="AF8" i="8"/>
  <c r="AK8" i="8"/>
  <c r="AJ8" i="8"/>
  <c r="AG8" i="8"/>
  <c r="AB8" i="8"/>
  <c r="AC8" i="8"/>
  <c r="AH8" i="8"/>
  <c r="AI8" i="21"/>
  <c r="AC8" i="21"/>
  <c r="AD8" i="21"/>
  <c r="AF8" i="21"/>
  <c r="AH8" i="21"/>
  <c r="AG8" i="21"/>
  <c r="AB8" i="21"/>
  <c r="AJ8" i="21"/>
  <c r="AE8" i="21"/>
  <c r="AK8" i="21"/>
  <c r="AE6" i="19"/>
  <c r="AF6" i="19"/>
  <c r="AG6" i="19"/>
  <c r="AB6" i="19"/>
  <c r="AH6" i="19"/>
  <c r="AK6" i="19"/>
  <c r="AJ6" i="19"/>
  <c r="AI6" i="19"/>
  <c r="AD6" i="19"/>
  <c r="AC6" i="19"/>
  <c r="AI6" i="9"/>
  <c r="AB6" i="9"/>
  <c r="AD6" i="9"/>
  <c r="AC6" i="9"/>
  <c r="AK6" i="9"/>
  <c r="AF6" i="9"/>
  <c r="AH6" i="9"/>
  <c r="AG6" i="9"/>
  <c r="AE6" i="9"/>
  <c r="AJ6" i="9"/>
  <c r="AE6" i="17"/>
  <c r="AF6" i="17"/>
  <c r="AB6" i="17"/>
  <c r="AH6" i="17"/>
  <c r="AI6" i="17"/>
  <c r="AC6" i="17"/>
  <c r="AK6" i="17"/>
  <c r="AD6" i="17"/>
  <c r="AG6" i="17"/>
  <c r="AJ6" i="17"/>
  <c r="AH4" i="7"/>
  <c r="AC4" i="7"/>
  <c r="AJ4" i="7"/>
  <c r="AG4" i="7"/>
  <c r="AE4" i="7"/>
  <c r="AD4" i="7"/>
  <c r="AF4" i="7"/>
  <c r="AB4" i="7"/>
  <c r="AK4" i="7"/>
  <c r="AI4" i="7"/>
  <c r="AJ4" i="20"/>
  <c r="AE4" i="20"/>
  <c r="AG4" i="20"/>
  <c r="AH4" i="20"/>
  <c r="AC4" i="20"/>
  <c r="AK4" i="20"/>
  <c r="AI4" i="20"/>
  <c r="AD4" i="20"/>
  <c r="AB4" i="20"/>
  <c r="AF4" i="20"/>
  <c r="AD4" i="15"/>
  <c r="AJ4" i="15"/>
  <c r="AF4" i="15"/>
  <c r="AB4" i="15"/>
  <c r="AH4" i="15"/>
  <c r="AG4" i="15"/>
  <c r="AC4" i="15"/>
  <c r="AK4" i="15"/>
  <c r="AE4" i="15"/>
  <c r="AI4" i="15"/>
  <c r="AI11" i="6"/>
  <c r="AC11" i="6"/>
  <c r="AD11" i="6"/>
  <c r="AK11" i="6"/>
  <c r="AE11" i="6"/>
  <c r="AB11" i="6"/>
  <c r="AF11" i="6"/>
  <c r="AJ11" i="6"/>
  <c r="AG11" i="6"/>
  <c r="AH11" i="6"/>
  <c r="AB11" i="3"/>
  <c r="AD11" i="3"/>
  <c r="AJ11" i="3"/>
  <c r="AH11" i="3"/>
  <c r="AF11" i="3"/>
  <c r="AE11" i="3"/>
  <c r="AG11" i="3"/>
  <c r="AK11" i="3"/>
  <c r="AI11" i="3"/>
  <c r="AC11" i="3"/>
  <c r="AG11" i="21"/>
  <c r="AI11" i="21"/>
  <c r="AD11" i="21"/>
  <c r="AC11" i="21"/>
  <c r="AK11" i="21"/>
  <c r="AJ11" i="21"/>
  <c r="AH11" i="21"/>
  <c r="AF11" i="21"/>
  <c r="AB11" i="21"/>
  <c r="AE11" i="21"/>
  <c r="AE7" i="4"/>
  <c r="AH7" i="4"/>
  <c r="AJ7" i="4"/>
  <c r="AB7" i="4"/>
  <c r="AI7" i="4"/>
  <c r="AC7" i="4"/>
  <c r="AF7" i="4"/>
  <c r="AK7" i="4"/>
  <c r="AG7" i="4"/>
  <c r="AD7" i="4"/>
  <c r="AE7" i="19"/>
  <c r="AB7" i="19"/>
  <c r="AF7" i="19"/>
  <c r="AJ7" i="19"/>
  <c r="AD7" i="19"/>
  <c r="AK7" i="19"/>
  <c r="AG7" i="19"/>
  <c r="AH7" i="19"/>
  <c r="AC7" i="19"/>
  <c r="AI7" i="19"/>
  <c r="AJ7" i="17"/>
  <c r="AF7" i="17"/>
  <c r="AB7" i="17"/>
  <c r="AG7" i="17"/>
  <c r="AD7" i="17"/>
  <c r="AH7" i="17"/>
  <c r="AE7" i="17"/>
  <c r="AC7" i="17"/>
  <c r="AI7" i="17"/>
  <c r="AK7" i="17"/>
  <c r="AJ15" i="12"/>
  <c r="AD15" i="12"/>
  <c r="AC15" i="12"/>
  <c r="AF15" i="12"/>
  <c r="AE15" i="12"/>
  <c r="AK15" i="12"/>
  <c r="AG15" i="12"/>
  <c r="AH15" i="12"/>
  <c r="AB15" i="12"/>
  <c r="AI15" i="12"/>
  <c r="AB15" i="11"/>
  <c r="AI15" i="11"/>
  <c r="AD15" i="11"/>
  <c r="AF15" i="11"/>
  <c r="AG15" i="11"/>
  <c r="AK15" i="11"/>
  <c r="AC15" i="11"/>
  <c r="AE15" i="11"/>
  <c r="AH15" i="11"/>
  <c r="AJ15" i="11"/>
  <c r="AJ15" i="27"/>
  <c r="AI15" i="27"/>
  <c r="AG15" i="27"/>
  <c r="AF15" i="27"/>
  <c r="AC15" i="27"/>
  <c r="AH15" i="27"/>
  <c r="AB15" i="27"/>
  <c r="AD15" i="27"/>
  <c r="AE15" i="27"/>
  <c r="AK15" i="27"/>
  <c r="AJ12" i="12"/>
  <c r="AE12" i="12"/>
  <c r="AG12" i="12"/>
  <c r="AD12" i="12"/>
  <c r="AI12" i="12"/>
  <c r="AK12" i="12"/>
  <c r="AF12" i="12"/>
  <c r="AB12" i="12"/>
  <c r="AH12" i="12"/>
  <c r="AC12" i="12"/>
  <c r="AI12" i="26"/>
  <c r="AB12" i="26"/>
  <c r="AD12" i="26"/>
  <c r="AE12" i="26"/>
  <c r="AJ12" i="26"/>
  <c r="AG12" i="26"/>
  <c r="AC12" i="26"/>
  <c r="AK12" i="26"/>
  <c r="AH12" i="26"/>
  <c r="AF12" i="26"/>
  <c r="AD12" i="25"/>
  <c r="AJ12" i="25"/>
  <c r="AF12" i="25"/>
  <c r="AI12" i="25"/>
  <c r="AB12" i="25"/>
  <c r="AG12" i="25"/>
  <c r="AC12" i="25"/>
  <c r="AK12" i="25"/>
  <c r="AH12" i="25"/>
  <c r="AE12" i="25"/>
  <c r="AI17" i="24"/>
  <c r="AB17" i="24"/>
  <c r="AE17" i="24"/>
  <c r="AH17" i="24"/>
  <c r="AD17" i="24"/>
  <c r="AG17" i="24"/>
  <c r="AC17" i="24"/>
  <c r="AJ17" i="24"/>
  <c r="AF17" i="24"/>
  <c r="AK17" i="24"/>
  <c r="AE17" i="13"/>
  <c r="AK17" i="13"/>
  <c r="AD17" i="13"/>
  <c r="AG17" i="13"/>
  <c r="AJ17" i="13"/>
  <c r="AC17" i="13"/>
  <c r="AB17" i="13"/>
  <c r="AI17" i="13"/>
  <c r="AH17" i="13"/>
  <c r="AF17" i="13"/>
  <c r="AD17" i="27"/>
  <c r="AE17" i="27"/>
  <c r="AK17" i="27"/>
  <c r="AJ17" i="27"/>
  <c r="AB17" i="27"/>
  <c r="AG17" i="27"/>
  <c r="AF17" i="27"/>
  <c r="AC17" i="27"/>
  <c r="AH17" i="27"/>
  <c r="AI17" i="27"/>
  <c r="AB14" i="23"/>
  <c r="AF14" i="23"/>
  <c r="AC14" i="23"/>
  <c r="AE14" i="23"/>
  <c r="AD14" i="23"/>
  <c r="AJ14" i="23"/>
  <c r="AK14" i="23"/>
  <c r="AI14" i="23"/>
  <c r="AH14" i="23"/>
  <c r="AG14" i="23"/>
  <c r="AH14" i="3"/>
  <c r="AD14" i="3"/>
  <c r="AF14" i="3"/>
  <c r="AE14" i="3"/>
  <c r="AJ14" i="3"/>
  <c r="AI14" i="3"/>
  <c r="AK14" i="3"/>
  <c r="AB14" i="3"/>
  <c r="AG14" i="3"/>
  <c r="AC14" i="3"/>
  <c r="AK14" i="6"/>
  <c r="AC14" i="6"/>
  <c r="AG14" i="6"/>
  <c r="AJ14" i="6"/>
  <c r="AD14" i="6"/>
  <c r="AH14" i="6"/>
  <c r="AI14" i="6"/>
  <c r="AB14" i="6"/>
  <c r="AE14" i="6"/>
  <c r="AF14" i="6"/>
  <c r="AE3" i="19"/>
  <c r="AI3" i="19"/>
  <c r="AD3" i="19"/>
  <c r="AC3" i="19"/>
  <c r="AJ3" i="19"/>
  <c r="AG3" i="19"/>
  <c r="AB3" i="19"/>
  <c r="AF3" i="19"/>
  <c r="AK3" i="19"/>
  <c r="AH3" i="19"/>
  <c r="AG3" i="6"/>
  <c r="AC3" i="6"/>
  <c r="AD3" i="6"/>
  <c r="AK3" i="6"/>
  <c r="AF3" i="6"/>
  <c r="AJ3" i="6"/>
  <c r="AE3" i="6"/>
  <c r="AB3" i="6"/>
  <c r="AI3" i="6"/>
  <c r="AH3" i="6"/>
  <c r="AF3" i="7"/>
  <c r="AH3" i="7"/>
  <c r="AJ3" i="7"/>
  <c r="AI3" i="7"/>
  <c r="AE3" i="7"/>
  <c r="AC3" i="7"/>
  <c r="AK3" i="7"/>
  <c r="AD3" i="7"/>
  <c r="AG3" i="7"/>
  <c r="AB3" i="7"/>
  <c r="AD19" i="24"/>
  <c r="AE19" i="24"/>
  <c r="AK19" i="24"/>
  <c r="AC19" i="24"/>
  <c r="AG19" i="24"/>
  <c r="AI19" i="24"/>
  <c r="AB19" i="24"/>
  <c r="AF19" i="24"/>
  <c r="AH19" i="24"/>
  <c r="AJ19" i="24"/>
  <c r="AI19" i="8"/>
  <c r="AD19" i="8"/>
  <c r="AJ19" i="8"/>
  <c r="AG19" i="8"/>
  <c r="AK19" i="8"/>
  <c r="AF19" i="8"/>
  <c r="AE19" i="8"/>
  <c r="AH19" i="8"/>
  <c r="AC19" i="8"/>
  <c r="AB19" i="8"/>
  <c r="AH19" i="21"/>
  <c r="AK19" i="21"/>
  <c r="AE19" i="21"/>
  <c r="AG19" i="21"/>
  <c r="AD19" i="21"/>
  <c r="AC19" i="21"/>
  <c r="AJ19" i="21"/>
  <c r="AB19" i="21"/>
  <c r="AI19" i="21"/>
  <c r="AF19" i="21"/>
  <c r="AE9" i="12"/>
  <c r="AK9" i="12"/>
  <c r="AI9" i="12"/>
  <c r="AC9" i="12"/>
  <c r="AG9" i="12"/>
  <c r="AF9" i="12"/>
  <c r="AH9" i="12"/>
  <c r="AB9" i="12"/>
  <c r="AJ9" i="12"/>
  <c r="AD9" i="12"/>
  <c r="AE9" i="14"/>
  <c r="AJ9" i="14"/>
  <c r="AG9" i="14"/>
  <c r="AC9" i="14"/>
  <c r="AK9" i="14"/>
  <c r="AH9" i="14"/>
  <c r="AD9" i="14"/>
  <c r="AF9" i="14"/>
  <c r="AI9" i="14"/>
  <c r="AB9" i="14"/>
  <c r="AF9" i="23"/>
  <c r="AC9" i="23"/>
  <c r="AB9" i="23"/>
  <c r="AI9" i="23"/>
  <c r="AJ9" i="23"/>
  <c r="AH9" i="23"/>
  <c r="AG9" i="23"/>
  <c r="AD9" i="23"/>
  <c r="AK9" i="23"/>
  <c r="AE9" i="23"/>
  <c r="AM17" i="13" l="1"/>
  <c r="AM8" i="21"/>
  <c r="AM5" i="17"/>
  <c r="AM5" i="19"/>
  <c r="AM10" i="19"/>
  <c r="AM5" i="8"/>
  <c r="AM14" i="4"/>
  <c r="AM17" i="17"/>
  <c r="AM16" i="14"/>
  <c r="AM7" i="23"/>
  <c r="AM11" i="24"/>
  <c r="AM19" i="5"/>
  <c r="AM7" i="5"/>
  <c r="AM2" i="11"/>
  <c r="AM13" i="11"/>
  <c r="AM12" i="27"/>
  <c r="AM7" i="8"/>
  <c r="AM17" i="8"/>
  <c r="AM7" i="24"/>
  <c r="AM7" i="10"/>
  <c r="AM11" i="14"/>
  <c r="AM6" i="16"/>
  <c r="AM6" i="13"/>
  <c r="AM18" i="21"/>
  <c r="AM5" i="11"/>
  <c r="AM3" i="21"/>
  <c r="AM17" i="19"/>
  <c r="AM4" i="22"/>
  <c r="AM10" i="5"/>
  <c r="AM18" i="19"/>
  <c r="AM9" i="13"/>
  <c r="AM9" i="26"/>
  <c r="AM15" i="13"/>
  <c r="AM15" i="26"/>
  <c r="AM2" i="16"/>
  <c r="AM16" i="25"/>
  <c r="AM9" i="8"/>
  <c r="AM3" i="26"/>
  <c r="AM6" i="5"/>
  <c r="AM17" i="6"/>
  <c r="AM6" i="8"/>
  <c r="AM6" i="27"/>
  <c r="AM6" i="12"/>
  <c r="AM18" i="12"/>
  <c r="AM17" i="23"/>
  <c r="AM12" i="3"/>
  <c r="AM19" i="24"/>
  <c r="AM17" i="27"/>
  <c r="AM17" i="18"/>
  <c r="AM4" i="21"/>
  <c r="AM8" i="22"/>
  <c r="AM17" i="25"/>
  <c r="AM3" i="18"/>
  <c r="AM3" i="11"/>
  <c r="AM9" i="12"/>
  <c r="AM14" i="3"/>
  <c r="AM6" i="9"/>
  <c r="AM8" i="8"/>
  <c r="AM13" i="13"/>
  <c r="AM16" i="7"/>
  <c r="AM9" i="9"/>
  <c r="AM3" i="22"/>
  <c r="AM15" i="6"/>
  <c r="AM11" i="13"/>
  <c r="AM4" i="24"/>
  <c r="AM8" i="17"/>
  <c r="AM8" i="15"/>
  <c r="AM10" i="6"/>
  <c r="AM16" i="12"/>
  <c r="AM13" i="3"/>
  <c r="AM2" i="22"/>
  <c r="AM5" i="7"/>
  <c r="AM13" i="12"/>
  <c r="AM11" i="19"/>
  <c r="AM9" i="17"/>
  <c r="AM19" i="26"/>
  <c r="AM17" i="15"/>
  <c r="AM12" i="18"/>
  <c r="AM6" i="3"/>
  <c r="AM8" i="4"/>
  <c r="AM8" i="13"/>
  <c r="AM18" i="6"/>
  <c r="AM5" i="23"/>
  <c r="AM4" i="27"/>
  <c r="AM6" i="6"/>
  <c r="AM8" i="27"/>
  <c r="AM16" i="18"/>
  <c r="AM9" i="21"/>
  <c r="AM3" i="3"/>
  <c r="AM3" i="20"/>
  <c r="AM14" i="12"/>
  <c r="AM17" i="9"/>
  <c r="AM12" i="19"/>
  <c r="AM11" i="20"/>
  <c r="AM4" i="19"/>
  <c r="AM2" i="14"/>
  <c r="AM2" i="20"/>
  <c r="AM9" i="25"/>
  <c r="AM19" i="19"/>
  <c r="AM13" i="9"/>
  <c r="AM5" i="4"/>
  <c r="AM3" i="15"/>
  <c r="AM14" i="9"/>
  <c r="AM14" i="14"/>
  <c r="AM6" i="15"/>
  <c r="AM10" i="24"/>
  <c r="AM5" i="12"/>
  <c r="AM5" i="25"/>
  <c r="AM19" i="9"/>
  <c r="AM4" i="18"/>
  <c r="AM7" i="6"/>
  <c r="AM4" i="12"/>
  <c r="AM2" i="21"/>
  <c r="AM5" i="18"/>
  <c r="AM13" i="17"/>
  <c r="AM15" i="10"/>
  <c r="AM15" i="18"/>
  <c r="AM12" i="4"/>
  <c r="AM6" i="19"/>
  <c r="AM6" i="11"/>
  <c r="AM9" i="23"/>
  <c r="AM14" i="23"/>
  <c r="AM15" i="27"/>
  <c r="AM15" i="11"/>
  <c r="AM8" i="12"/>
  <c r="AM2" i="4"/>
  <c r="AM16" i="4"/>
  <c r="AM19" i="23"/>
  <c r="AM4" i="8"/>
  <c r="AM9" i="5"/>
  <c r="AM14" i="10"/>
  <c r="AM17" i="26"/>
  <c r="AM12" i="13"/>
  <c r="AM12" i="23"/>
  <c r="AM15" i="17"/>
  <c r="AM7" i="26"/>
  <c r="AM8" i="7"/>
  <c r="AM2" i="8"/>
  <c r="AM16" i="20"/>
  <c r="AM18" i="27"/>
  <c r="AM3" i="4"/>
  <c r="AM17" i="20"/>
  <c r="AM15" i="24"/>
  <c r="AM3" i="14"/>
  <c r="AM15" i="25"/>
  <c r="AM10" i="17"/>
  <c r="AM11" i="23"/>
  <c r="AM2" i="18"/>
  <c r="AM13" i="14"/>
  <c r="AM8" i="23"/>
  <c r="AM14" i="7"/>
  <c r="AM11" i="4"/>
  <c r="AM8" i="6"/>
  <c r="AM2" i="6"/>
  <c r="AM5" i="26"/>
  <c r="AM2" i="24"/>
  <c r="AM19" i="15"/>
  <c r="AM3" i="9"/>
  <c r="AM12" i="14"/>
  <c r="AM8" i="19"/>
  <c r="AM18" i="7"/>
  <c r="AM13" i="27"/>
  <c r="AM13" i="5"/>
  <c r="AM11" i="15"/>
  <c r="AM8" i="14"/>
  <c r="AM18" i="20"/>
  <c r="AM9" i="4"/>
  <c r="AM19" i="17"/>
  <c r="AM3" i="10"/>
  <c r="AM11" i="25"/>
  <c r="AM10" i="11"/>
  <c r="AM2" i="15"/>
  <c r="AM16" i="5"/>
  <c r="AM18" i="9"/>
  <c r="AM5" i="13"/>
  <c r="AM7" i="20"/>
  <c r="AM10" i="16"/>
  <c r="AM7" i="27"/>
  <c r="AM13" i="24"/>
  <c r="AM11" i="12"/>
  <c r="AM18" i="8"/>
  <c r="AM15" i="16"/>
  <c r="AM7" i="12"/>
  <c r="AM4" i="6"/>
  <c r="AM4" i="4"/>
  <c r="AM8" i="18"/>
  <c r="AM18" i="26"/>
  <c r="AM5" i="27"/>
  <c r="AM13" i="15"/>
  <c r="AM19" i="20"/>
  <c r="AM16" i="27"/>
  <c r="AM9" i="19"/>
  <c r="AM12" i="20"/>
  <c r="AM15" i="7"/>
  <c r="AM7" i="18"/>
  <c r="AM10" i="26"/>
  <c r="AM13" i="23"/>
  <c r="AM3" i="24"/>
  <c r="AM10" i="22"/>
  <c r="AM2" i="19"/>
  <c r="AM12" i="21"/>
  <c r="AM4" i="3"/>
  <c r="AM16" i="11"/>
  <c r="AM4" i="23"/>
  <c r="AM6" i="7"/>
  <c r="AM2" i="27"/>
  <c r="AM15" i="12"/>
  <c r="AM7" i="17"/>
  <c r="AM11" i="21"/>
  <c r="AM4" i="20"/>
  <c r="AM2" i="12"/>
  <c r="AM18" i="15"/>
  <c r="AM7" i="9"/>
  <c r="AM16" i="21"/>
  <c r="AM9" i="11"/>
  <c r="AM19" i="10"/>
  <c r="AM15" i="23"/>
  <c r="AM4" i="16"/>
  <c r="AM10" i="23"/>
  <c r="AM18" i="3"/>
  <c r="AM18" i="22"/>
  <c r="AM9" i="22"/>
  <c r="AM19" i="4"/>
  <c r="AM14" i="18"/>
  <c r="AM17" i="10"/>
  <c r="AM17" i="3"/>
  <c r="AM12" i="11"/>
  <c r="AM15" i="19"/>
  <c r="AM18" i="13"/>
  <c r="AM10" i="20"/>
  <c r="AM16" i="17"/>
  <c r="AM18" i="18"/>
  <c r="AM5" i="15"/>
  <c r="AM18" i="11"/>
  <c r="AM19" i="6"/>
  <c r="AM19" i="12"/>
  <c r="AM19" i="3"/>
  <c r="AM15" i="9"/>
  <c r="AM16" i="26"/>
  <c r="AM5" i="3"/>
  <c r="AM5" i="9"/>
  <c r="AM8" i="16"/>
  <c r="AM8" i="24"/>
  <c r="AM9" i="6"/>
  <c r="AM17" i="14"/>
  <c r="AM12" i="17"/>
  <c r="AM15" i="14"/>
  <c r="AM6" i="25"/>
  <c r="AM8" i="3"/>
  <c r="AM13" i="8"/>
  <c r="AM15" i="4"/>
  <c r="AM10" i="12"/>
  <c r="AM19" i="18"/>
  <c r="AM19" i="16"/>
  <c r="AM15" i="8"/>
  <c r="AM7" i="11"/>
  <c r="AM11" i="11"/>
  <c r="AM4" i="25"/>
  <c r="AM8" i="11"/>
  <c r="AM13" i="19"/>
  <c r="AM14" i="16"/>
  <c r="AM14" i="11"/>
  <c r="AM17" i="11"/>
  <c r="AM19" i="8"/>
  <c r="AM10" i="7"/>
  <c r="AM16" i="19"/>
  <c r="AM2" i="17"/>
  <c r="AM16" i="10"/>
  <c r="AM14" i="26"/>
  <c r="AM15" i="15"/>
  <c r="AM12" i="8"/>
  <c r="AM2" i="7"/>
  <c r="AM17" i="21"/>
  <c r="AM7" i="3"/>
  <c r="AM16" i="6"/>
  <c r="AM13" i="4"/>
  <c r="AM9" i="15"/>
  <c r="AM3" i="23"/>
  <c r="AM12" i="22"/>
  <c r="AM11" i="7"/>
  <c r="AM6" i="18"/>
  <c r="AM10" i="13"/>
  <c r="AM2" i="13"/>
  <c r="AM5" i="22"/>
  <c r="AM5" i="14"/>
  <c r="AM13" i="21"/>
  <c r="AM13" i="22"/>
  <c r="AM5" i="24"/>
  <c r="AM19" i="22"/>
  <c r="AM3" i="8"/>
  <c r="AM14" i="19"/>
  <c r="AM14" i="22"/>
  <c r="AM15" i="3"/>
  <c r="AM7" i="16"/>
  <c r="AM11" i="17"/>
  <c r="AM4" i="13"/>
  <c r="AM6" i="4"/>
  <c r="AM6" i="22"/>
  <c r="AM10" i="4"/>
  <c r="AM9" i="27"/>
  <c r="AM14" i="13"/>
  <c r="AM15" i="20"/>
  <c r="AM16" i="9"/>
  <c r="AM18" i="4"/>
  <c r="AM5" i="21"/>
  <c r="AM16" i="3"/>
  <c r="AM13" i="20"/>
  <c r="AM19" i="27"/>
  <c r="AM4" i="9"/>
  <c r="AM10" i="27"/>
  <c r="AM16" i="24"/>
  <c r="AM16" i="22"/>
  <c r="AM11" i="22"/>
  <c r="AM11" i="8"/>
  <c r="AM4" i="11"/>
  <c r="AM6" i="10"/>
  <c r="AM9" i="24"/>
  <c r="AM7" i="15"/>
  <c r="AM6" i="26"/>
  <c r="AM8" i="5"/>
  <c r="AM16" i="8"/>
  <c r="AM5" i="6"/>
  <c r="AM5" i="20"/>
  <c r="AM2" i="3"/>
  <c r="AM7" i="25"/>
  <c r="AM4" i="14"/>
  <c r="AM18" i="5"/>
  <c r="AM4" i="5"/>
  <c r="AM13" i="6"/>
  <c r="AM12" i="10"/>
  <c r="AM14" i="27"/>
  <c r="AM10" i="14"/>
  <c r="AM13" i="25"/>
  <c r="AM19" i="13"/>
  <c r="AM3" i="19"/>
  <c r="AM12" i="25"/>
  <c r="AM11" i="3"/>
  <c r="AM6" i="17"/>
  <c r="AM18" i="25"/>
  <c r="AM19" i="14"/>
  <c r="AM6" i="23"/>
  <c r="AM3" i="13"/>
  <c r="AM17" i="16"/>
  <c r="AM12" i="6"/>
  <c r="AM11" i="27"/>
  <c r="AM8" i="25"/>
  <c r="AM19" i="11"/>
  <c r="AM9" i="3"/>
  <c r="AM17" i="12"/>
  <c r="AM12" i="9"/>
  <c r="AM4" i="10"/>
  <c r="AM10" i="15"/>
  <c r="AM10" i="3"/>
  <c r="AM13" i="10"/>
  <c r="AM13" i="18"/>
  <c r="AM3" i="5"/>
  <c r="AM7" i="14"/>
  <c r="AM11" i="26"/>
  <c r="AM9" i="7"/>
  <c r="AM4" i="26"/>
  <c r="AM2" i="23"/>
  <c r="AM13" i="26"/>
  <c r="AM3" i="16"/>
  <c r="AM3" i="17"/>
  <c r="AM14" i="24"/>
  <c r="AM12" i="7"/>
  <c r="AM8" i="9"/>
  <c r="AM10" i="18"/>
  <c r="AM10" i="10"/>
  <c r="AM2" i="25"/>
  <c r="AM16" i="23"/>
  <c r="AM18" i="24"/>
  <c r="AM17" i="5"/>
  <c r="AM12" i="24"/>
  <c r="AM7" i="21"/>
  <c r="AM10" i="9"/>
  <c r="AM19" i="21"/>
  <c r="AM3" i="6"/>
  <c r="AM12" i="26"/>
  <c r="AM11" i="6"/>
  <c r="AM8" i="26"/>
  <c r="AM14" i="21"/>
  <c r="AM11" i="10"/>
  <c r="AM6" i="20"/>
  <c r="AM9" i="10"/>
  <c r="AM6" i="14"/>
  <c r="AM10" i="21"/>
  <c r="AM13" i="16"/>
  <c r="AM9" i="14"/>
  <c r="AM3" i="7"/>
  <c r="AM14" i="6"/>
  <c r="AM17" i="24"/>
  <c r="AM12" i="12"/>
  <c r="AM7" i="19"/>
  <c r="AM7" i="4"/>
  <c r="AM4" i="15"/>
  <c r="AM4" i="7"/>
  <c r="AM18" i="14"/>
  <c r="AM18" i="10"/>
  <c r="AM5" i="10"/>
  <c r="AM9" i="18"/>
  <c r="AM5" i="5"/>
  <c r="AM13" i="7"/>
  <c r="AM6" i="24"/>
  <c r="AM2" i="5"/>
  <c r="AM14" i="15"/>
  <c r="AM11" i="9"/>
  <c r="AM2" i="26"/>
  <c r="AM16" i="16"/>
  <c r="AM18" i="16"/>
  <c r="AM5" i="16"/>
  <c r="AM16" i="15"/>
  <c r="AM14" i="25"/>
  <c r="AM15" i="22"/>
  <c r="AM15" i="5"/>
  <c r="AM9" i="20"/>
  <c r="AM7" i="13"/>
  <c r="AM10" i="8"/>
  <c r="AM3" i="12"/>
  <c r="AM12" i="16"/>
  <c r="AM7" i="7"/>
  <c r="AM6" i="21"/>
  <c r="AM8" i="20"/>
  <c r="AM8" i="10"/>
  <c r="AM2" i="10"/>
  <c r="AM3" i="27"/>
  <c r="AM14" i="17"/>
  <c r="AM17" i="7"/>
  <c r="AM16" i="13"/>
  <c r="AM18" i="23"/>
  <c r="AM19" i="25"/>
  <c r="AM17" i="4"/>
  <c r="AM12" i="15"/>
  <c r="AM11" i="5"/>
  <c r="AM11" i="18"/>
  <c r="AM10" i="25"/>
  <c r="AM2" i="9"/>
  <c r="AM18" i="17"/>
  <c r="AM19" i="7"/>
  <c r="AM7" i="22"/>
  <c r="AM3" i="25"/>
  <c r="AM14" i="8"/>
  <c r="AM14" i="5"/>
  <c r="AM17" i="22"/>
  <c r="AM15" i="21"/>
  <c r="AM11" i="16"/>
  <c r="AM4" i="17"/>
  <c r="AM9" i="16"/>
  <c r="AM14" i="20"/>
  <c r="AM12" i="5"/>
  <c r="Z8" i="2"/>
  <c r="AB7" i="2"/>
  <c r="M17" i="2"/>
  <c r="Z3" i="2"/>
  <c r="AE15" i="2"/>
  <c r="V5" i="2"/>
  <c r="AC11" i="2"/>
  <c r="AC7" i="2"/>
  <c r="X17" i="2"/>
  <c r="U2" i="2"/>
  <c r="Q6" i="2"/>
  <c r="X5" i="2"/>
  <c r="J19" i="2"/>
  <c r="O7" i="2"/>
  <c r="AA4" i="2"/>
  <c r="AD16" i="2"/>
  <c r="Q18" i="2"/>
  <c r="X10" i="2"/>
  <c r="J7" i="2"/>
  <c r="S11" i="2"/>
  <c r="J10" i="2"/>
  <c r="M9" i="2"/>
  <c r="AB17" i="2"/>
  <c r="M5" i="2"/>
  <c r="P2" i="2"/>
  <c r="U6" i="2"/>
  <c r="X18" i="2"/>
  <c r="AE3" i="2"/>
  <c r="H12" i="2"/>
  <c r="I14" i="2"/>
  <c r="P13" i="2"/>
  <c r="R6" i="2"/>
  <c r="R9" i="2"/>
  <c r="J6" i="2"/>
  <c r="AC19" i="2"/>
  <c r="S16" i="2"/>
  <c r="M7" i="2"/>
  <c r="R15" i="2"/>
  <c r="V17" i="2"/>
  <c r="AF12" i="2"/>
  <c r="Z18" i="2"/>
  <c r="AE9" i="2"/>
  <c r="K17" i="2"/>
  <c r="AF17" i="2"/>
  <c r="R17" i="2"/>
  <c r="P5" i="2"/>
  <c r="M6" i="2"/>
  <c r="AF6" i="2"/>
  <c r="AD17" i="2"/>
  <c r="W3" i="2"/>
  <c r="Z4" i="2"/>
  <c r="AA8" i="2"/>
  <c r="W17" i="2"/>
  <c r="L16" i="2"/>
  <c r="K10" i="2"/>
  <c r="AE19" i="2"/>
  <c r="AF4" i="2"/>
  <c r="N17" i="2"/>
  <c r="N13" i="2"/>
  <c r="AD5" i="2"/>
  <c r="O15" i="2"/>
  <c r="P15" i="2"/>
  <c r="AE17" i="2"/>
  <c r="AF18" i="2"/>
  <c r="W2" i="2"/>
  <c r="AC2" i="2"/>
  <c r="T11" i="2"/>
  <c r="T2" i="2"/>
  <c r="Q11" i="2"/>
  <c r="AF5" i="2"/>
  <c r="AE10" i="2"/>
  <c r="AB4" i="2"/>
  <c r="T18" i="2"/>
  <c r="H18" i="2"/>
  <c r="X15" i="2"/>
  <c r="Q19" i="2"/>
  <c r="K9" i="2"/>
  <c r="Q10" i="2"/>
  <c r="X13" i="2"/>
  <c r="O16" i="2"/>
  <c r="I13" i="2"/>
  <c r="AA5" i="2"/>
  <c r="AA14" i="2"/>
  <c r="AF9" i="2"/>
  <c r="AF19" i="2"/>
  <c r="O6" i="2"/>
  <c r="H2" i="2"/>
  <c r="S10" i="2"/>
  <c r="S19" i="2"/>
  <c r="H9" i="2"/>
  <c r="J3" i="2"/>
  <c r="V3" i="2"/>
  <c r="AC18" i="2"/>
  <c r="K11" i="2"/>
  <c r="U13" i="2"/>
  <c r="T4" i="2"/>
  <c r="AC6" i="2"/>
  <c r="T16" i="2"/>
  <c r="U12" i="2"/>
  <c r="L17" i="2"/>
  <c r="AD10" i="2"/>
  <c r="AA17" i="2"/>
  <c r="AF16" i="2"/>
  <c r="M15" i="2"/>
  <c r="N16" i="2"/>
  <c r="U17" i="2"/>
  <c r="K14" i="2"/>
  <c r="AD19" i="2"/>
  <c r="K18" i="2"/>
  <c r="M2" i="2"/>
  <c r="U4" i="2"/>
  <c r="R10" i="2"/>
  <c r="AD8" i="2"/>
  <c r="J5" i="2"/>
  <c r="N9" i="2"/>
  <c r="Q16" i="2"/>
  <c r="T17" i="2"/>
  <c r="K6" i="2"/>
  <c r="X12" i="2"/>
  <c r="I5" i="2"/>
  <c r="N19" i="2"/>
  <c r="W15" i="2"/>
  <c r="Q8" i="2"/>
  <c r="R12" i="2"/>
  <c r="I3" i="2"/>
  <c r="S13" i="2"/>
  <c r="T19" i="2"/>
  <c r="S8" i="2"/>
  <c r="J16" i="2"/>
  <c r="M18" i="2"/>
  <c r="T13" i="2"/>
  <c r="AB13" i="2"/>
  <c r="L6" i="2"/>
  <c r="N7" i="2"/>
  <c r="AA18" i="2"/>
  <c r="R18" i="2"/>
  <c r="H19" i="2"/>
  <c r="S17" i="2"/>
  <c r="W19" i="2"/>
  <c r="U14" i="2"/>
  <c r="AE14" i="2"/>
  <c r="T9" i="2"/>
  <c r="S5" i="2"/>
  <c r="H15" i="2"/>
  <c r="R14" i="2"/>
  <c r="N4" i="2"/>
  <c r="AC9" i="2"/>
  <c r="AD7" i="2"/>
  <c r="AD13" i="2"/>
  <c r="AB6" i="2"/>
  <c r="Q17" i="2"/>
  <c r="S7" i="2"/>
  <c r="AC14" i="2"/>
  <c r="J17" i="2"/>
  <c r="AE8" i="2"/>
  <c r="S9" i="2"/>
  <c r="L4" i="2"/>
  <c r="J2" i="2"/>
  <c r="AD14" i="2"/>
  <c r="L7" i="2"/>
  <c r="R16" i="2"/>
  <c r="N2" i="2"/>
  <c r="Z15" i="2"/>
  <c r="Q7" i="2"/>
  <c r="V16" i="2"/>
  <c r="AE16" i="2"/>
  <c r="AA13" i="2"/>
  <c r="J18" i="2"/>
  <c r="L9" i="2"/>
  <c r="J15" i="2"/>
  <c r="X11" i="2"/>
  <c r="AF13" i="2"/>
  <c r="W8" i="2"/>
  <c r="U8" i="2"/>
  <c r="AA6" i="2"/>
  <c r="O13" i="2"/>
  <c r="U18" i="2"/>
  <c r="P3" i="2"/>
  <c r="AA3" i="2"/>
  <c r="H13" i="2"/>
  <c r="W12" i="2"/>
  <c r="AF8" i="2"/>
  <c r="Y11" i="2"/>
  <c r="T3" i="2"/>
  <c r="W4" i="2"/>
  <c r="I12" i="2"/>
  <c r="I2" i="2"/>
  <c r="AB12" i="2"/>
  <c r="Y17" i="2"/>
  <c r="AB8" i="2"/>
  <c r="N3" i="2"/>
  <c r="Y18" i="2"/>
  <c r="N18" i="2"/>
  <c r="U15" i="2"/>
  <c r="Y19" i="2"/>
  <c r="AC3" i="2"/>
  <c r="AF2" i="2"/>
  <c r="Z16" i="2"/>
  <c r="AA9" i="2"/>
  <c r="Y10" i="2"/>
  <c r="N15" i="2"/>
  <c r="V12" i="2"/>
  <c r="U19" i="2"/>
  <c r="P14" i="2"/>
  <c r="T15" i="2"/>
  <c r="AB3" i="2"/>
  <c r="Z13" i="2"/>
  <c r="U7" i="2"/>
  <c r="Y15" i="2"/>
  <c r="AF10" i="2"/>
  <c r="T7" i="2"/>
  <c r="S4" i="2"/>
  <c r="R19" i="2"/>
  <c r="R3" i="2"/>
  <c r="N12" i="2"/>
  <c r="AE11" i="2"/>
  <c r="L12" i="2"/>
  <c r="AC12" i="2"/>
  <c r="Z14" i="2"/>
  <c r="L3" i="2"/>
  <c r="S18" i="2"/>
  <c r="T14" i="2"/>
  <c r="AA15" i="2"/>
  <c r="Z6" i="2"/>
  <c r="AB18" i="2"/>
  <c r="V18" i="2"/>
  <c r="U11" i="2"/>
  <c r="AA10" i="2"/>
  <c r="P9" i="2"/>
  <c r="S15" i="2"/>
  <c r="AA12" i="2"/>
  <c r="V11" i="2"/>
  <c r="AE6" i="2"/>
  <c r="N8" i="2"/>
  <c r="O11" i="2"/>
  <c r="Y8" i="2"/>
  <c r="V4" i="2"/>
  <c r="Y3" i="2"/>
  <c r="W5" i="2"/>
  <c r="K2" i="2"/>
  <c r="P18" i="2"/>
  <c r="M3" i="2"/>
  <c r="V6" i="2"/>
  <c r="X7" i="2"/>
  <c r="J12" i="2"/>
  <c r="Q9" i="2"/>
  <c r="K15" i="2"/>
  <c r="AA2" i="2"/>
  <c r="H6" i="2"/>
  <c r="W16" i="2"/>
  <c r="X4" i="2"/>
  <c r="N14" i="2"/>
  <c r="K7" i="2"/>
  <c r="X6" i="2"/>
  <c r="I16" i="2"/>
  <c r="V15" i="2"/>
  <c r="AC15" i="2"/>
  <c r="L14" i="2"/>
  <c r="S12" i="2"/>
  <c r="I9" i="2"/>
  <c r="R5" i="2"/>
  <c r="Q15" i="2"/>
  <c r="I19" i="2"/>
  <c r="P17" i="2"/>
  <c r="AC16" i="2"/>
  <c r="O4" i="2"/>
  <c r="O18" i="2"/>
  <c r="L19" i="2"/>
  <c r="AC10" i="2"/>
  <c r="AD11" i="2"/>
  <c r="Y4" i="2"/>
  <c r="M13" i="2"/>
  <c r="M11" i="2"/>
  <c r="AD2" i="2"/>
  <c r="AF3" i="2"/>
  <c r="H14" i="2"/>
  <c r="R11" i="2"/>
  <c r="L5" i="2"/>
  <c r="I8" i="2"/>
  <c r="Z9" i="2"/>
  <c r="S2" i="2"/>
  <c r="S14" i="2"/>
  <c r="Q4" i="2"/>
  <c r="P6" i="2"/>
  <c r="AB19" i="2"/>
  <c r="AE7" i="2"/>
  <c r="S3" i="2"/>
  <c r="I11" i="2"/>
  <c r="X8" i="2"/>
  <c r="V19" i="2"/>
  <c r="Y7" i="2"/>
  <c r="K4" i="2"/>
  <c r="X9" i="2"/>
  <c r="X2" i="2"/>
  <c r="V7" i="2"/>
  <c r="O19" i="2"/>
  <c r="W14" i="2"/>
  <c r="W18" i="2"/>
  <c r="H5" i="2"/>
  <c r="AD6" i="2"/>
  <c r="P7" i="2"/>
  <c r="M19" i="2"/>
  <c r="L2" i="2"/>
  <c r="L11" i="2"/>
  <c r="AC5" i="2"/>
  <c r="R4" i="2"/>
  <c r="I18" i="2"/>
  <c r="AA16" i="2"/>
  <c r="J8" i="2"/>
  <c r="J4" i="2"/>
  <c r="AD12" i="2"/>
  <c r="K12" i="2"/>
  <c r="T10" i="2"/>
  <c r="AE4" i="2"/>
  <c r="W10" i="2"/>
  <c r="N10" i="2"/>
  <c r="Y6" i="2"/>
  <c r="AC17" i="2"/>
  <c r="O5" i="2"/>
  <c r="AE2" i="2"/>
  <c r="Y9" i="2"/>
  <c r="O8" i="2"/>
  <c r="I17" i="2"/>
  <c r="AA7" i="2"/>
  <c r="U9" i="2"/>
  <c r="AF11" i="2"/>
  <c r="Z19" i="2"/>
  <c r="Q12" i="2"/>
  <c r="U16" i="2"/>
  <c r="O2" i="2"/>
  <c r="AD3" i="2"/>
  <c r="V8" i="2"/>
  <c r="J9" i="2"/>
  <c r="AF7" i="2"/>
  <c r="H17" i="2"/>
  <c r="H7" i="2"/>
  <c r="K5" i="2"/>
  <c r="K3" i="2"/>
  <c r="J11" i="2"/>
  <c r="N6" i="2"/>
  <c r="AC4" i="2"/>
  <c r="Q13" i="2"/>
  <c r="R8" i="2"/>
  <c r="H3" i="2"/>
  <c r="Y2" i="2"/>
  <c r="T6" i="2"/>
  <c r="Z2" i="2"/>
  <c r="AB9" i="2"/>
  <c r="M4" i="2"/>
  <c r="L8" i="2"/>
  <c r="AD15" i="2"/>
  <c r="K8" i="2"/>
  <c r="L18" i="2"/>
  <c r="O3" i="2"/>
  <c r="U10" i="2"/>
  <c r="I4" i="2"/>
  <c r="Y12" i="2"/>
  <c r="Z12" i="2"/>
  <c r="Z11" i="2"/>
  <c r="AB15" i="2"/>
  <c r="O17" i="2"/>
  <c r="T5" i="2"/>
  <c r="N5" i="2"/>
  <c r="H8" i="2"/>
  <c r="P11" i="2"/>
  <c r="L10" i="2"/>
  <c r="Z17" i="2"/>
  <c r="W6" i="2"/>
  <c r="AA19" i="2"/>
  <c r="I6" i="2"/>
  <c r="Z5" i="2"/>
  <c r="AA11" i="2"/>
  <c r="M16" i="2"/>
  <c r="K13" i="2"/>
  <c r="H11" i="2"/>
  <c r="H10" i="2"/>
  <c r="AB2" i="2"/>
  <c r="O10" i="2"/>
  <c r="O9" i="2"/>
  <c r="W9" i="2"/>
  <c r="R7" i="2"/>
  <c r="T12" i="2"/>
  <c r="Y14" i="2"/>
  <c r="M8" i="2"/>
  <c r="AB14" i="2"/>
  <c r="L15" i="2"/>
  <c r="X16" i="2"/>
  <c r="O12" i="2"/>
  <c r="S6" i="2"/>
  <c r="M14" i="2"/>
  <c r="R13" i="2"/>
  <c r="T8" i="2"/>
  <c r="V9" i="2"/>
  <c r="AB5" i="2"/>
  <c r="Q14" i="2"/>
  <c r="X19" i="2"/>
  <c r="Q5" i="2"/>
  <c r="V13" i="2"/>
  <c r="AF15" i="2"/>
  <c r="O14" i="2"/>
  <c r="Y16" i="2"/>
  <c r="AB11" i="2"/>
  <c r="AE5" i="2"/>
  <c r="J13" i="2"/>
  <c r="P10" i="2"/>
  <c r="AC13" i="2"/>
  <c r="AE18" i="2"/>
  <c r="W7" i="2"/>
  <c r="P16" i="2"/>
  <c r="Q2" i="2"/>
  <c r="AB10" i="2"/>
  <c r="P12" i="2"/>
  <c r="K19" i="2"/>
  <c r="AC8" i="2"/>
  <c r="I15" i="2"/>
  <c r="P8" i="2"/>
  <c r="V2" i="2"/>
  <c r="K16" i="2"/>
  <c r="R2" i="2"/>
  <c r="X14" i="2"/>
  <c r="I10" i="2"/>
  <c r="Y13" i="2"/>
  <c r="P4" i="2"/>
  <c r="Y5" i="2"/>
  <c r="AF14" i="2"/>
  <c r="AD18" i="2"/>
  <c r="P19" i="2"/>
  <c r="W13" i="2"/>
  <c r="U3" i="2"/>
  <c r="AB16" i="2"/>
  <c r="AE12" i="2"/>
  <c r="Z10" i="2"/>
  <c r="I7" i="2"/>
  <c r="L13" i="2"/>
  <c r="U5" i="2"/>
  <c r="Q3" i="2"/>
  <c r="V14" i="2"/>
  <c r="W11" i="2"/>
  <c r="J14" i="2"/>
  <c r="M12" i="2"/>
  <c r="X3" i="2"/>
  <c r="Z7" i="2"/>
  <c r="N11" i="2"/>
  <c r="AD9" i="2"/>
  <c r="V10" i="2"/>
  <c r="H4" i="2"/>
  <c r="AD4" i="2"/>
  <c r="H16" i="2"/>
  <c r="AE13" i="2"/>
  <c r="M10" i="2"/>
  <c r="U23" i="2" l="1"/>
  <c r="W15" i="1" s="1"/>
  <c r="V15" i="1" s="1"/>
  <c r="R23" i="2"/>
  <c r="W12" i="1" s="1"/>
  <c r="V12" i="1" s="1"/>
  <c r="V23" i="2"/>
  <c r="W16" i="1" s="1"/>
  <c r="V16" i="1" s="1"/>
  <c r="Q23" i="2"/>
  <c r="W11" i="1" s="1"/>
  <c r="V11" i="1" s="1"/>
  <c r="AB23" i="2"/>
  <c r="W22" i="1" s="1"/>
  <c r="V22" i="1" s="1"/>
  <c r="Z23" i="2"/>
  <c r="W20" i="1" s="1"/>
  <c r="V20" i="1" s="1"/>
  <c r="Y23" i="2"/>
  <c r="W19" i="1" s="1"/>
  <c r="V19" i="1" s="1"/>
  <c r="O23" i="2"/>
  <c r="W9" i="1" s="1"/>
  <c r="V9" i="1" s="1"/>
  <c r="AE23" i="2"/>
  <c r="W25" i="1" s="1"/>
  <c r="V25" i="1" s="1"/>
  <c r="L23" i="2"/>
  <c r="W6" i="1" s="1"/>
  <c r="V6" i="1" s="1"/>
  <c r="X23" i="2"/>
  <c r="W18" i="1" s="1"/>
  <c r="V18" i="1" s="1"/>
  <c r="S23" i="2"/>
  <c r="W13" i="1" s="1"/>
  <c r="V13" i="1" s="1"/>
  <c r="AD23" i="2"/>
  <c r="W24" i="1" s="1"/>
  <c r="V24" i="1" s="1"/>
  <c r="AA23" i="2"/>
  <c r="W21" i="1" s="1"/>
  <c r="V21" i="1" s="1"/>
  <c r="K23" i="2"/>
  <c r="W5" i="1" s="1"/>
  <c r="V5" i="1" s="1"/>
  <c r="AF23" i="2"/>
  <c r="W26" i="1" s="1"/>
  <c r="V26" i="1" s="1"/>
  <c r="I23" i="2"/>
  <c r="W3" i="1" s="1"/>
  <c r="V3" i="1" s="1"/>
  <c r="P23" i="2"/>
  <c r="W10" i="1" s="1"/>
  <c r="V10" i="1" s="1"/>
  <c r="N23" i="2"/>
  <c r="W8" i="1" s="1"/>
  <c r="V8" i="1" s="1"/>
  <c r="J23" i="2"/>
  <c r="W4" i="1" s="1"/>
  <c r="V4" i="1" s="1"/>
  <c r="M23" i="2"/>
  <c r="W7" i="1" s="1"/>
  <c r="V7" i="1" s="1"/>
  <c r="H23" i="2"/>
  <c r="W2" i="1" s="1"/>
  <c r="V2" i="1" s="1"/>
  <c r="T23" i="2"/>
  <c r="W14" i="1" s="1"/>
  <c r="V14" i="1" s="1"/>
  <c r="AC23" i="2"/>
  <c r="W23" i="1" s="1"/>
  <c r="V23" i="1" s="1"/>
  <c r="W23" i="2"/>
  <c r="W17" i="1" s="1"/>
  <c r="V17" i="1" s="1"/>
  <c r="G31" i="1" l="1"/>
  <c r="J32" i="1"/>
  <c r="L31" i="1"/>
  <c r="I29" i="1"/>
  <c r="K30" i="1"/>
  <c r="H31" i="1"/>
  <c r="H28" i="1"/>
  <c r="K28" i="1"/>
  <c r="I28" i="1"/>
  <c r="G28" i="1"/>
  <c r="J28" i="1"/>
  <c r="L28" i="1"/>
  <c r="G29" i="1"/>
  <c r="L30" i="1"/>
  <c r="J29" i="1"/>
  <c r="H30" i="1"/>
  <c r="I32" i="1"/>
  <c r="K31" i="1"/>
  <c r="G32" i="1"/>
  <c r="K29" i="1"/>
  <c r="I31" i="1"/>
  <c r="L32" i="1"/>
  <c r="J30" i="1"/>
  <c r="H32" i="1"/>
  <c r="G30" i="1"/>
  <c r="K32" i="1"/>
  <c r="J31" i="1"/>
  <c r="I30" i="1"/>
  <c r="L29" i="1"/>
  <c r="H29" i="1"/>
  <c r="I36" i="1" l="1"/>
  <c r="I33" i="1"/>
  <c r="H33" i="1"/>
  <c r="H36" i="1"/>
  <c r="K33" i="1"/>
  <c r="K36" i="1"/>
  <c r="L33" i="1"/>
  <c r="L36" i="1"/>
  <c r="J33" i="1"/>
  <c r="J36" i="1"/>
  <c r="G36" i="1"/>
  <c r="G33" i="1"/>
</calcChain>
</file>

<file path=xl/sharedStrings.xml><?xml version="1.0" encoding="utf-8"?>
<sst xmlns="http://schemas.openxmlformats.org/spreadsheetml/2006/main" count="5167" uniqueCount="37">
  <si>
    <t>Orthogonal Array</t>
  </si>
  <si>
    <t>run</t>
  </si>
  <si>
    <t>ε</t>
  </si>
  <si>
    <t>θ</t>
  </si>
  <si>
    <t>η</t>
  </si>
  <si>
    <t>Рe</t>
  </si>
  <si>
    <t>Pi</t>
  </si>
  <si>
    <t>φ</t>
  </si>
  <si>
    <t>ARV</t>
  </si>
  <si>
    <t>Sum</t>
  </si>
  <si>
    <t>Level</t>
  </si>
  <si>
    <t>Range(Delta)</t>
  </si>
  <si>
    <t>ty</t>
  </si>
  <si>
    <t>sz</t>
  </si>
  <si>
    <t>ra</t>
  </si>
  <si>
    <t>Min</t>
  </si>
  <si>
    <t>Aver</t>
  </si>
  <si>
    <t>Montage</t>
  </si>
  <si>
    <t>CyberShake</t>
  </si>
  <si>
    <t>Epigenomics</t>
  </si>
  <si>
    <t>Ligo</t>
  </si>
  <si>
    <t>SUM</t>
  </si>
  <si>
    <t>average</t>
  </si>
  <si>
    <t>sum</t>
  </si>
  <si>
    <r>
      <t>the population size factor</t>
    </r>
    <r>
      <rPr>
        <i/>
        <sz val="11"/>
        <rFont val="等线"/>
        <family val="2"/>
        <charset val="1"/>
      </rPr>
      <t>：</t>
    </r>
    <r>
      <rPr>
        <i/>
        <sz val="11"/>
        <rFont val="Times New Roman"/>
        <family val="1"/>
      </rPr>
      <t>ε</t>
    </r>
  </si>
  <si>
    <r>
      <t>the update rate</t>
    </r>
    <r>
      <rPr>
        <i/>
        <sz val="11"/>
        <rFont val="等线"/>
        <family val="2"/>
        <charset val="1"/>
      </rPr>
      <t>：</t>
    </r>
    <r>
      <rPr>
        <i/>
        <sz val="11"/>
        <rFont val="Times New Roman"/>
        <family val="1"/>
      </rPr>
      <t>θ1</t>
    </r>
    <phoneticPr fontId="9" type="noConversion"/>
  </si>
  <si>
    <r>
      <t>the update rate</t>
    </r>
    <r>
      <rPr>
        <i/>
        <sz val="11"/>
        <rFont val="等线"/>
        <family val="2"/>
        <charset val="1"/>
      </rPr>
      <t>：</t>
    </r>
    <r>
      <rPr>
        <i/>
        <sz val="11"/>
        <rFont val="Times New Roman"/>
        <family val="1"/>
      </rPr>
      <t>θ2</t>
    </r>
    <r>
      <rPr>
        <sz val="11"/>
        <color theme="1"/>
        <rFont val="等线"/>
        <family val="2"/>
        <charset val="134"/>
        <scheme val="minor"/>
      </rPr>
      <t/>
    </r>
  </si>
  <si>
    <r>
      <t>θ</t>
    </r>
    <r>
      <rPr>
        <sz val="11"/>
        <rFont val="Times New Roman"/>
        <family val="1"/>
      </rPr>
      <t>1</t>
    </r>
    <phoneticPr fontId="9" type="noConversion"/>
  </si>
  <si>
    <r>
      <t>θ</t>
    </r>
    <r>
      <rPr>
        <sz val="11"/>
        <rFont val="Times New Roman"/>
        <family val="1"/>
      </rPr>
      <t>2</t>
    </r>
    <r>
      <rPr>
        <sz val="11"/>
        <color theme="1"/>
        <rFont val="等线"/>
        <family val="2"/>
        <charset val="134"/>
        <scheme val="minor"/>
      </rPr>
      <t/>
    </r>
    <phoneticPr fontId="9" type="noConversion"/>
  </si>
  <si>
    <t>prp</t>
    <phoneticPr fontId="9" type="noConversion"/>
  </si>
  <si>
    <r>
      <t>the ratio of runtime in stage 1</t>
    </r>
    <r>
      <rPr>
        <i/>
        <sz val="11"/>
        <rFont val="等线"/>
        <family val="2"/>
        <charset val="1"/>
      </rPr>
      <t>：</t>
    </r>
    <r>
      <rPr>
        <i/>
        <sz val="11"/>
        <rFont val="Times New Roman"/>
        <family val="1"/>
      </rPr>
      <t>σ</t>
    </r>
    <phoneticPr fontId="9" type="noConversion"/>
  </si>
  <si>
    <r>
      <t>the factor of heuristic information</t>
    </r>
    <r>
      <rPr>
        <i/>
        <sz val="11"/>
        <rFont val="等线"/>
        <family val="2"/>
        <charset val="1"/>
      </rPr>
      <t>：</t>
    </r>
    <r>
      <rPr>
        <i/>
        <sz val="11"/>
        <rFont val="Times New Roman"/>
        <family val="1"/>
      </rPr>
      <t>η</t>
    </r>
    <r>
      <rPr>
        <sz val="11"/>
        <rFont val="Times New Roman"/>
        <family val="1"/>
      </rPr>
      <t>φ</t>
    </r>
    <phoneticPr fontId="9" type="noConversion"/>
  </si>
  <si>
    <t>the factor of PRPR: ρ</t>
    <phoneticPr fontId="9" type="noConversion"/>
  </si>
  <si>
    <t>gaussian</t>
  </si>
  <si>
    <t>fft</t>
  </si>
  <si>
    <t>..</t>
    <phoneticPr fontId="9" type="noConversion"/>
  </si>
  <si>
    <t>Montage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</si>
</sst>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_);[Red]\(0\)"/>
    <numFmt numFmtId="177" formatCode="0.0_ "/>
    <numFmt numFmtId="178" formatCode="0.00_);[Red]\(0.00\)"/>
    <numFmt numFmtId="179" formatCode="0.00_ "/>
    <numFmt numFmtId="180" formatCode="0.0000000_ "/>
    <numFmt numFmtId="181" formatCode="_ \¥* #,##0.00_ ;_ \¥* \-#,##0.00_ ;_ \¥* \-??_ ;_ @_ "/>
    <numFmt numFmtId="182" formatCode="0.0000000_);[Red]\(0.0000000\)"/>
    <numFmt numFmtId="183" formatCode="0.00000_ "/>
    <numFmt numFmtId="184" formatCode="0.000000_ "/>
    <numFmt numFmtId="187" formatCode="0.0"/>
  </numFmts>
  <fonts count="12" x14ac:knownFonts="1">
    <font>
      <sz val="11"/>
      <color rgb="FF000000"/>
      <name val="等线"/>
      <family val="2"/>
      <charset val="1"/>
    </font>
    <font>
      <sz val="11"/>
      <color theme="1"/>
      <name val="等线"/>
      <family val="2"/>
      <charset val="134"/>
      <scheme val="minor"/>
    </font>
    <font>
      <sz val="11"/>
      <name val="等线"/>
      <family val="2"/>
      <charset val="1"/>
    </font>
    <font>
      <sz val="11"/>
      <name val="Times New Roman"/>
      <family val="1"/>
      <charset val="1"/>
    </font>
    <font>
      <i/>
      <sz val="11"/>
      <name val="Times New Roman"/>
      <family val="1"/>
      <charset val="1"/>
    </font>
    <font>
      <i/>
      <sz val="11"/>
      <name val="Ubuntu"/>
      <family val="1"/>
    </font>
    <font>
      <i/>
      <sz val="11"/>
      <name val="等线"/>
      <family val="2"/>
      <charset val="1"/>
    </font>
    <font>
      <sz val="11"/>
      <color rgb="FFFF0000"/>
      <name val="等线"/>
      <family val="2"/>
      <charset val="1"/>
    </font>
    <font>
      <sz val="11"/>
      <color rgb="FF000000"/>
      <name val="Times New Roman"/>
      <family val="1"/>
      <charset val="1"/>
    </font>
    <font>
      <sz val="9"/>
      <name val="宋体"/>
      <family val="3"/>
      <charset val="134"/>
    </font>
    <font>
      <sz val="11"/>
      <name val="Times New Roman"/>
      <family val="1"/>
    </font>
    <font>
      <i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2" fillId="0" borderId="1" xfId="0" applyNumberFormat="1" applyFont="1" applyBorder="1"/>
    <xf numFmtId="180" fontId="2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180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82" fontId="0" fillId="2" borderId="1" xfId="0" applyNumberFormat="1" applyFill="1" applyBorder="1"/>
    <xf numFmtId="0" fontId="6" fillId="0" borderId="1" xfId="0" applyFont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82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/>
    <xf numFmtId="179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/>
    <xf numFmtId="183" fontId="8" fillId="0" borderId="1" xfId="0" applyNumberFormat="1" applyFont="1" applyBorder="1" applyAlignment="1">
      <alignment horizontal="center" vertical="center"/>
    </xf>
    <xf numFmtId="183" fontId="0" fillId="0" borderId="0" xfId="0" applyNumberFormat="1"/>
    <xf numFmtId="179" fontId="0" fillId="0" borderId="0" xfId="0" applyNumberFormat="1"/>
    <xf numFmtId="179" fontId="0" fillId="0" borderId="0" xfId="0" applyNumberFormat="1" applyAlignment="1">
      <alignment horizontal="center"/>
    </xf>
    <xf numFmtId="184" fontId="0" fillId="0" borderId="0" xfId="0" applyNumberFormat="1"/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83" fontId="10" fillId="0" borderId="2" xfId="0" applyNumberFormat="1" applyFont="1" applyBorder="1" applyAlignment="1">
      <alignment horizontal="center" vertical="center"/>
    </xf>
    <xf numFmtId="183" fontId="3" fillId="0" borderId="1" xfId="0" applyNumberFormat="1" applyFont="1" applyBorder="1"/>
    <xf numFmtId="0" fontId="1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180" fontId="3" fillId="4" borderId="1" xfId="0" applyNumberFormat="1" applyFont="1" applyFill="1" applyBorder="1" applyAlignment="1">
      <alignment horizontal="center" vertical="center"/>
    </xf>
    <xf numFmtId="180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181" fontId="2" fillId="3" borderId="1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3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87" fontId="0" fillId="0" borderId="0" xfId="0" applyNumberFormat="1"/>
    <xf numFmtId="0" fontId="3" fillId="0" borderId="1" xfId="0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518040</xdr:colOff>
      <xdr:row>22</xdr:row>
      <xdr:rowOff>192600</xdr:rowOff>
    </xdr:from>
    <xdr:to>
      <xdr:col>6</xdr:col>
      <xdr:colOff>518400</xdr:colOff>
      <xdr:row>23</xdr:row>
      <xdr:rowOff>164160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423400" y="4551120"/>
          <a:ext cx="360" cy="169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5"/>
  <sheetViews>
    <sheetView tabSelected="1" zoomScale="80" zoomScaleNormal="80" workbookViewId="0">
      <selection activeCell="C4" sqref="C4"/>
    </sheetView>
  </sheetViews>
  <sheetFormatPr defaultRowHeight="14" x14ac:dyDescent="0.3"/>
  <cols>
    <col min="1" max="1" width="32.5"/>
    <col min="2" max="5" width="6.08203125"/>
    <col min="6" max="6" width="6.25"/>
    <col min="7" max="12" width="10.5" bestFit="1" customWidth="1"/>
    <col min="13" max="13" width="6.25"/>
    <col min="14" max="14" width="4.5"/>
    <col min="15" max="19" width="6"/>
    <col min="20" max="20" width="6.5"/>
    <col min="21" max="21" width="4.58203125"/>
    <col min="22" max="23" width="11.5"/>
    <col min="24" max="24" width="14.08203125"/>
    <col min="25" max="25" width="11.08203125"/>
    <col min="26" max="27" width="9.33203125"/>
    <col min="28" max="28" width="10.1640625" bestFit="1" customWidth="1"/>
    <col min="29" max="29" width="12.58203125"/>
    <col min="30" max="30" width="10.1640625" bestFit="1" customWidth="1"/>
    <col min="31" max="34" width="9.33203125"/>
    <col min="35" max="37" width="10.83203125"/>
    <col min="38" max="1025" width="9.33203125"/>
  </cols>
  <sheetData>
    <row r="1" spans="1:48" s="11" customFormat="1" ht="15.65" customHeight="1" x14ac:dyDescent="0.3">
      <c r="A1" s="46"/>
      <c r="B1" s="2">
        <v>1</v>
      </c>
      <c r="C1" s="2">
        <v>2</v>
      </c>
      <c r="D1" s="2">
        <v>3</v>
      </c>
      <c r="E1" s="2">
        <v>4</v>
      </c>
      <c r="F1" s="3">
        <v>5</v>
      </c>
      <c r="G1" s="68" t="s">
        <v>0</v>
      </c>
      <c r="H1" s="68"/>
      <c r="I1" s="68"/>
      <c r="J1" s="68"/>
      <c r="K1" s="68"/>
      <c r="L1" s="68"/>
      <c r="M1" s="5"/>
      <c r="N1" s="2" t="s">
        <v>1</v>
      </c>
      <c r="O1" s="6" t="s">
        <v>2</v>
      </c>
      <c r="P1" s="6" t="s">
        <v>3</v>
      </c>
      <c r="Q1" s="7" t="s">
        <v>4</v>
      </c>
      <c r="R1" s="6" t="s">
        <v>5</v>
      </c>
      <c r="S1" s="6" t="s">
        <v>6</v>
      </c>
      <c r="T1" s="6" t="s">
        <v>7</v>
      </c>
      <c r="U1" s="8"/>
      <c r="V1" s="9" t="s">
        <v>8</v>
      </c>
      <c r="W1" s="57" t="s">
        <v>9</v>
      </c>
      <c r="X1" s="10"/>
      <c r="Y1" s="10"/>
      <c r="Z1" s="10"/>
      <c r="AA1" s="10"/>
      <c r="AB1" s="10"/>
      <c r="AC1" s="10"/>
      <c r="AD1" s="10"/>
      <c r="AF1" s="10"/>
      <c r="AG1" s="10"/>
      <c r="AH1" s="10"/>
      <c r="AI1" s="10"/>
      <c r="AJ1" s="10"/>
      <c r="AK1" s="10"/>
      <c r="AL1" s="10"/>
      <c r="AM1" s="10"/>
      <c r="AO1" s="10"/>
      <c r="AP1" s="12"/>
      <c r="AQ1" s="12"/>
      <c r="AR1" s="12"/>
      <c r="AS1" s="10"/>
      <c r="AT1" s="12"/>
      <c r="AU1" s="12"/>
      <c r="AV1" s="12"/>
    </row>
    <row r="2" spans="1:48" s="58" customFormat="1" ht="15.65" customHeight="1" x14ac:dyDescent="0.3">
      <c r="A2" s="50" t="s">
        <v>24</v>
      </c>
      <c r="B2" s="63">
        <v>3</v>
      </c>
      <c r="C2" s="73">
        <v>3.5</v>
      </c>
      <c r="D2" s="63">
        <v>4</v>
      </c>
      <c r="E2" s="66">
        <v>4.5</v>
      </c>
      <c r="F2" s="63">
        <v>5</v>
      </c>
      <c r="G2" s="51">
        <v>1</v>
      </c>
      <c r="H2" s="51">
        <v>1</v>
      </c>
      <c r="I2" s="51">
        <v>1</v>
      </c>
      <c r="J2" s="72">
        <v>1</v>
      </c>
      <c r="K2" s="72">
        <v>1</v>
      </c>
      <c r="L2" s="72">
        <v>1</v>
      </c>
      <c r="M2" s="52"/>
      <c r="N2" s="53">
        <v>1</v>
      </c>
      <c r="O2" s="54">
        <f t="shared" ref="O2:O26" si="0">HLOOKUP(G2,$B$1:$F$7,2)</f>
        <v>3</v>
      </c>
      <c r="P2" s="54">
        <f t="shared" ref="P2:P26" si="1">HLOOKUP(H2,$B$1:$F$7,3)</f>
        <v>0.01</v>
      </c>
      <c r="Q2" s="54">
        <f t="shared" ref="Q2:Q26" si="2">HLOOKUP(I2,$B$1:$F$7,4)</f>
        <v>0.01</v>
      </c>
      <c r="R2" s="54">
        <f t="shared" ref="R2:R26" si="3">HLOOKUP(J2,$B$1:$F$7,5)</f>
        <v>1.5</v>
      </c>
      <c r="S2" s="54">
        <f t="shared" ref="S2:S26" si="4">HLOOKUP(K2,$B$1:$F$7,6)</f>
        <v>0.45</v>
      </c>
      <c r="T2" s="54">
        <f t="shared" ref="T2:T26" si="5">HLOOKUP(L2,$B$1:$F$7,7)</f>
        <v>0.7</v>
      </c>
      <c r="U2" s="55"/>
      <c r="V2" s="56">
        <f ca="1">W2/180</f>
        <v>3.7706684193087024E-3</v>
      </c>
      <c r="W2" s="56">
        <f ca="1">Total!H23</f>
        <v>0.67872031547556644</v>
      </c>
      <c r="X2" s="57"/>
      <c r="Y2" s="57"/>
      <c r="Z2" s="57"/>
      <c r="AB2" s="57"/>
      <c r="AC2" s="57"/>
      <c r="AD2" s="57"/>
      <c r="AG2" s="57"/>
      <c r="AH2" s="57"/>
      <c r="AI2" s="57"/>
      <c r="AK2" s="57"/>
      <c r="AL2" s="57"/>
      <c r="AM2" s="57"/>
      <c r="AP2" s="57"/>
      <c r="AQ2" s="57"/>
      <c r="AR2" s="57"/>
      <c r="AT2" s="57"/>
      <c r="AU2" s="57"/>
      <c r="AV2" s="57"/>
    </row>
    <row r="3" spans="1:48" ht="15.65" customHeight="1" x14ac:dyDescent="0.3">
      <c r="A3" s="47" t="s">
        <v>25</v>
      </c>
      <c r="B3" s="63">
        <v>0.01</v>
      </c>
      <c r="C3" s="66">
        <v>0.02</v>
      </c>
      <c r="D3" s="73">
        <v>0.03</v>
      </c>
      <c r="E3" s="63">
        <v>0.04</v>
      </c>
      <c r="F3" s="63">
        <v>0.05</v>
      </c>
      <c r="G3" s="9">
        <v>1</v>
      </c>
      <c r="H3" s="9">
        <v>2</v>
      </c>
      <c r="I3" s="9">
        <v>3</v>
      </c>
      <c r="J3" s="72">
        <v>4</v>
      </c>
      <c r="K3" s="72">
        <v>5</v>
      </c>
      <c r="L3" s="72">
        <v>2</v>
      </c>
      <c r="M3" s="4"/>
      <c r="N3" s="13">
        <v>2</v>
      </c>
      <c r="O3" s="14">
        <f t="shared" si="0"/>
        <v>3</v>
      </c>
      <c r="P3" s="14">
        <f t="shared" si="1"/>
        <v>0.02</v>
      </c>
      <c r="Q3" s="14">
        <f t="shared" si="2"/>
        <v>0.03</v>
      </c>
      <c r="R3" s="14">
        <f t="shared" si="3"/>
        <v>3</v>
      </c>
      <c r="S3" s="14">
        <f t="shared" si="4"/>
        <v>0.65</v>
      </c>
      <c r="T3" s="14">
        <f t="shared" si="5"/>
        <v>0.75</v>
      </c>
      <c r="U3" s="17"/>
      <c r="V3" s="56">
        <f t="shared" ref="V3:V26" ca="1" si="6">W3/180</f>
        <v>3.6123756701877553E-3</v>
      </c>
      <c r="W3" s="15">
        <f ca="1">Total!I23</f>
        <v>0.65022762063379591</v>
      </c>
      <c r="X3" s="18"/>
      <c r="Y3" s="16"/>
      <c r="Z3" s="16"/>
      <c r="AB3" s="16"/>
      <c r="AC3" s="16"/>
      <c r="AD3" s="16"/>
      <c r="AG3" s="16"/>
      <c r="AH3" s="16"/>
      <c r="AI3" s="16"/>
      <c r="AK3" s="16"/>
      <c r="AL3" s="16"/>
      <c r="AM3" s="16"/>
      <c r="AP3" s="16"/>
      <c r="AQ3" s="16"/>
      <c r="AR3" s="16"/>
      <c r="AT3" s="16"/>
      <c r="AU3" s="16"/>
      <c r="AV3" s="16"/>
    </row>
    <row r="4" spans="1:48" ht="15.65" customHeight="1" x14ac:dyDescent="0.3">
      <c r="A4" s="47" t="s">
        <v>26</v>
      </c>
      <c r="B4" s="63">
        <v>0.01</v>
      </c>
      <c r="C4" s="66">
        <v>0.02</v>
      </c>
      <c r="D4" s="73">
        <v>0.03</v>
      </c>
      <c r="E4" s="63">
        <v>0.04</v>
      </c>
      <c r="F4" s="63">
        <v>0.05</v>
      </c>
      <c r="G4" s="9">
        <v>1</v>
      </c>
      <c r="H4" s="9">
        <v>3</v>
      </c>
      <c r="I4" s="9">
        <v>5</v>
      </c>
      <c r="J4" s="72">
        <v>2</v>
      </c>
      <c r="K4" s="72">
        <v>4</v>
      </c>
      <c r="L4" s="72">
        <v>3</v>
      </c>
      <c r="M4" s="4"/>
      <c r="N4" s="13">
        <v>3</v>
      </c>
      <c r="O4" s="14">
        <f t="shared" si="0"/>
        <v>3</v>
      </c>
      <c r="P4" s="14">
        <f t="shared" si="1"/>
        <v>0.03</v>
      </c>
      <c r="Q4" s="14">
        <f t="shared" si="2"/>
        <v>0.05</v>
      </c>
      <c r="R4" s="14">
        <f t="shared" si="3"/>
        <v>2</v>
      </c>
      <c r="S4" s="14">
        <f t="shared" si="4"/>
        <v>0.6</v>
      </c>
      <c r="T4" s="14">
        <f t="shared" si="5"/>
        <v>0.8</v>
      </c>
      <c r="U4" s="5"/>
      <c r="V4" s="56">
        <f t="shared" ca="1" si="6"/>
        <v>3.37207227420882E-3</v>
      </c>
      <c r="W4" s="15">
        <f ca="1">Total!J23</f>
        <v>0.60697300935758758</v>
      </c>
      <c r="X4" s="18"/>
      <c r="Y4" s="16"/>
      <c r="Z4" s="16"/>
      <c r="AB4" s="16"/>
      <c r="AC4" s="16"/>
      <c r="AD4" s="16"/>
      <c r="AG4" s="16"/>
      <c r="AH4" s="16"/>
      <c r="AI4" s="16"/>
      <c r="AK4" s="16"/>
      <c r="AL4" s="16"/>
      <c r="AM4" s="16"/>
      <c r="AP4" s="16"/>
      <c r="AQ4" s="16"/>
      <c r="AR4" s="16"/>
      <c r="AT4" s="16"/>
      <c r="AU4" s="16"/>
      <c r="AV4" s="16"/>
    </row>
    <row r="5" spans="1:48" s="58" customFormat="1" ht="15.65" customHeight="1" x14ac:dyDescent="0.3">
      <c r="A5" s="50" t="s">
        <v>31</v>
      </c>
      <c r="B5" s="63">
        <v>1.5</v>
      </c>
      <c r="C5" s="63">
        <v>2</v>
      </c>
      <c r="D5" s="66">
        <v>2.5</v>
      </c>
      <c r="E5" s="63">
        <v>3</v>
      </c>
      <c r="F5" s="63">
        <v>3.5</v>
      </c>
      <c r="G5" s="51">
        <v>1</v>
      </c>
      <c r="H5" s="51">
        <v>4</v>
      </c>
      <c r="I5" s="51">
        <v>2</v>
      </c>
      <c r="J5" s="51">
        <v>5</v>
      </c>
      <c r="K5" s="51">
        <v>3</v>
      </c>
      <c r="L5" s="51">
        <v>4</v>
      </c>
      <c r="M5" s="52"/>
      <c r="N5" s="53">
        <v>4</v>
      </c>
      <c r="O5" s="54">
        <f t="shared" si="0"/>
        <v>3</v>
      </c>
      <c r="P5" s="54">
        <f t="shared" si="1"/>
        <v>0.04</v>
      </c>
      <c r="Q5" s="54">
        <f t="shared" si="2"/>
        <v>0.02</v>
      </c>
      <c r="R5" s="54">
        <f t="shared" si="3"/>
        <v>3.5</v>
      </c>
      <c r="S5" s="54">
        <f t="shared" si="4"/>
        <v>0.55000000000000004</v>
      </c>
      <c r="T5" s="54">
        <f t="shared" si="5"/>
        <v>0.85</v>
      </c>
      <c r="U5" s="55"/>
      <c r="V5" s="56">
        <f t="shared" ca="1" si="6"/>
        <v>3.2690682679480387E-3</v>
      </c>
      <c r="W5" s="56">
        <f ca="1">Total!K23</f>
        <v>0.58843228823064697</v>
      </c>
      <c r="X5" s="60"/>
      <c r="Y5" s="57"/>
      <c r="Z5" s="57"/>
      <c r="AB5" s="57"/>
      <c r="AC5" s="57"/>
      <c r="AD5" s="57"/>
      <c r="AG5" s="57"/>
      <c r="AH5" s="57"/>
      <c r="AI5" s="57"/>
      <c r="AK5" s="57"/>
      <c r="AL5" s="57"/>
      <c r="AM5" s="57"/>
      <c r="AP5" s="57"/>
      <c r="AQ5" s="57"/>
      <c r="AR5" s="57"/>
      <c r="AT5" s="57"/>
      <c r="AU5" s="57"/>
      <c r="AV5" s="57"/>
    </row>
    <row r="6" spans="1:48" ht="15.65" customHeight="1" x14ac:dyDescent="0.3">
      <c r="A6" s="47" t="s">
        <v>32</v>
      </c>
      <c r="B6" s="63">
        <v>0.45</v>
      </c>
      <c r="C6" s="63">
        <v>0.5</v>
      </c>
      <c r="D6" s="66">
        <v>0.55000000000000004</v>
      </c>
      <c r="E6" s="63">
        <v>0.6</v>
      </c>
      <c r="F6" s="63">
        <v>0.65</v>
      </c>
      <c r="G6" s="9">
        <v>1</v>
      </c>
      <c r="H6" s="9">
        <v>5</v>
      </c>
      <c r="I6" s="9">
        <v>4</v>
      </c>
      <c r="J6" s="9">
        <v>3</v>
      </c>
      <c r="K6" s="9">
        <v>2</v>
      </c>
      <c r="L6" s="9">
        <v>5</v>
      </c>
      <c r="M6" s="4"/>
      <c r="N6" s="13">
        <v>5</v>
      </c>
      <c r="O6" s="14">
        <f t="shared" si="0"/>
        <v>3</v>
      </c>
      <c r="P6" s="14">
        <f t="shared" si="1"/>
        <v>0.05</v>
      </c>
      <c r="Q6" s="14">
        <f t="shared" si="2"/>
        <v>0.04</v>
      </c>
      <c r="R6" s="14">
        <f t="shared" si="3"/>
        <v>2.5</v>
      </c>
      <c r="S6" s="14">
        <f t="shared" si="4"/>
        <v>0.5</v>
      </c>
      <c r="T6" s="14">
        <f t="shared" si="5"/>
        <v>0.9</v>
      </c>
      <c r="U6" s="5"/>
      <c r="V6" s="56">
        <f t="shared" ca="1" si="6"/>
        <v>3.387318144755379E-3</v>
      </c>
      <c r="W6" s="15">
        <f ca="1">Total!L23</f>
        <v>0.60971726605596821</v>
      </c>
      <c r="X6" s="18"/>
      <c r="Y6" s="16"/>
      <c r="Z6" s="16"/>
      <c r="AB6" s="16"/>
      <c r="AC6" s="16"/>
      <c r="AD6" s="16"/>
      <c r="AG6" s="16"/>
      <c r="AH6" s="16"/>
      <c r="AI6" s="16"/>
      <c r="AK6" s="16"/>
      <c r="AL6" s="16"/>
      <c r="AM6" s="16"/>
      <c r="AP6" s="16"/>
      <c r="AQ6" s="16"/>
      <c r="AR6" s="16"/>
      <c r="AT6" s="16"/>
      <c r="AU6" s="16"/>
      <c r="AV6" s="16"/>
    </row>
    <row r="7" spans="1:48" s="20" customFormat="1" ht="15.65" customHeight="1" x14ac:dyDescent="0.3">
      <c r="A7" s="47" t="s">
        <v>30</v>
      </c>
      <c r="B7" s="65">
        <v>0.7</v>
      </c>
      <c r="C7" s="63">
        <v>0.75</v>
      </c>
      <c r="D7" s="66">
        <v>0.8</v>
      </c>
      <c r="E7" s="73">
        <v>0.85</v>
      </c>
      <c r="F7" s="65">
        <v>0.9</v>
      </c>
      <c r="G7" s="9">
        <v>2</v>
      </c>
      <c r="H7" s="9">
        <v>1</v>
      </c>
      <c r="I7" s="9">
        <v>5</v>
      </c>
      <c r="J7" s="9">
        <v>4</v>
      </c>
      <c r="K7" s="9">
        <v>3</v>
      </c>
      <c r="L7" s="9">
        <v>5</v>
      </c>
      <c r="M7" s="4"/>
      <c r="N7" s="13">
        <v>6</v>
      </c>
      <c r="O7" s="14">
        <f t="shared" si="0"/>
        <v>3.5</v>
      </c>
      <c r="P7" s="14">
        <f t="shared" si="1"/>
        <v>0.01</v>
      </c>
      <c r="Q7" s="14">
        <f t="shared" si="2"/>
        <v>0.05</v>
      </c>
      <c r="R7" s="14">
        <f t="shared" si="3"/>
        <v>3</v>
      </c>
      <c r="S7" s="14">
        <f t="shared" si="4"/>
        <v>0.55000000000000004</v>
      </c>
      <c r="T7" s="14">
        <f t="shared" si="5"/>
        <v>0.9</v>
      </c>
      <c r="U7" s="5"/>
      <c r="V7" s="56">
        <f t="shared" ca="1" si="6"/>
        <v>3.1634293520185703E-3</v>
      </c>
      <c r="W7" s="15">
        <f ca="1">Total!M23</f>
        <v>0.56941728336334263</v>
      </c>
      <c r="X7" s="19"/>
      <c r="Y7" s="19"/>
      <c r="Z7" s="19"/>
      <c r="AB7" s="19"/>
      <c r="AC7" s="19"/>
      <c r="AD7" s="19"/>
      <c r="AG7" s="19"/>
      <c r="AH7" s="19"/>
      <c r="AI7" s="19"/>
      <c r="AK7" s="19"/>
      <c r="AL7" s="19"/>
      <c r="AM7" s="19"/>
      <c r="AP7" s="19"/>
      <c r="AQ7" s="19"/>
      <c r="AR7" s="19"/>
      <c r="AT7" s="19"/>
      <c r="AU7" s="19"/>
      <c r="AV7" s="19"/>
    </row>
    <row r="8" spans="1:48" s="55" customFormat="1" ht="15.65" customHeight="1" x14ac:dyDescent="0.3">
      <c r="A8" s="62"/>
      <c r="B8" s="51"/>
      <c r="C8" s="62"/>
      <c r="D8" s="62"/>
      <c r="E8" s="62"/>
      <c r="F8" s="62"/>
      <c r="G8" s="51">
        <v>2</v>
      </c>
      <c r="H8" s="51">
        <v>2</v>
      </c>
      <c r="I8" s="51">
        <v>2</v>
      </c>
      <c r="J8" s="51">
        <v>2</v>
      </c>
      <c r="K8" s="51">
        <v>2</v>
      </c>
      <c r="L8" s="51">
        <v>1</v>
      </c>
      <c r="M8" s="52"/>
      <c r="N8" s="13">
        <v>7</v>
      </c>
      <c r="O8" s="54">
        <f t="shared" si="0"/>
        <v>3.5</v>
      </c>
      <c r="P8" s="54">
        <f t="shared" si="1"/>
        <v>0.02</v>
      </c>
      <c r="Q8" s="54">
        <f t="shared" si="2"/>
        <v>0.02</v>
      </c>
      <c r="R8" s="54">
        <f t="shared" si="3"/>
        <v>2</v>
      </c>
      <c r="S8" s="54">
        <f t="shared" si="4"/>
        <v>0.5</v>
      </c>
      <c r="T8" s="54">
        <f t="shared" si="5"/>
        <v>0.7</v>
      </c>
      <c r="V8" s="56">
        <f t="shared" ca="1" si="6"/>
        <v>3.2830557587285565E-3</v>
      </c>
      <c r="W8" s="56">
        <f ca="1">Total!N23</f>
        <v>0.5909500365711402</v>
      </c>
      <c r="X8" s="60"/>
      <c r="Y8" s="60"/>
      <c r="Z8" s="60"/>
      <c r="AB8" s="57"/>
      <c r="AC8" s="60"/>
      <c r="AD8" s="60"/>
      <c r="AG8" s="60"/>
      <c r="AH8" s="60"/>
      <c r="AI8" s="60"/>
      <c r="AK8" s="60"/>
      <c r="AL8" s="60"/>
      <c r="AM8" s="60"/>
      <c r="AP8" s="60"/>
      <c r="AQ8" s="60"/>
      <c r="AR8" s="60"/>
      <c r="AT8" s="60"/>
      <c r="AU8" s="60"/>
      <c r="AV8" s="60"/>
    </row>
    <row r="9" spans="1:48" ht="15.65" customHeight="1" x14ac:dyDescent="0.3">
      <c r="A9" s="1"/>
      <c r="B9" s="2"/>
      <c r="C9" s="2"/>
      <c r="D9" s="2"/>
      <c r="E9" s="2"/>
      <c r="F9" s="5"/>
      <c r="G9" s="9">
        <v>2</v>
      </c>
      <c r="H9" s="9">
        <v>3</v>
      </c>
      <c r="I9" s="9">
        <v>4</v>
      </c>
      <c r="J9" s="9">
        <v>5</v>
      </c>
      <c r="K9" s="9">
        <v>1</v>
      </c>
      <c r="L9" s="9">
        <v>2</v>
      </c>
      <c r="M9" s="4"/>
      <c r="N9" s="13">
        <v>8</v>
      </c>
      <c r="O9" s="14">
        <f t="shared" si="0"/>
        <v>3.5</v>
      </c>
      <c r="P9" s="14">
        <f t="shared" si="1"/>
        <v>0.03</v>
      </c>
      <c r="Q9" s="14">
        <f t="shared" si="2"/>
        <v>0.04</v>
      </c>
      <c r="R9" s="14">
        <f t="shared" si="3"/>
        <v>3.5</v>
      </c>
      <c r="S9" s="14">
        <f t="shared" si="4"/>
        <v>0.45</v>
      </c>
      <c r="T9" s="14">
        <f t="shared" si="5"/>
        <v>0.75</v>
      </c>
      <c r="U9" s="5"/>
      <c r="V9" s="56">
        <f t="shared" ca="1" si="6"/>
        <v>2.9902023103432324E-3</v>
      </c>
      <c r="W9" s="15">
        <f ca="1">Total!O23</f>
        <v>0.53823641586178184</v>
      </c>
      <c r="X9" s="16"/>
      <c r="Y9" s="16"/>
      <c r="Z9" s="16"/>
      <c r="AB9" s="16"/>
      <c r="AC9" s="16"/>
      <c r="AD9" s="16"/>
      <c r="AG9" s="16"/>
      <c r="AH9" s="16"/>
      <c r="AI9" s="16"/>
      <c r="AK9" s="16"/>
      <c r="AL9" s="16"/>
      <c r="AM9" s="16"/>
      <c r="AP9" s="16"/>
      <c r="AQ9" s="16"/>
      <c r="AR9" s="16"/>
      <c r="AT9" s="16"/>
      <c r="AU9" s="16"/>
      <c r="AV9" s="16"/>
    </row>
    <row r="10" spans="1:48" s="58" customFormat="1" ht="15.65" customHeight="1" x14ac:dyDescent="0.3">
      <c r="A10" s="59"/>
      <c r="B10" s="55"/>
      <c r="C10" s="55"/>
      <c r="D10" s="55"/>
      <c r="E10" s="55"/>
      <c r="F10" s="55"/>
      <c r="G10" s="51">
        <v>2</v>
      </c>
      <c r="H10" s="51">
        <v>4</v>
      </c>
      <c r="I10" s="51">
        <v>1</v>
      </c>
      <c r="J10" s="51">
        <v>3</v>
      </c>
      <c r="K10" s="51">
        <v>5</v>
      </c>
      <c r="L10" s="51">
        <v>3</v>
      </c>
      <c r="M10" s="52"/>
      <c r="N10" s="13">
        <v>9</v>
      </c>
      <c r="O10" s="54">
        <f t="shared" si="0"/>
        <v>3.5</v>
      </c>
      <c r="P10" s="54">
        <f t="shared" si="1"/>
        <v>0.04</v>
      </c>
      <c r="Q10" s="54">
        <f t="shared" si="2"/>
        <v>0.01</v>
      </c>
      <c r="R10" s="54">
        <f t="shared" si="3"/>
        <v>2.5</v>
      </c>
      <c r="S10" s="54">
        <f t="shared" si="4"/>
        <v>0.65</v>
      </c>
      <c r="T10" s="54">
        <f t="shared" si="5"/>
        <v>0.8</v>
      </c>
      <c r="U10" s="55"/>
      <c r="V10" s="56">
        <f t="shared" ca="1" si="6"/>
        <v>3.2496968219588892E-3</v>
      </c>
      <c r="W10" s="56">
        <f ca="1">Total!P23</f>
        <v>0.58494542795260007</v>
      </c>
      <c r="X10" s="57"/>
      <c r="Y10" s="57"/>
      <c r="Z10" s="57"/>
      <c r="AB10" s="57"/>
      <c r="AC10" s="57"/>
      <c r="AD10" s="57"/>
      <c r="AG10" s="57"/>
      <c r="AH10" s="57"/>
      <c r="AI10" s="57"/>
      <c r="AK10" s="57"/>
      <c r="AL10" s="57"/>
      <c r="AM10" s="57"/>
      <c r="AP10" s="57"/>
      <c r="AQ10" s="57"/>
      <c r="AR10" s="57"/>
      <c r="AT10" s="57"/>
      <c r="AU10" s="57"/>
      <c r="AV10" s="57"/>
    </row>
    <row r="11" spans="1:48" s="5" customFormat="1" ht="15.65" customHeight="1" x14ac:dyDescent="0.3">
      <c r="A11" s="46"/>
      <c r="B11" s="13"/>
      <c r="C11" s="13"/>
      <c r="D11" s="13"/>
      <c r="E11" s="13"/>
      <c r="F11" s="64"/>
      <c r="G11" s="9">
        <v>2</v>
      </c>
      <c r="H11" s="9">
        <v>5</v>
      </c>
      <c r="I11" s="9">
        <v>3</v>
      </c>
      <c r="J11" s="9">
        <v>1</v>
      </c>
      <c r="K11" s="9">
        <v>4</v>
      </c>
      <c r="L11" s="9">
        <v>4</v>
      </c>
      <c r="M11" s="4"/>
      <c r="N11" s="13">
        <v>10</v>
      </c>
      <c r="O11" s="14">
        <f t="shared" si="0"/>
        <v>3.5</v>
      </c>
      <c r="P11" s="14">
        <f t="shared" si="1"/>
        <v>0.05</v>
      </c>
      <c r="Q11" s="14">
        <f t="shared" si="2"/>
        <v>0.03</v>
      </c>
      <c r="R11" s="14">
        <f t="shared" si="3"/>
        <v>1.5</v>
      </c>
      <c r="S11" s="14">
        <f t="shared" si="4"/>
        <v>0.6</v>
      </c>
      <c r="T11" s="14">
        <f t="shared" si="5"/>
        <v>0.85</v>
      </c>
      <c r="V11" s="56">
        <f t="shared" ca="1" si="6"/>
        <v>2.9076745607808474E-3</v>
      </c>
      <c r="W11" s="56">
        <f ca="1">Total!Q23</f>
        <v>0.52338142094055251</v>
      </c>
      <c r="X11" s="18"/>
      <c r="Y11" s="18"/>
      <c r="Z11" s="18"/>
      <c r="AB11" s="18"/>
      <c r="AC11" s="18"/>
      <c r="AD11" s="18"/>
      <c r="AG11" s="18"/>
      <c r="AH11" s="18"/>
      <c r="AI11" s="18"/>
      <c r="AK11" s="18"/>
      <c r="AL11" s="18"/>
      <c r="AM11" s="18"/>
      <c r="AP11" s="18"/>
      <c r="AQ11" s="18"/>
      <c r="AR11" s="18"/>
      <c r="AT11" s="18"/>
      <c r="AU11" s="18"/>
      <c r="AV11" s="18"/>
    </row>
    <row r="12" spans="1:48" s="55" customFormat="1" ht="15.65" customHeight="1" x14ac:dyDescent="0.3">
      <c r="A12" s="67"/>
      <c r="B12" s="63"/>
      <c r="C12" s="63"/>
      <c r="D12" s="63"/>
      <c r="E12" s="63"/>
      <c r="F12" s="63"/>
      <c r="G12" s="51">
        <v>3</v>
      </c>
      <c r="H12" s="51">
        <v>1</v>
      </c>
      <c r="I12" s="51">
        <v>4</v>
      </c>
      <c r="J12" s="51">
        <v>2</v>
      </c>
      <c r="K12" s="51">
        <v>5</v>
      </c>
      <c r="L12" s="51">
        <v>4</v>
      </c>
      <c r="M12" s="52"/>
      <c r="N12" s="13">
        <v>11</v>
      </c>
      <c r="O12" s="54">
        <f t="shared" si="0"/>
        <v>4</v>
      </c>
      <c r="P12" s="54">
        <f t="shared" si="1"/>
        <v>0.01</v>
      </c>
      <c r="Q12" s="54">
        <f t="shared" si="2"/>
        <v>0.04</v>
      </c>
      <c r="R12" s="54">
        <f t="shared" si="3"/>
        <v>2</v>
      </c>
      <c r="S12" s="54">
        <f t="shared" si="4"/>
        <v>0.65</v>
      </c>
      <c r="T12" s="54">
        <f t="shared" si="5"/>
        <v>0.85</v>
      </c>
      <c r="V12" s="56">
        <f t="shared" ca="1" si="6"/>
        <v>3.13851623165204E-3</v>
      </c>
      <c r="W12" s="56">
        <f ca="1">Total!R23</f>
        <v>0.5649329216973672</v>
      </c>
      <c r="X12" s="60"/>
      <c r="Y12" s="60"/>
      <c r="Z12" s="60"/>
      <c r="AB12" s="60"/>
      <c r="AC12" s="60"/>
      <c r="AD12" s="60"/>
      <c r="AG12" s="60"/>
      <c r="AH12" s="60"/>
      <c r="AI12" s="60"/>
      <c r="AK12" s="60"/>
      <c r="AL12" s="60"/>
      <c r="AM12" s="60"/>
      <c r="AP12" s="60"/>
      <c r="AQ12" s="60"/>
      <c r="AR12" s="60"/>
      <c r="AT12" s="60"/>
      <c r="AU12" s="60"/>
      <c r="AV12" s="60"/>
    </row>
    <row r="13" spans="1:48" s="55" customFormat="1" ht="15.65" customHeight="1" x14ac:dyDescent="0.3">
      <c r="A13" s="67"/>
      <c r="B13" s="63"/>
      <c r="C13" s="63"/>
      <c r="D13" s="63"/>
      <c r="E13" s="63"/>
      <c r="F13" s="63"/>
      <c r="G13" s="51">
        <v>3</v>
      </c>
      <c r="H13" s="51">
        <v>2</v>
      </c>
      <c r="I13" s="51">
        <v>1</v>
      </c>
      <c r="J13" s="51">
        <v>5</v>
      </c>
      <c r="K13" s="51">
        <v>4</v>
      </c>
      <c r="L13" s="51">
        <v>5</v>
      </c>
      <c r="M13" s="52"/>
      <c r="N13" s="13">
        <v>12</v>
      </c>
      <c r="O13" s="54">
        <f t="shared" si="0"/>
        <v>4</v>
      </c>
      <c r="P13" s="54">
        <f t="shared" si="1"/>
        <v>0.02</v>
      </c>
      <c r="Q13" s="54">
        <f t="shared" si="2"/>
        <v>0.01</v>
      </c>
      <c r="R13" s="54">
        <f t="shared" si="3"/>
        <v>3.5</v>
      </c>
      <c r="S13" s="54">
        <f t="shared" si="4"/>
        <v>0.6</v>
      </c>
      <c r="T13" s="54">
        <f t="shared" si="5"/>
        <v>0.9</v>
      </c>
      <c r="V13" s="56">
        <f t="shared" ca="1" si="6"/>
        <v>3.0328409983525545E-3</v>
      </c>
      <c r="W13" s="56">
        <f ca="1">Total!S23</f>
        <v>0.54591137970345982</v>
      </c>
      <c r="X13" s="60"/>
      <c r="Y13" s="46"/>
      <c r="Z13" s="13"/>
      <c r="AA13" s="13"/>
      <c r="AB13" s="13"/>
      <c r="AC13" s="13"/>
      <c r="AD13" s="64"/>
      <c r="AG13" s="60"/>
      <c r="AH13" s="60"/>
      <c r="AI13" s="60"/>
      <c r="AK13" s="60"/>
      <c r="AL13" s="60"/>
      <c r="AM13" s="60"/>
      <c r="AP13" s="60"/>
      <c r="AQ13" s="60"/>
      <c r="AR13" s="60"/>
      <c r="AT13" s="60"/>
      <c r="AU13" s="60"/>
      <c r="AV13" s="60"/>
    </row>
    <row r="14" spans="1:48" s="5" customFormat="1" ht="15.65" customHeight="1" x14ac:dyDescent="0.3">
      <c r="A14" s="67"/>
      <c r="B14" s="63"/>
      <c r="C14" s="63"/>
      <c r="D14" s="63"/>
      <c r="E14" s="63"/>
      <c r="F14" s="63"/>
      <c r="G14" s="9">
        <v>3</v>
      </c>
      <c r="H14" s="9">
        <v>3</v>
      </c>
      <c r="I14" s="9">
        <v>3</v>
      </c>
      <c r="J14" s="9">
        <v>3</v>
      </c>
      <c r="K14" s="9">
        <v>3</v>
      </c>
      <c r="L14" s="9">
        <v>1</v>
      </c>
      <c r="M14" s="4"/>
      <c r="N14" s="13">
        <v>13</v>
      </c>
      <c r="O14" s="14">
        <f t="shared" si="0"/>
        <v>4</v>
      </c>
      <c r="P14" s="14">
        <f t="shared" si="1"/>
        <v>0.03</v>
      </c>
      <c r="Q14" s="14">
        <f t="shared" si="2"/>
        <v>0.03</v>
      </c>
      <c r="R14" s="14">
        <f t="shared" si="3"/>
        <v>2.5</v>
      </c>
      <c r="S14" s="14">
        <f t="shared" si="4"/>
        <v>0.55000000000000004</v>
      </c>
      <c r="T14" s="14">
        <f t="shared" si="5"/>
        <v>0.7</v>
      </c>
      <c r="V14" s="56">
        <f t="shared" ca="1" si="6"/>
        <v>3.0140715537968887E-3</v>
      </c>
      <c r="W14" s="15">
        <f ca="1">Total!T23</f>
        <v>0.54253287968343999</v>
      </c>
      <c r="X14" s="18"/>
      <c r="Y14" s="67"/>
      <c r="Z14" s="63"/>
      <c r="AA14" s="63"/>
      <c r="AB14" s="63"/>
      <c r="AC14" s="63"/>
      <c r="AD14" s="63"/>
      <c r="AG14" s="18"/>
      <c r="AH14" s="18"/>
      <c r="AI14" s="18"/>
      <c r="AK14" s="18"/>
      <c r="AL14" s="18"/>
      <c r="AM14" s="18"/>
      <c r="AP14" s="18"/>
      <c r="AQ14" s="18"/>
      <c r="AR14" s="18"/>
      <c r="AT14" s="18"/>
      <c r="AU14" s="18"/>
      <c r="AV14" s="18"/>
    </row>
    <row r="15" spans="1:48" ht="15.65" customHeight="1" x14ac:dyDescent="0.3">
      <c r="A15" s="67"/>
      <c r="B15" s="63"/>
      <c r="C15" s="63"/>
      <c r="D15" s="63"/>
      <c r="E15" s="63"/>
      <c r="F15" s="63"/>
      <c r="G15" s="9">
        <v>3</v>
      </c>
      <c r="H15" s="9">
        <v>4</v>
      </c>
      <c r="I15" s="9">
        <v>5</v>
      </c>
      <c r="J15" s="9">
        <v>1</v>
      </c>
      <c r="K15" s="9">
        <v>2</v>
      </c>
      <c r="L15" s="9">
        <v>2</v>
      </c>
      <c r="M15" s="4"/>
      <c r="N15" s="13">
        <v>14</v>
      </c>
      <c r="O15" s="14">
        <f t="shared" si="0"/>
        <v>4</v>
      </c>
      <c r="P15" s="14">
        <f t="shared" si="1"/>
        <v>0.04</v>
      </c>
      <c r="Q15" s="14">
        <f t="shared" si="2"/>
        <v>0.05</v>
      </c>
      <c r="R15" s="14">
        <f t="shared" si="3"/>
        <v>1.5</v>
      </c>
      <c r="S15" s="14">
        <f t="shared" si="4"/>
        <v>0.5</v>
      </c>
      <c r="T15" s="14">
        <f t="shared" si="5"/>
        <v>0.75</v>
      </c>
      <c r="U15" s="5"/>
      <c r="V15" s="56">
        <f t="shared" ca="1" si="6"/>
        <v>3.2663883692623545E-3</v>
      </c>
      <c r="W15" s="15">
        <f ca="1">Total!U23</f>
        <v>0.58794990646722378</v>
      </c>
      <c r="X15" s="18"/>
      <c r="Y15" s="67"/>
      <c r="Z15" s="63"/>
      <c r="AA15" s="63"/>
      <c r="AB15" s="63"/>
      <c r="AC15" s="63"/>
      <c r="AD15" s="63"/>
      <c r="AG15" s="18"/>
      <c r="AH15" s="18"/>
      <c r="AI15" s="18"/>
      <c r="AK15" s="18"/>
      <c r="AL15" s="18"/>
      <c r="AM15" s="18"/>
      <c r="AP15" s="18"/>
      <c r="AQ15" s="18"/>
      <c r="AR15" s="18"/>
      <c r="AT15" s="18"/>
      <c r="AU15" s="18"/>
      <c r="AV15" s="18"/>
    </row>
    <row r="16" spans="1:48" s="58" customFormat="1" ht="15.65" customHeight="1" x14ac:dyDescent="0.3">
      <c r="A16" s="67"/>
      <c r="B16" s="63"/>
      <c r="C16" s="63"/>
      <c r="D16" s="63"/>
      <c r="E16" s="63"/>
      <c r="F16" s="63"/>
      <c r="G16" s="51">
        <v>3</v>
      </c>
      <c r="H16" s="51">
        <v>5</v>
      </c>
      <c r="I16" s="51">
        <v>2</v>
      </c>
      <c r="J16" s="51">
        <v>4</v>
      </c>
      <c r="K16" s="51">
        <v>1</v>
      </c>
      <c r="L16" s="51">
        <v>3</v>
      </c>
      <c r="M16" s="52"/>
      <c r="N16" s="13">
        <v>15</v>
      </c>
      <c r="O16" s="54">
        <f t="shared" si="0"/>
        <v>4</v>
      </c>
      <c r="P16" s="54">
        <f t="shared" si="1"/>
        <v>0.05</v>
      </c>
      <c r="Q16" s="54">
        <f t="shared" si="2"/>
        <v>0.02</v>
      </c>
      <c r="R16" s="54">
        <f t="shared" si="3"/>
        <v>3</v>
      </c>
      <c r="S16" s="54">
        <f t="shared" si="4"/>
        <v>0.45</v>
      </c>
      <c r="T16" s="54">
        <f t="shared" si="5"/>
        <v>0.8</v>
      </c>
      <c r="V16" s="56">
        <f t="shared" ca="1" si="6"/>
        <v>3.0775414712101929E-3</v>
      </c>
      <c r="W16" s="56">
        <f ca="1">Total!V23</f>
        <v>0.5539574648178347</v>
      </c>
      <c r="X16" s="60"/>
      <c r="Y16" s="67"/>
      <c r="Z16" s="63"/>
      <c r="AA16" s="63"/>
      <c r="AB16" s="63"/>
      <c r="AC16" s="63"/>
      <c r="AD16" s="63"/>
      <c r="AG16" s="60"/>
      <c r="AH16" s="60"/>
      <c r="AI16" s="60"/>
      <c r="AK16" s="60"/>
      <c r="AL16" s="60"/>
      <c r="AM16" s="60"/>
      <c r="AP16" s="60"/>
      <c r="AQ16" s="60"/>
      <c r="AR16" s="60"/>
      <c r="AT16" s="60"/>
      <c r="AU16" s="60"/>
      <c r="AV16" s="60"/>
    </row>
    <row r="17" spans="1:48" ht="15.65" customHeight="1" x14ac:dyDescent="0.3">
      <c r="A17" s="67"/>
      <c r="B17" s="65"/>
      <c r="C17" s="63"/>
      <c r="D17" s="63"/>
      <c r="E17" s="63"/>
      <c r="F17" s="65"/>
      <c r="G17" s="9">
        <v>4</v>
      </c>
      <c r="H17" s="9">
        <v>1</v>
      </c>
      <c r="I17" s="9">
        <v>3</v>
      </c>
      <c r="J17" s="9">
        <v>5</v>
      </c>
      <c r="K17" s="9">
        <v>2</v>
      </c>
      <c r="L17" s="9">
        <v>3</v>
      </c>
      <c r="M17" s="4"/>
      <c r="N17" s="13">
        <v>16</v>
      </c>
      <c r="O17" s="14">
        <f t="shared" si="0"/>
        <v>4.5</v>
      </c>
      <c r="P17" s="14">
        <f t="shared" si="1"/>
        <v>0.01</v>
      </c>
      <c r="Q17" s="14">
        <f t="shared" si="2"/>
        <v>0.03</v>
      </c>
      <c r="R17" s="14">
        <f t="shared" si="3"/>
        <v>3.5</v>
      </c>
      <c r="S17" s="14">
        <f t="shared" si="4"/>
        <v>0.5</v>
      </c>
      <c r="T17" s="14">
        <f t="shared" si="5"/>
        <v>0.8</v>
      </c>
      <c r="V17" s="56">
        <f t="shared" ca="1" si="6"/>
        <v>2.9136211492609551E-3</v>
      </c>
      <c r="W17" s="15">
        <f ca="1">Total!W23</f>
        <v>0.5244518068669719</v>
      </c>
      <c r="X17" s="18"/>
      <c r="Y17" s="67"/>
      <c r="Z17" s="63"/>
      <c r="AA17" s="63"/>
      <c r="AB17" s="63"/>
      <c r="AC17" s="63"/>
      <c r="AD17" s="63"/>
      <c r="AG17" s="18"/>
      <c r="AH17" s="18"/>
      <c r="AI17" s="18"/>
      <c r="AK17" s="18"/>
      <c r="AL17" s="18"/>
      <c r="AM17" s="18"/>
      <c r="AP17" s="18"/>
      <c r="AQ17" s="18"/>
      <c r="AR17" s="18"/>
      <c r="AT17" s="18"/>
      <c r="AU17" s="18"/>
      <c r="AV17" s="18"/>
    </row>
    <row r="18" spans="1:48" ht="15.65" customHeight="1" x14ac:dyDescent="0.3">
      <c r="A18" s="47"/>
      <c r="B18" s="63"/>
      <c r="C18" s="63"/>
      <c r="D18" s="63" t="s">
        <v>35</v>
      </c>
      <c r="E18" s="63"/>
      <c r="F18" s="63"/>
      <c r="G18" s="9">
        <v>4</v>
      </c>
      <c r="H18" s="9">
        <v>2</v>
      </c>
      <c r="I18" s="9">
        <v>5</v>
      </c>
      <c r="J18" s="9">
        <v>3</v>
      </c>
      <c r="K18" s="9">
        <v>1</v>
      </c>
      <c r="L18" s="9">
        <v>4</v>
      </c>
      <c r="M18" s="4"/>
      <c r="N18" s="13">
        <v>17</v>
      </c>
      <c r="O18" s="14">
        <f t="shared" si="0"/>
        <v>4.5</v>
      </c>
      <c r="P18" s="14">
        <f t="shared" si="1"/>
        <v>0.02</v>
      </c>
      <c r="Q18" s="14">
        <f t="shared" si="2"/>
        <v>0.05</v>
      </c>
      <c r="R18" s="14">
        <f t="shared" si="3"/>
        <v>2.5</v>
      </c>
      <c r="S18" s="14">
        <f t="shared" si="4"/>
        <v>0.45</v>
      </c>
      <c r="T18" s="14">
        <f t="shared" si="5"/>
        <v>0.85</v>
      </c>
      <c r="V18" s="56">
        <f t="shared" ca="1" si="6"/>
        <v>2.7763738761014509E-3</v>
      </c>
      <c r="W18" s="15">
        <f ca="1">Total!X23</f>
        <v>0.49974729769826115</v>
      </c>
      <c r="X18" s="18"/>
      <c r="Y18" s="67"/>
      <c r="Z18" s="63"/>
      <c r="AA18" s="63"/>
      <c r="AB18" s="63"/>
      <c r="AC18" s="63"/>
      <c r="AD18" s="63"/>
      <c r="AG18" s="18"/>
      <c r="AH18" s="18"/>
      <c r="AI18" s="18"/>
      <c r="AK18" s="18"/>
      <c r="AL18" s="18"/>
      <c r="AM18" s="18"/>
      <c r="AP18" s="18"/>
      <c r="AQ18" s="18"/>
      <c r="AR18" s="18"/>
      <c r="AT18" s="18"/>
      <c r="AU18" s="18"/>
      <c r="AV18" s="18"/>
    </row>
    <row r="19" spans="1:48" s="58" customFormat="1" ht="15.65" customHeight="1" x14ac:dyDescent="0.3">
      <c r="A19" s="47"/>
      <c r="B19" s="65"/>
      <c r="C19" s="63"/>
      <c r="D19" s="63"/>
      <c r="E19" s="63"/>
      <c r="F19" s="65"/>
      <c r="G19" s="51">
        <v>4</v>
      </c>
      <c r="H19" s="51">
        <v>3</v>
      </c>
      <c r="I19" s="51">
        <v>2</v>
      </c>
      <c r="J19" s="51">
        <v>1</v>
      </c>
      <c r="K19" s="51">
        <v>5</v>
      </c>
      <c r="L19" s="51">
        <v>5</v>
      </c>
      <c r="M19" s="52"/>
      <c r="N19" s="13">
        <v>18</v>
      </c>
      <c r="O19" s="54">
        <f t="shared" si="0"/>
        <v>4.5</v>
      </c>
      <c r="P19" s="54">
        <f t="shared" si="1"/>
        <v>0.03</v>
      </c>
      <c r="Q19" s="54">
        <f t="shared" si="2"/>
        <v>0.02</v>
      </c>
      <c r="R19" s="54">
        <f t="shared" si="3"/>
        <v>1.5</v>
      </c>
      <c r="S19" s="54">
        <f t="shared" si="4"/>
        <v>0.65</v>
      </c>
      <c r="T19" s="54">
        <f t="shared" si="5"/>
        <v>0.9</v>
      </c>
      <c r="V19" s="56">
        <f t="shared" ca="1" si="6"/>
        <v>2.8006292040403126E-3</v>
      </c>
      <c r="W19" s="56">
        <f ca="1">Total!Y23</f>
        <v>0.50411325672725626</v>
      </c>
      <c r="X19" s="60"/>
      <c r="Y19" s="67"/>
      <c r="Z19" s="65"/>
      <c r="AA19" s="63"/>
      <c r="AB19" s="63"/>
      <c r="AC19" s="63"/>
      <c r="AD19" s="65"/>
      <c r="AG19" s="60"/>
      <c r="AH19" s="60"/>
      <c r="AI19" s="60"/>
      <c r="AK19" s="60"/>
      <c r="AL19" s="60"/>
      <c r="AM19" s="60"/>
      <c r="AP19" s="60"/>
      <c r="AQ19" s="60"/>
      <c r="AR19" s="60"/>
      <c r="AT19" s="60"/>
      <c r="AU19" s="60"/>
      <c r="AV19" s="60"/>
    </row>
    <row r="20" spans="1:48" s="11" customFormat="1" ht="15.65" customHeight="1" x14ac:dyDescent="0.3">
      <c r="A20" s="4"/>
      <c r="B20" s="4"/>
      <c r="C20" s="4"/>
      <c r="D20" s="4"/>
      <c r="E20" s="4"/>
      <c r="F20" s="5"/>
      <c r="G20" s="9">
        <v>4</v>
      </c>
      <c r="H20" s="9">
        <v>4</v>
      </c>
      <c r="I20" s="9">
        <v>4</v>
      </c>
      <c r="J20" s="9">
        <v>4</v>
      </c>
      <c r="K20" s="9">
        <v>4</v>
      </c>
      <c r="L20" s="9">
        <v>1</v>
      </c>
      <c r="M20" s="4"/>
      <c r="N20" s="13">
        <v>19</v>
      </c>
      <c r="O20" s="14">
        <f t="shared" si="0"/>
        <v>4.5</v>
      </c>
      <c r="P20" s="14">
        <f t="shared" si="1"/>
        <v>0.04</v>
      </c>
      <c r="Q20" s="14">
        <f t="shared" si="2"/>
        <v>0.04</v>
      </c>
      <c r="R20" s="14">
        <f t="shared" si="3"/>
        <v>3</v>
      </c>
      <c r="S20" s="14">
        <f t="shared" si="4"/>
        <v>0.6</v>
      </c>
      <c r="T20" s="14">
        <f t="shared" si="5"/>
        <v>0.7</v>
      </c>
      <c r="U20" s="5"/>
      <c r="V20" s="56">
        <f t="shared" ca="1" si="6"/>
        <v>3.4461666899163472E-3</v>
      </c>
      <c r="W20" s="15">
        <f ca="1">Total!Z23</f>
        <v>0.62031000418494253</v>
      </c>
      <c r="X20" s="16"/>
      <c r="Y20" s="16"/>
      <c r="Z20" s="16"/>
      <c r="AB20" s="16"/>
      <c r="AC20" s="16"/>
      <c r="AD20" s="16"/>
      <c r="AG20" s="16"/>
      <c r="AH20" s="16"/>
      <c r="AI20" s="16"/>
      <c r="AK20" s="16"/>
      <c r="AL20" s="16"/>
      <c r="AM20" s="16"/>
      <c r="AP20" s="16"/>
      <c r="AQ20" s="16"/>
      <c r="AR20" s="16"/>
      <c r="AT20" s="16"/>
      <c r="AU20" s="16"/>
      <c r="AV20" s="16"/>
    </row>
    <row r="21" spans="1:48" s="61" customFormat="1" ht="15.65" customHeight="1" x14ac:dyDescent="0.3">
      <c r="A21" s="52"/>
      <c r="B21" s="52"/>
      <c r="C21" s="52"/>
      <c r="D21" s="52"/>
      <c r="E21" s="52"/>
      <c r="F21" s="55"/>
      <c r="G21" s="51">
        <v>4</v>
      </c>
      <c r="H21" s="51">
        <v>5</v>
      </c>
      <c r="I21" s="51">
        <v>1</v>
      </c>
      <c r="J21" s="51">
        <v>2</v>
      </c>
      <c r="K21" s="51">
        <v>3</v>
      </c>
      <c r="L21" s="51">
        <v>2</v>
      </c>
      <c r="M21" s="52"/>
      <c r="N21" s="13">
        <v>20</v>
      </c>
      <c r="O21" s="54">
        <f t="shared" si="0"/>
        <v>4.5</v>
      </c>
      <c r="P21" s="54">
        <f t="shared" si="1"/>
        <v>0.05</v>
      </c>
      <c r="Q21" s="54">
        <f t="shared" si="2"/>
        <v>0.01</v>
      </c>
      <c r="R21" s="54">
        <f t="shared" si="3"/>
        <v>2</v>
      </c>
      <c r="S21" s="54">
        <f t="shared" si="4"/>
        <v>0.55000000000000004</v>
      </c>
      <c r="T21" s="54">
        <f t="shared" si="5"/>
        <v>0.75</v>
      </c>
      <c r="U21" s="55"/>
      <c r="V21" s="56">
        <f t="shared" ca="1" si="6"/>
        <v>3.4192474346299963E-3</v>
      </c>
      <c r="W21" s="56">
        <f ca="1">Total!AA23</f>
        <v>0.61546453823339931</v>
      </c>
      <c r="X21" s="57"/>
      <c r="Y21" s="57"/>
      <c r="Z21" s="57"/>
      <c r="AB21" s="57"/>
      <c r="AC21" s="57"/>
      <c r="AD21" s="57"/>
      <c r="AE21" s="57"/>
      <c r="AG21" s="57"/>
      <c r="AH21" s="57"/>
      <c r="AI21" s="57"/>
      <c r="AK21" s="57"/>
      <c r="AL21" s="57"/>
      <c r="AM21" s="57"/>
      <c r="AP21" s="57"/>
      <c r="AQ21" s="57"/>
      <c r="AR21" s="57"/>
      <c r="AT21" s="57"/>
      <c r="AU21" s="57"/>
      <c r="AV21" s="57"/>
    </row>
    <row r="22" spans="1:48" s="61" customFormat="1" ht="15.65" customHeight="1" x14ac:dyDescent="0.3">
      <c r="A22" s="52"/>
      <c r="B22" s="52"/>
      <c r="C22" s="52"/>
      <c r="D22" s="52"/>
      <c r="E22" s="52"/>
      <c r="F22" s="55"/>
      <c r="G22" s="51">
        <v>5</v>
      </c>
      <c r="H22" s="51">
        <v>1</v>
      </c>
      <c r="I22" s="51">
        <v>2</v>
      </c>
      <c r="J22" s="51">
        <v>3</v>
      </c>
      <c r="K22" s="51">
        <v>4</v>
      </c>
      <c r="L22" s="51">
        <v>2</v>
      </c>
      <c r="M22" s="52"/>
      <c r="N22" s="13">
        <v>21</v>
      </c>
      <c r="O22" s="54">
        <f t="shared" si="0"/>
        <v>5</v>
      </c>
      <c r="P22" s="54">
        <f t="shared" si="1"/>
        <v>0.01</v>
      </c>
      <c r="Q22" s="54">
        <f t="shared" si="2"/>
        <v>0.02</v>
      </c>
      <c r="R22" s="54">
        <f t="shared" si="3"/>
        <v>2.5</v>
      </c>
      <c r="S22" s="54">
        <f t="shared" si="4"/>
        <v>0.6</v>
      </c>
      <c r="T22" s="54">
        <f t="shared" si="5"/>
        <v>0.75</v>
      </c>
      <c r="U22" s="55"/>
      <c r="V22" s="56">
        <f t="shared" ca="1" si="6"/>
        <v>3.0051380662975938E-3</v>
      </c>
      <c r="W22" s="56">
        <f ca="1">Total!AB23</f>
        <v>0.54092485193356687</v>
      </c>
      <c r="X22" s="57"/>
      <c r="Y22" s="57"/>
      <c r="Z22" s="57"/>
      <c r="AB22" s="57"/>
      <c r="AC22" s="57"/>
      <c r="AD22" s="57"/>
      <c r="AG22" s="57"/>
      <c r="AH22" s="57"/>
      <c r="AI22" s="57"/>
      <c r="AK22" s="57"/>
      <c r="AL22" s="57"/>
      <c r="AM22" s="57"/>
      <c r="AP22" s="57"/>
      <c r="AQ22" s="57"/>
      <c r="AR22" s="57"/>
      <c r="AT22" s="57"/>
      <c r="AU22" s="57"/>
      <c r="AV22" s="57"/>
    </row>
    <row r="23" spans="1:48" s="11" customFormat="1" ht="15.65" customHeight="1" x14ac:dyDescent="0.3">
      <c r="A23" s="4"/>
      <c r="B23" s="4"/>
      <c r="C23" s="4"/>
      <c r="D23" s="4"/>
      <c r="E23" s="4"/>
      <c r="F23" s="5"/>
      <c r="G23" s="9">
        <v>5</v>
      </c>
      <c r="H23" s="9">
        <v>2</v>
      </c>
      <c r="I23" s="9">
        <v>4</v>
      </c>
      <c r="J23" s="9">
        <v>1</v>
      </c>
      <c r="K23" s="9">
        <v>3</v>
      </c>
      <c r="L23" s="9">
        <v>3</v>
      </c>
      <c r="M23" s="4"/>
      <c r="N23" s="13">
        <v>22</v>
      </c>
      <c r="O23" s="14">
        <f t="shared" si="0"/>
        <v>5</v>
      </c>
      <c r="P23" s="14">
        <f t="shared" si="1"/>
        <v>0.02</v>
      </c>
      <c r="Q23" s="14">
        <f t="shared" si="2"/>
        <v>0.04</v>
      </c>
      <c r="R23" s="14">
        <f t="shared" si="3"/>
        <v>1.5</v>
      </c>
      <c r="S23" s="14">
        <f t="shared" si="4"/>
        <v>0.55000000000000004</v>
      </c>
      <c r="T23" s="14">
        <f t="shared" si="5"/>
        <v>0.8</v>
      </c>
      <c r="U23" s="5"/>
      <c r="V23" s="56">
        <f t="shared" ca="1" si="6"/>
        <v>2.7181068152307606E-3</v>
      </c>
      <c r="W23" s="15">
        <f ca="1">Total!AC23</f>
        <v>0.48925922674153688</v>
      </c>
      <c r="X23" s="16"/>
      <c r="Y23" s="16"/>
      <c r="Z23" s="16"/>
      <c r="AB23" s="16"/>
      <c r="AC23" s="16"/>
      <c r="AD23" s="16"/>
      <c r="AG23" s="16"/>
      <c r="AH23" s="16"/>
      <c r="AI23" s="16"/>
      <c r="AK23" s="16"/>
      <c r="AL23" s="16"/>
      <c r="AM23" s="16"/>
      <c r="AP23" s="16"/>
      <c r="AQ23" s="16"/>
      <c r="AR23" s="16"/>
      <c r="AT23" s="16"/>
      <c r="AU23" s="16"/>
      <c r="AV23" s="16"/>
    </row>
    <row r="24" spans="1:48" s="61" customFormat="1" ht="15.65" customHeight="1" x14ac:dyDescent="0.3">
      <c r="A24" s="52"/>
      <c r="B24" s="52"/>
      <c r="C24" s="52"/>
      <c r="D24" s="52"/>
      <c r="E24" s="52"/>
      <c r="F24" s="55"/>
      <c r="G24" s="51">
        <v>5</v>
      </c>
      <c r="H24" s="51">
        <v>3</v>
      </c>
      <c r="I24" s="51">
        <v>1</v>
      </c>
      <c r="J24" s="51">
        <v>4</v>
      </c>
      <c r="K24" s="51">
        <v>2</v>
      </c>
      <c r="L24" s="51">
        <v>4</v>
      </c>
      <c r="M24" s="52"/>
      <c r="N24" s="13">
        <v>23</v>
      </c>
      <c r="O24" s="54">
        <f t="shared" si="0"/>
        <v>5</v>
      </c>
      <c r="P24" s="54">
        <f t="shared" si="1"/>
        <v>0.03</v>
      </c>
      <c r="Q24" s="54">
        <f t="shared" si="2"/>
        <v>0.01</v>
      </c>
      <c r="R24" s="54">
        <f t="shared" si="3"/>
        <v>3</v>
      </c>
      <c r="S24" s="54">
        <f t="shared" si="4"/>
        <v>0.5</v>
      </c>
      <c r="T24" s="54">
        <f t="shared" si="5"/>
        <v>0.85</v>
      </c>
      <c r="U24" s="55"/>
      <c r="V24" s="56">
        <f t="shared" ca="1" si="6"/>
        <v>3.3634543121767889E-3</v>
      </c>
      <c r="W24" s="56">
        <f ca="1">Total!AD23</f>
        <v>0.60542177619182203</v>
      </c>
      <c r="X24" s="57"/>
      <c r="Y24" s="57"/>
      <c r="Z24" s="57"/>
      <c r="AB24" s="57"/>
      <c r="AC24" s="57"/>
      <c r="AD24" s="57"/>
      <c r="AG24" s="57"/>
      <c r="AH24" s="57"/>
      <c r="AI24" s="57"/>
      <c r="AK24" s="57"/>
      <c r="AL24" s="57"/>
      <c r="AM24" s="57"/>
      <c r="AP24" s="57"/>
      <c r="AQ24" s="57"/>
      <c r="AR24" s="57"/>
      <c r="AT24" s="57"/>
      <c r="AU24" s="57"/>
      <c r="AV24" s="57"/>
    </row>
    <row r="25" spans="1:48" s="11" customFormat="1" ht="15.65" customHeight="1" x14ac:dyDescent="0.3">
      <c r="A25" s="4"/>
      <c r="B25" s="4"/>
      <c r="C25" s="4"/>
      <c r="D25" s="4"/>
      <c r="E25" s="4"/>
      <c r="F25" s="5"/>
      <c r="G25" s="9">
        <v>5</v>
      </c>
      <c r="H25" s="9">
        <v>4</v>
      </c>
      <c r="I25" s="9">
        <v>3</v>
      </c>
      <c r="J25" s="9">
        <v>2</v>
      </c>
      <c r="K25" s="9">
        <v>1</v>
      </c>
      <c r="L25" s="9">
        <v>5</v>
      </c>
      <c r="M25" s="4"/>
      <c r="N25" s="13">
        <v>24</v>
      </c>
      <c r="O25" s="14">
        <f t="shared" si="0"/>
        <v>5</v>
      </c>
      <c r="P25" s="14">
        <f t="shared" si="1"/>
        <v>0.04</v>
      </c>
      <c r="Q25" s="14">
        <f t="shared" si="2"/>
        <v>0.03</v>
      </c>
      <c r="R25" s="14">
        <f t="shared" si="3"/>
        <v>2</v>
      </c>
      <c r="S25" s="14">
        <f t="shared" si="4"/>
        <v>0.45</v>
      </c>
      <c r="T25" s="14">
        <f t="shared" si="5"/>
        <v>0.9</v>
      </c>
      <c r="U25" s="5"/>
      <c r="V25" s="56">
        <f t="shared" ca="1" si="6"/>
        <v>3.14346802451748E-3</v>
      </c>
      <c r="W25" s="15">
        <f ca="1">Total!AE23</f>
        <v>0.56582424441314638</v>
      </c>
      <c r="X25" s="16"/>
      <c r="Y25" s="16"/>
      <c r="Z25" s="16"/>
      <c r="AB25" s="16"/>
      <c r="AC25" s="16"/>
      <c r="AD25" s="16"/>
      <c r="AG25" s="16"/>
      <c r="AH25" s="16"/>
      <c r="AI25" s="16"/>
      <c r="AK25" s="16"/>
      <c r="AL25" s="16"/>
      <c r="AM25" s="16"/>
      <c r="AP25" s="16"/>
      <c r="AQ25" s="16"/>
      <c r="AR25" s="16"/>
      <c r="AT25" s="16"/>
      <c r="AU25" s="16"/>
      <c r="AV25" s="16"/>
    </row>
    <row r="26" spans="1:48" s="20" customFormat="1" ht="15.65" customHeight="1" x14ac:dyDescent="0.3">
      <c r="A26" s="5"/>
      <c r="B26" s="5"/>
      <c r="C26" s="5"/>
      <c r="D26" s="5"/>
      <c r="E26" s="5"/>
      <c r="F26" s="5"/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1</v>
      </c>
      <c r="M26" s="4"/>
      <c r="N26" s="13">
        <v>25</v>
      </c>
      <c r="O26" s="14">
        <f t="shared" si="0"/>
        <v>5</v>
      </c>
      <c r="P26" s="14">
        <f t="shared" si="1"/>
        <v>0.05</v>
      </c>
      <c r="Q26" s="14">
        <f t="shared" si="2"/>
        <v>0.05</v>
      </c>
      <c r="R26" s="14">
        <f t="shared" si="3"/>
        <v>3.5</v>
      </c>
      <c r="S26" s="14">
        <f t="shared" si="4"/>
        <v>0.65</v>
      </c>
      <c r="T26" s="14">
        <f t="shared" si="5"/>
        <v>0.7</v>
      </c>
      <c r="U26" s="5"/>
      <c r="V26" s="56">
        <f t="shared" ca="1" si="6"/>
        <v>3.6422553651841846E-3</v>
      </c>
      <c r="W26" s="15">
        <f ca="1">Total!AF23</f>
        <v>0.65560596573315322</v>
      </c>
      <c r="X26" s="19"/>
      <c r="Y26" s="19"/>
      <c r="Z26" s="19"/>
      <c r="AB26" s="19"/>
      <c r="AC26" s="19"/>
      <c r="AD26" s="19"/>
      <c r="AG26" s="19"/>
      <c r="AH26" s="19"/>
      <c r="AI26" s="19"/>
      <c r="AK26" s="19"/>
      <c r="AL26" s="19"/>
      <c r="AM26" s="19"/>
      <c r="AP26" s="19"/>
      <c r="AQ26" s="19"/>
      <c r="AR26" s="19"/>
      <c r="AT26" s="19"/>
      <c r="AU26" s="19"/>
      <c r="AV26" s="19"/>
    </row>
    <row r="27" spans="1:48" s="11" customFormat="1" ht="15.65" customHeight="1" x14ac:dyDescent="0.3">
      <c r="A27" s="4"/>
      <c r="B27" s="4"/>
      <c r="C27" s="4"/>
      <c r="D27" s="4"/>
      <c r="E27" s="4"/>
      <c r="F27" s="21" t="s">
        <v>10</v>
      </c>
      <c r="G27" s="6" t="s">
        <v>2</v>
      </c>
      <c r="H27" s="6" t="s">
        <v>27</v>
      </c>
      <c r="I27" s="6" t="s">
        <v>28</v>
      </c>
      <c r="J27" s="22" t="s">
        <v>4</v>
      </c>
      <c r="K27" s="6" t="s">
        <v>29</v>
      </c>
      <c r="L27" s="6" t="s">
        <v>7</v>
      </c>
      <c r="M27" s="9"/>
      <c r="N27" s="2"/>
      <c r="O27" s="5"/>
      <c r="P27" s="5"/>
      <c r="Q27" s="5"/>
      <c r="R27" s="5"/>
      <c r="S27" s="5"/>
      <c r="T27" s="23"/>
      <c r="U27" s="23"/>
      <c r="V27" s="23"/>
      <c r="W27" s="2"/>
      <c r="X27" s="24"/>
      <c r="Y27" s="25"/>
      <c r="AB27" s="16"/>
    </row>
    <row r="28" spans="1:48" ht="15.65" customHeight="1" x14ac:dyDescent="0.3">
      <c r="A28" s="4"/>
      <c r="B28" s="4"/>
      <c r="C28" s="4"/>
      <c r="D28" s="4"/>
      <c r="E28" s="4"/>
      <c r="F28" s="5">
        <v>1</v>
      </c>
      <c r="G28" s="48">
        <f t="shared" ref="G28:L28" ca="1" si="7">AVERAGEIF(G2:G26,1,$V$2:$V$26)</f>
        <v>3.4823005552817388E-3</v>
      </c>
      <c r="H28" s="48">
        <f t="shared" ca="1" si="7"/>
        <v>3.1982746437075721E-3</v>
      </c>
      <c r="I28" s="48">
        <f t="shared" ca="1" si="7"/>
        <v>3.367181597285386E-3</v>
      </c>
      <c r="J28" s="48">
        <f t="shared" ca="1" si="7"/>
        <v>3.0926934737245957E-3</v>
      </c>
      <c r="K28" s="48">
        <f t="shared" ca="1" si="7"/>
        <v>3.1516508202962118E-3</v>
      </c>
      <c r="L28" s="48">
        <f t="shared" ca="1" si="7"/>
        <v>3.4312435573869357E-3</v>
      </c>
      <c r="M28" s="26"/>
      <c r="N28" s="4"/>
      <c r="O28" s="17"/>
      <c r="P28" s="5"/>
      <c r="Q28" s="5"/>
      <c r="R28" s="5"/>
      <c r="S28" s="5"/>
      <c r="T28" s="23"/>
      <c r="U28" s="23"/>
      <c r="V28" s="23"/>
      <c r="W28" s="27"/>
      <c r="X28" s="28"/>
      <c r="Y28" s="25"/>
      <c r="AB28" s="16"/>
    </row>
    <row r="29" spans="1:48" ht="15.65" customHeight="1" x14ac:dyDescent="0.3">
      <c r="A29" s="29"/>
      <c r="B29" s="4"/>
      <c r="C29" s="4"/>
      <c r="D29" s="4"/>
      <c r="E29" s="4"/>
      <c r="F29" s="5">
        <v>2</v>
      </c>
      <c r="G29" s="48">
        <f t="shared" ref="G29:L29" ca="1" si="8">AVERAGEIF(G2:G26,2,$V$2:$V$26)</f>
        <v>3.1188117607660196E-3</v>
      </c>
      <c r="H29" s="48">
        <f t="shared" ca="1" si="8"/>
        <v>3.0845506237202154E-3</v>
      </c>
      <c r="I29" s="48">
        <f t="shared" ca="1" si="8"/>
        <v>3.0870865536449391E-3</v>
      </c>
      <c r="J29" s="48">
        <f t="shared" ca="1" si="8"/>
        <v>3.2712719447473781E-3</v>
      </c>
      <c r="K29" s="48">
        <f t="shared" ca="1" si="8"/>
        <v>3.2427675468368069E-3</v>
      </c>
      <c r="L29" s="48">
        <f t="shared" ca="1" si="8"/>
        <v>3.2586703701441865E-3</v>
      </c>
      <c r="M29" s="26"/>
      <c r="N29" s="30"/>
      <c r="O29" s="5"/>
      <c r="P29" s="5"/>
      <c r="Q29" s="5"/>
      <c r="R29" s="5"/>
      <c r="S29" s="5"/>
      <c r="T29" s="23"/>
      <c r="U29" s="23"/>
      <c r="V29" s="23"/>
      <c r="W29" s="27"/>
      <c r="X29" s="28"/>
      <c r="Y29" s="25"/>
      <c r="AB29" s="16"/>
    </row>
    <row r="30" spans="1:48" ht="15.65" customHeight="1" x14ac:dyDescent="0.3">
      <c r="A30" s="4"/>
      <c r="B30" s="4"/>
      <c r="C30" s="4"/>
      <c r="D30" s="4"/>
      <c r="E30" s="4"/>
      <c r="F30" s="5">
        <v>3</v>
      </c>
      <c r="G30" s="48">
        <f t="shared" ref="G30:L30" ca="1" si="9">AVERAGEIF(G2:G26,3,$V$2:$V$26)</f>
        <v>3.1058717248548056E-3</v>
      </c>
      <c r="H30" s="48">
        <f t="shared" ca="1" si="9"/>
        <v>3.1080859309132085E-3</v>
      </c>
      <c r="I30" s="48">
        <f t="shared" ca="1" si="9"/>
        <v>3.1182421917087854E-3</v>
      </c>
      <c r="J30" s="48">
        <f t="shared" ca="1" si="9"/>
        <v>3.0865196925820401E-3</v>
      </c>
      <c r="K30" s="48">
        <f t="shared" ca="1" si="9"/>
        <v>3.1167846847248511E-3</v>
      </c>
      <c r="L30" s="48">
        <f t="shared" ca="1" si="9"/>
        <v>3.0662077063739234E-3</v>
      </c>
      <c r="M30" s="26"/>
      <c r="N30" s="30"/>
      <c r="O30" s="5"/>
      <c r="P30" s="5"/>
      <c r="Q30" s="5"/>
      <c r="R30" s="5"/>
      <c r="S30" s="5"/>
      <c r="T30" s="23"/>
      <c r="U30" s="23"/>
      <c r="V30" s="23"/>
      <c r="W30" s="23"/>
      <c r="X30" s="28"/>
      <c r="Y30" s="25"/>
      <c r="AB30" s="16"/>
    </row>
    <row r="31" spans="1:48" ht="15.65" customHeight="1" x14ac:dyDescent="0.3">
      <c r="A31" s="4"/>
      <c r="B31" s="4"/>
      <c r="C31" s="4"/>
      <c r="D31" s="4"/>
      <c r="E31" s="4"/>
      <c r="F31" s="5">
        <v>4</v>
      </c>
      <c r="G31" s="48">
        <f t="shared" ref="G31:L31" ca="1" si="10">AVERAGEIF(G2:G26,4,$V$2:$V$26)</f>
        <v>3.0712076707898129E-3</v>
      </c>
      <c r="H31" s="48">
        <f t="shared" ca="1" si="10"/>
        <v>3.2749576347206226E-3</v>
      </c>
      <c r="I31" s="48">
        <f t="shared" ca="1" si="10"/>
        <v>3.1360620383795515E-3</v>
      </c>
      <c r="J31" s="48">
        <f t="shared" ca="1" si="10"/>
        <v>3.3325934991019308E-3</v>
      </c>
      <c r="K31" s="48">
        <f t="shared" ca="1" si="10"/>
        <v>3.1527785179112323E-3</v>
      </c>
      <c r="L31" s="48">
        <f t="shared" ca="1" si="10"/>
        <v>3.0910174497318331E-3</v>
      </c>
      <c r="M31" s="26"/>
      <c r="N31" s="30"/>
      <c r="O31" s="5"/>
      <c r="P31" s="5"/>
      <c r="Q31" s="5"/>
      <c r="R31" s="5"/>
      <c r="S31" s="5"/>
      <c r="T31" s="23"/>
      <c r="U31" s="23"/>
      <c r="V31" s="23"/>
      <c r="W31" s="23"/>
      <c r="X31" s="28"/>
      <c r="Y31" s="25"/>
      <c r="AB31" s="16"/>
    </row>
    <row r="32" spans="1:48" ht="15.65" customHeight="1" x14ac:dyDescent="0.3">
      <c r="A32" s="4"/>
      <c r="B32" s="4"/>
      <c r="C32" s="4"/>
      <c r="D32" s="4"/>
      <c r="E32" s="4"/>
      <c r="F32" s="5">
        <v>5</v>
      </c>
      <c r="G32" s="48">
        <f t="shared" ref="G32:L32" ca="1" si="11">AVERAGEIF(G2:G26,5,$V$2:$V$26)</f>
        <v>3.1744845166813613E-3</v>
      </c>
      <c r="H32" s="48">
        <f t="shared" ca="1" si="11"/>
        <v>3.2868073953121199E-3</v>
      </c>
      <c r="I32" s="48">
        <f t="shared" ca="1" si="11"/>
        <v>3.2441038473550758E-3</v>
      </c>
      <c r="J32" s="48">
        <f t="shared" ca="1" si="11"/>
        <v>3.1695976182177935E-3</v>
      </c>
      <c r="K32" s="48">
        <f t="shared" ca="1" si="11"/>
        <v>3.2886946586046365E-3</v>
      </c>
      <c r="L32" s="48">
        <f t="shared" ca="1" si="11"/>
        <v>3.105537144736859E-3</v>
      </c>
      <c r="M32" s="26"/>
      <c r="N32" s="30"/>
      <c r="O32" s="5"/>
      <c r="P32" s="5"/>
      <c r="Q32" s="5"/>
      <c r="R32" s="5"/>
      <c r="S32" s="5"/>
      <c r="T32" s="5"/>
      <c r="U32" s="5"/>
      <c r="V32" s="5"/>
      <c r="W32" s="5"/>
      <c r="X32" s="31"/>
      <c r="AB32" s="16"/>
    </row>
    <row r="33" spans="1:24" ht="15.65" customHeight="1" x14ac:dyDescent="0.3">
      <c r="A33" s="4"/>
      <c r="B33" s="4"/>
      <c r="C33" s="4"/>
      <c r="D33" s="4"/>
      <c r="E33" s="4"/>
      <c r="F33" s="5"/>
      <c r="G33" s="48">
        <f ca="1">SUM(G28:G32)</f>
        <v>1.5952676228373739E-2</v>
      </c>
      <c r="H33" s="48">
        <f t="shared" ref="H33:L33" ca="1" si="12">SUM(H28:H32)</f>
        <v>1.5952676228373736E-2</v>
      </c>
      <c r="I33" s="48">
        <f ca="1">SUM(I28:I32)</f>
        <v>1.5952676228373739E-2</v>
      </c>
      <c r="J33" s="48">
        <f ca="1">SUM(J28:J32)</f>
        <v>1.5952676228373736E-2</v>
      </c>
      <c r="K33" s="48">
        <f ca="1">SUM(K28:K32)</f>
        <v>1.5952676228373739E-2</v>
      </c>
      <c r="L33" s="48">
        <f t="shared" ca="1" si="12"/>
        <v>1.5952676228373739E-2</v>
      </c>
      <c r="M33" s="26"/>
      <c r="N33" s="30"/>
      <c r="O33" s="5"/>
      <c r="P33" s="5"/>
      <c r="Q33" s="5"/>
      <c r="R33" s="5"/>
      <c r="S33" s="5"/>
      <c r="T33" s="5"/>
      <c r="U33" s="5"/>
      <c r="V33" s="5"/>
      <c r="W33" s="5"/>
      <c r="X33" s="31"/>
    </row>
    <row r="34" spans="1:24" ht="15.65" customHeight="1" x14ac:dyDescent="0.3">
      <c r="A34" s="4"/>
      <c r="B34" s="4"/>
      <c r="C34" s="4"/>
      <c r="D34" s="4"/>
      <c r="E34" s="4"/>
      <c r="F34" s="5"/>
      <c r="G34" s="63">
        <f>C2</f>
        <v>3.5</v>
      </c>
      <c r="H34" s="63">
        <f>$B3+2*($F3-$B3)/4</f>
        <v>0.03</v>
      </c>
      <c r="I34" s="63">
        <f>$B4+2*($F4-$B4)/4</f>
        <v>0.03</v>
      </c>
      <c r="J34" s="63">
        <f>$B5+2*($F5-$B5)/4</f>
        <v>2.5</v>
      </c>
      <c r="K34" s="63">
        <f>$B6+2*($F6-$B6)/4</f>
        <v>0.55000000000000004</v>
      </c>
      <c r="L34" s="63">
        <f>E7</f>
        <v>0.85</v>
      </c>
      <c r="M34" s="26"/>
      <c r="N34" s="30"/>
      <c r="O34" s="5"/>
      <c r="P34" s="5"/>
      <c r="Q34" s="5"/>
      <c r="R34" s="5"/>
      <c r="S34" s="5"/>
      <c r="T34" s="5"/>
      <c r="U34" s="5"/>
      <c r="V34" s="5"/>
      <c r="W34" s="5"/>
      <c r="X34" s="31"/>
    </row>
    <row r="35" spans="1:24" ht="15.65" customHeight="1" x14ac:dyDescent="0.3">
      <c r="A35" s="4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  <c r="M35" s="26"/>
      <c r="N35" s="30"/>
      <c r="O35" s="5"/>
      <c r="P35" s="5"/>
      <c r="Q35" s="5"/>
      <c r="R35" s="5"/>
      <c r="S35" s="5"/>
      <c r="T35" s="5"/>
      <c r="U35" s="5"/>
      <c r="V35" s="5"/>
      <c r="W35" s="5"/>
      <c r="X35" s="31"/>
    </row>
    <row r="36" spans="1:24" ht="15.65" customHeight="1" x14ac:dyDescent="0.3">
      <c r="A36" s="69"/>
      <c r="B36" s="69"/>
      <c r="C36" s="69"/>
      <c r="D36" s="69"/>
      <c r="E36" s="70" t="s">
        <v>11</v>
      </c>
      <c r="F36" s="70"/>
      <c r="G36" s="49">
        <f t="shared" ref="G36:L36" ca="1" si="13">(MAX(G28:G32)-MIN(G28:G32))</f>
        <v>4.1109288449192594E-4</v>
      </c>
      <c r="H36" s="49">
        <f t="shared" ca="1" si="13"/>
        <v>2.0225677159190457E-4</v>
      </c>
      <c r="I36" s="49">
        <f t="shared" ca="1" si="13"/>
        <v>2.800950436404469E-4</v>
      </c>
      <c r="J36" s="49">
        <f t="shared" ca="1" si="13"/>
        <v>2.4607380651989067E-4</v>
      </c>
      <c r="K36" s="49">
        <f t="shared" ca="1" si="13"/>
        <v>1.7190997387978545E-4</v>
      </c>
      <c r="L36" s="49">
        <f t="shared" ca="1" si="13"/>
        <v>3.6503585101301233E-4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31"/>
    </row>
    <row r="37" spans="1:24" ht="15.6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31"/>
    </row>
    <row r="38" spans="1:24" ht="15.65" customHeight="1" x14ac:dyDescent="0.3">
      <c r="A38" s="5"/>
      <c r="B38" s="5"/>
      <c r="C38" s="5"/>
      <c r="D38" s="5"/>
      <c r="E38" s="5"/>
      <c r="F38" s="5"/>
      <c r="G38" s="32"/>
      <c r="H38" s="32"/>
      <c r="I38" s="32"/>
      <c r="J38" s="32"/>
      <c r="K38" s="32"/>
      <c r="L38" s="3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31"/>
    </row>
    <row r="39" spans="1:24" ht="15.65" customHeight="1" x14ac:dyDescent="0.3">
      <c r="A39" s="5"/>
      <c r="B39" s="5"/>
      <c r="C39" s="5"/>
      <c r="D39" s="5"/>
      <c r="E39" s="5"/>
      <c r="F39" s="5"/>
      <c r="G39" s="32"/>
      <c r="H39" s="32"/>
      <c r="I39" s="32"/>
      <c r="J39" s="32"/>
      <c r="K39" s="32"/>
      <c r="L39" s="3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31"/>
    </row>
    <row r="40" spans="1:24" ht="15.65" customHeight="1" x14ac:dyDescent="0.3">
      <c r="A40" s="5"/>
      <c r="B40" s="5"/>
      <c r="C40" s="5"/>
      <c r="D40" s="5"/>
      <c r="E40" s="5"/>
      <c r="F40" s="5"/>
      <c r="G40" s="32"/>
      <c r="H40" s="32"/>
      <c r="I40" s="32"/>
      <c r="J40" s="32"/>
      <c r="K40" s="32"/>
      <c r="L40" s="3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31"/>
    </row>
    <row r="41" spans="1:24" ht="15.65" customHeight="1" x14ac:dyDescent="0.3">
      <c r="A41" s="5"/>
      <c r="B41" s="5"/>
      <c r="C41" s="5"/>
      <c r="D41" s="5"/>
      <c r="E41" s="5"/>
      <c r="F41" s="5"/>
      <c r="G41" s="32"/>
      <c r="H41" s="32"/>
      <c r="I41" s="32"/>
      <c r="J41" s="32"/>
      <c r="K41" s="32"/>
      <c r="L41" s="3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31"/>
    </row>
    <row r="42" spans="1:24" ht="15.65" customHeight="1" x14ac:dyDescent="0.3">
      <c r="A42" s="5"/>
      <c r="B42" s="5"/>
      <c r="C42" s="5"/>
      <c r="D42" s="5"/>
      <c r="E42" s="5"/>
      <c r="F42" s="5"/>
      <c r="G42" s="32"/>
      <c r="H42" s="32"/>
      <c r="I42" s="32"/>
      <c r="J42" s="32"/>
      <c r="K42" s="32"/>
      <c r="L42" s="3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31"/>
    </row>
    <row r="43" spans="1:24" ht="15.65" customHeight="1" x14ac:dyDescent="0.3">
      <c r="A43" s="5"/>
      <c r="B43" s="5"/>
      <c r="C43" s="5"/>
      <c r="D43" s="5"/>
      <c r="E43" s="5"/>
      <c r="F43" s="5"/>
      <c r="G43" s="32"/>
      <c r="H43" s="32"/>
      <c r="I43" s="32"/>
      <c r="J43" s="32"/>
      <c r="K43" s="32"/>
      <c r="L43" s="3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31"/>
    </row>
    <row r="44" spans="1:24" ht="15.65" customHeight="1" x14ac:dyDescent="0.3">
      <c r="A44" s="5"/>
      <c r="B44" s="5"/>
      <c r="C44" s="5"/>
      <c r="D44" s="5"/>
      <c r="E44" s="5"/>
      <c r="F44" s="5"/>
      <c r="G44" s="32"/>
      <c r="H44" s="32"/>
      <c r="I44" s="32"/>
      <c r="J44" s="32"/>
      <c r="K44" s="32"/>
      <c r="L44" s="3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31"/>
    </row>
    <row r="45" spans="1:24" ht="15.65" customHeight="1" x14ac:dyDescent="0.3">
      <c r="A45" s="5"/>
      <c r="B45" s="5"/>
      <c r="C45" s="5"/>
      <c r="D45" s="5"/>
      <c r="E45" s="5"/>
      <c r="F45" s="5"/>
      <c r="G45" s="32"/>
      <c r="H45" s="32"/>
      <c r="I45" s="32"/>
      <c r="J45" s="32"/>
      <c r="K45" s="32"/>
      <c r="L45" s="3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31"/>
    </row>
  </sheetData>
  <mergeCells count="3">
    <mergeCell ref="G1:L1"/>
    <mergeCell ref="A36:D36"/>
    <mergeCell ref="E36:F36"/>
  </mergeCells>
  <phoneticPr fontId="9" type="noConversion"/>
  <conditionalFormatting sqref="G28:L33">
    <cfRule type="expression" dxfId="0" priority="1">
      <formula>G28=MIN(G$28:G$32)</formula>
    </cfRule>
  </conditionalFormatting>
  <conditionalFormatting sqref="G36:M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7 W9 W22:W26 W12:W20">
    <cfRule type="top10" priority="7" bottom="1" rank="1"/>
  </conditionalFormatting>
  <conditionalFormatting sqref="X27">
    <cfRule type="top10" priority="5" bottom="1" rank="1"/>
  </conditionalFormatting>
  <conditionalFormatting sqref="AB27:AB32">
    <cfRule type="top10" priority="3" bottom="1" rank="1"/>
  </conditionalFormatting>
  <pageMargins left="0.7" right="0.7" top="0.75" bottom="0.75" header="0.51180555555555496" footer="0.51180555555555496"/>
  <pageSetup paperSize="9" firstPageNumber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1"/>
  <sheetViews>
    <sheetView topLeftCell="A19" zoomScale="70" zoomScaleNormal="70" workbookViewId="0">
      <selection activeCell="F38" sqref="F38"/>
    </sheetView>
  </sheetViews>
  <sheetFormatPr defaultRowHeight="14" x14ac:dyDescent="0.3"/>
  <cols>
    <col min="1" max="1" width="10.75"/>
    <col min="2" max="2" width="4.75"/>
    <col min="3" max="3" width="3.58203125"/>
    <col min="4" max="4" width="3.75"/>
    <col min="5" max="5" width="10.75"/>
    <col min="6" max="6" width="10.83203125"/>
    <col min="7" max="7" width="4.75"/>
    <col min="8" max="32" width="8.75"/>
    <col min="33" max="33" width="8.75" style="33"/>
    <col min="34" max="1025" width="9.33203125"/>
  </cols>
  <sheetData>
    <row r="1" spans="1:33" s="11" customFormat="1" x14ac:dyDescent="0.3">
      <c r="A1" s="34" t="s">
        <v>12</v>
      </c>
      <c r="B1" s="34" t="s">
        <v>13</v>
      </c>
      <c r="C1" s="34" t="s">
        <v>14</v>
      </c>
      <c r="E1" s="34" t="s">
        <v>15</v>
      </c>
      <c r="F1" s="34" t="s">
        <v>16</v>
      </c>
      <c r="G1" s="34"/>
      <c r="H1" s="10">
        <v>1</v>
      </c>
      <c r="I1" s="10">
        <v>2</v>
      </c>
      <c r="J1" s="10">
        <v>3</v>
      </c>
      <c r="K1" s="10">
        <v>4</v>
      </c>
      <c r="L1" s="10">
        <v>5</v>
      </c>
      <c r="M1" s="10">
        <v>6</v>
      </c>
      <c r="N1" s="10">
        <v>7</v>
      </c>
      <c r="O1" s="10">
        <v>8</v>
      </c>
      <c r="P1" s="10">
        <v>9</v>
      </c>
      <c r="Q1" s="10">
        <v>10</v>
      </c>
      <c r="R1" s="10">
        <v>11</v>
      </c>
      <c r="S1" s="10">
        <v>12</v>
      </c>
      <c r="T1" s="10">
        <v>13</v>
      </c>
      <c r="U1" s="10">
        <v>14</v>
      </c>
      <c r="V1" s="10">
        <v>15</v>
      </c>
      <c r="W1" s="10">
        <v>16</v>
      </c>
      <c r="X1" s="10">
        <v>17</v>
      </c>
      <c r="Y1" s="10">
        <v>18</v>
      </c>
      <c r="Z1" s="10">
        <v>19</v>
      </c>
      <c r="AA1" s="10">
        <v>20</v>
      </c>
      <c r="AB1" s="10">
        <v>21</v>
      </c>
      <c r="AC1" s="10">
        <v>22</v>
      </c>
      <c r="AD1" s="10">
        <v>23</v>
      </c>
      <c r="AE1" s="10">
        <v>24</v>
      </c>
      <c r="AF1" s="10">
        <v>25</v>
      </c>
      <c r="AG1" s="10"/>
    </row>
    <row r="2" spans="1:33" x14ac:dyDescent="0.3">
      <c r="A2" s="35" t="s">
        <v>17</v>
      </c>
      <c r="B2" s="35">
        <v>25</v>
      </c>
      <c r="C2" s="35">
        <v>1</v>
      </c>
      <c r="E2" s="36">
        <f ca="1">MIN('1:25'!L2:U2)</f>
        <v>28.504000000000001</v>
      </c>
      <c r="F2" s="37">
        <f ca="1">AVERAGE('1:25'!W2)</f>
        <v>28.536015999999989</v>
      </c>
      <c r="H2" s="38">
        <f t="shared" ref="H2:H19" ca="1" si="0">INDIRECT(COLUMN(A1)&amp;"!AM"&amp;ROW(A1)+1)</f>
        <v>1.0103845074375161E-2</v>
      </c>
      <c r="I2" s="38">
        <f t="shared" ref="I2:I19" ca="1" si="1">INDIRECT(COLUMN(B1)&amp;"!AM"&amp;ROW(B1)+1)</f>
        <v>1.6559079427448328E-2</v>
      </c>
      <c r="J2" s="38">
        <f t="shared" ref="J2:J19" ca="1" si="2">INDIRECT(COLUMN(C1)&amp;"!AM"&amp;ROW(C1)+1)</f>
        <v>8.9811956216667675E-3</v>
      </c>
      <c r="K2" s="38">
        <f t="shared" ref="K2:K19" ca="1" si="3">INDIRECT(COLUMN(D1)&amp;"!AM"&amp;ROW(D1)+1)</f>
        <v>7.3323042380014211E-3</v>
      </c>
      <c r="L2" s="38">
        <f t="shared" ref="L2:L19" ca="1" si="4">INDIRECT(COLUMN(E1)&amp;"!AM"&amp;ROW(E1)+1)</f>
        <v>1.0314341846757868E-2</v>
      </c>
      <c r="M2" s="38">
        <f t="shared" ref="M2:M19" ca="1" si="5">INDIRECT(COLUMN(F1)&amp;"!AM"&amp;ROW(F1)+1)</f>
        <v>1.1928150435026159E-2</v>
      </c>
      <c r="N2" s="38">
        <f t="shared" ref="N2:N19" ca="1" si="6">INDIRECT(COLUMN(G1)&amp;"!AM"&amp;ROW(G1)+1)</f>
        <v>1.46996912713999E-2</v>
      </c>
      <c r="O2" s="38">
        <f t="shared" ref="O2:O19" ca="1" si="7">INDIRECT(COLUMN(H1)&amp;"!AM"&amp;ROW(H1)+1)</f>
        <v>1.3401627841705855E-2</v>
      </c>
      <c r="P2" s="38">
        <f t="shared" ref="P2:P19" ca="1" si="8">INDIRECT(COLUMN(I1)&amp;"!AM"&amp;ROW(I1)+1)</f>
        <v>1.46996912713999E-2</v>
      </c>
      <c r="Q2" s="38">
        <f t="shared" ref="Q2:Q19" ca="1" si="9">INDIRECT(COLUMN(J1)&amp;"!AM"&amp;ROW(J1)+1)</f>
        <v>1.3892786977265878E-2</v>
      </c>
      <c r="R2" s="38">
        <f t="shared" ref="R2:R19" ca="1" si="10">INDIRECT(COLUMN(K1)&amp;"!AM"&amp;ROW(K1)+1)</f>
        <v>7.3673870333984762E-3</v>
      </c>
      <c r="S2" s="38">
        <f t="shared" ref="S2:S19" ca="1" si="11">INDIRECT(COLUMN(L1)&amp;"!AM"&amp;ROW(L1)+1)</f>
        <v>8.8408644400781722E-3</v>
      </c>
      <c r="T2" s="38">
        <f t="shared" ref="T2:T19" ca="1" si="12">INDIRECT(COLUMN(M1)&amp;"!AM"&amp;ROW(M1)+1)</f>
        <v>1.3401627841705855E-2</v>
      </c>
      <c r="U2" s="38">
        <f t="shared" ref="U2:U19" ca="1" si="13">INDIRECT(COLUMN(N1)&amp;"!AM"&amp;ROW(N1)+1)</f>
        <v>1.6488913836653841E-2</v>
      </c>
      <c r="V2" s="38">
        <f t="shared" ref="V2:V19" ca="1" si="14">INDIRECT(COLUMN(O1)&amp;"!AM"&amp;ROW(O1)+1)</f>
        <v>1.0454673028346463E-2</v>
      </c>
      <c r="W2" s="38">
        <f t="shared" ref="W2:W19" ca="1" si="15">INDIRECT(COLUMN(P1)&amp;"!AM"&amp;ROW(P1)+1)</f>
        <v>1.0314341846757868E-2</v>
      </c>
      <c r="X2" s="38">
        <f t="shared" ref="X2:X19" ca="1" si="16">INDIRECT(COLUMN(Q1)&amp;"!AM"&amp;ROW(Q1)+1)</f>
        <v>1.3226213864720204E-2</v>
      </c>
      <c r="Y2" s="38">
        <f t="shared" ref="Y2:Y19" ca="1" si="17">INDIRECT(COLUMN(R1)&amp;"!AM"&amp;ROW(R1)+1)</f>
        <v>1.1787819253437564E-2</v>
      </c>
      <c r="Z2" s="38">
        <f t="shared" ref="Z2:Z19" ca="1" si="18">INDIRECT(COLUMN(S1)&amp;"!AM"&amp;ROW(S1)+1)</f>
        <v>1.5366264383945576E-2</v>
      </c>
      <c r="AA2" s="38">
        <f t="shared" ref="AA2:AA19" ca="1" si="19">INDIRECT(COLUMN(T1)&amp;"!AM"&amp;ROW(T1)+1)</f>
        <v>4.4204322200390861E-3</v>
      </c>
      <c r="AB2" s="38">
        <f t="shared" ref="AB2:AB19" ca="1" si="20">INDIRECT(COLUMN(U1)&amp;"!AM"&amp;ROW(U1)+1)</f>
        <v>7.3673870333984762E-3</v>
      </c>
      <c r="AC2" s="38">
        <f t="shared" ref="AC2:AC19" ca="1" si="21">INDIRECT(COLUMN(V1)&amp;"!AM"&amp;ROW(V1)+1)</f>
        <v>1.175273645804051E-2</v>
      </c>
      <c r="AD2" s="38">
        <f t="shared" ref="AD2:AD19" ca="1" si="22">INDIRECT(COLUMN(W1)&amp;"!AM"&amp;ROW(W1)+1)</f>
        <v>8.8408644400781722E-3</v>
      </c>
      <c r="AE2" s="38">
        <f t="shared" ref="AE2:AE19" ca="1" si="23">INDIRECT(COLUMN(X1)&amp;"!AM"&amp;ROW(X1)+1)</f>
        <v>4.4204322200390861E-3</v>
      </c>
      <c r="AF2" s="38">
        <f t="shared" ref="AF2:AF19" ca="1" si="24">INDIRECT(COLUMN(Y1)&amp;"!AM"&amp;ROW(Y1)+1)</f>
        <v>1.4840022452988495E-2</v>
      </c>
      <c r="AG2" s="34"/>
    </row>
    <row r="3" spans="1:33" x14ac:dyDescent="0.3">
      <c r="A3" s="35" t="s">
        <v>17</v>
      </c>
      <c r="B3" s="35">
        <v>50</v>
      </c>
      <c r="C3" s="35">
        <v>1</v>
      </c>
      <c r="E3" s="36">
        <f ca="1">MIN('1:25'!L3:U3)</f>
        <v>52.927</v>
      </c>
      <c r="F3" s="37">
        <f ca="1">AVERAGE('1:25'!W3)</f>
        <v>53.035567999999991</v>
      </c>
      <c r="H3" s="38">
        <f t="shared" ca="1" si="0"/>
        <v>2.1935873939577178E-2</v>
      </c>
      <c r="I3" s="38">
        <f t="shared" ca="1" si="1"/>
        <v>2.5846921231129572E-2</v>
      </c>
      <c r="J3" s="38">
        <f t="shared" ca="1" si="2"/>
        <v>2.5525724110567367E-2</v>
      </c>
      <c r="K3" s="38">
        <f t="shared" ca="1" si="3"/>
        <v>2.407089009390307E-2</v>
      </c>
      <c r="L3" s="38">
        <f t="shared" ca="1" si="4"/>
        <v>3.1439529918567112E-2</v>
      </c>
      <c r="M3" s="38">
        <f t="shared" ca="1" si="5"/>
        <v>2.5204526990005159E-2</v>
      </c>
      <c r="N3" s="38">
        <f t="shared" ca="1" si="6"/>
        <v>1.9895327526593183E-2</v>
      </c>
      <c r="O3" s="38">
        <f t="shared" ca="1" si="7"/>
        <v>2.4203147731781487E-2</v>
      </c>
      <c r="P3" s="38">
        <f t="shared" ca="1" si="8"/>
        <v>2.0783343095207032E-2</v>
      </c>
      <c r="Q3" s="38">
        <f t="shared" ca="1" si="9"/>
        <v>2.6243694144765357E-2</v>
      </c>
      <c r="R3" s="38">
        <f t="shared" ca="1" si="10"/>
        <v>3.3517864228087897E-2</v>
      </c>
      <c r="S3" s="38">
        <f t="shared" ca="1" si="11"/>
        <v>1.4812855442401645E-2</v>
      </c>
      <c r="T3" s="38">
        <f t="shared" ca="1" si="12"/>
        <v>1.9517448561225999E-2</v>
      </c>
      <c r="U3" s="38">
        <f t="shared" ca="1" si="13"/>
        <v>2.0197630698887328E-2</v>
      </c>
      <c r="V3" s="38">
        <f t="shared" ca="1" si="14"/>
        <v>1.6097643924651142E-2</v>
      </c>
      <c r="W3" s="38">
        <f t="shared" ca="1" si="15"/>
        <v>2.0499933871181344E-2</v>
      </c>
      <c r="X3" s="38">
        <f t="shared" ca="1" si="16"/>
        <v>1.2186596633098613E-2</v>
      </c>
      <c r="Y3" s="38">
        <f t="shared" ca="1" si="17"/>
        <v>1.995200937139829E-2</v>
      </c>
      <c r="Z3" s="38">
        <f t="shared" ca="1" si="18"/>
        <v>2.2181495267066219E-2</v>
      </c>
      <c r="AA3" s="38">
        <f t="shared" ca="1" si="19"/>
        <v>1.3565854856689468E-2</v>
      </c>
      <c r="AB3" s="38">
        <f t="shared" ca="1" si="20"/>
        <v>1.2299960322708699E-2</v>
      </c>
      <c r="AC3" s="38">
        <f t="shared" ca="1" si="21"/>
        <v>1.8761690630490959E-2</v>
      </c>
      <c r="AD3" s="38">
        <f t="shared" ca="1" si="22"/>
        <v>1.1052959736996255E-2</v>
      </c>
      <c r="AE3" s="38">
        <f t="shared" ca="1" si="23"/>
        <v>1.0788444461239294E-2</v>
      </c>
      <c r="AF3" s="38">
        <f t="shared" ca="1" si="24"/>
        <v>2.2238177111871326E-2</v>
      </c>
      <c r="AG3" s="34"/>
    </row>
    <row r="4" spans="1:33" x14ac:dyDescent="0.3">
      <c r="A4" s="35" t="s">
        <v>17</v>
      </c>
      <c r="B4" s="35">
        <v>100</v>
      </c>
      <c r="C4" s="35">
        <v>1</v>
      </c>
      <c r="E4" s="36">
        <f ca="1">MIN('1:25'!L4:U4)</f>
        <v>102.80200000000001</v>
      </c>
      <c r="F4" s="37">
        <f ca="1">AVERAGE('1:25'!W4)</f>
        <v>103.25300800000002</v>
      </c>
      <c r="H4" s="38">
        <f t="shared" ca="1" si="0"/>
        <v>4.8267543433006474E-2</v>
      </c>
      <c r="I4" s="38">
        <f t="shared" ca="1" si="1"/>
        <v>4.4678119102740672E-2</v>
      </c>
      <c r="J4" s="38">
        <f t="shared" ca="1" si="2"/>
        <v>5.3053442540027786E-2</v>
      </c>
      <c r="K4" s="38">
        <f t="shared" ca="1" si="3"/>
        <v>4.4036108246920586E-2</v>
      </c>
      <c r="L4" s="38">
        <f t="shared" ca="1" si="4"/>
        <v>4.6730608353922676E-2</v>
      </c>
      <c r="M4" s="38">
        <f t="shared" ca="1" si="5"/>
        <v>4.8578821423707008E-2</v>
      </c>
      <c r="N4" s="38">
        <f t="shared" ca="1" si="6"/>
        <v>4.2392171358533084E-2</v>
      </c>
      <c r="O4" s="38">
        <f t="shared" ca="1" si="7"/>
        <v>4.054395828874862E-2</v>
      </c>
      <c r="P4" s="38">
        <f t="shared" ca="1" si="8"/>
        <v>4.4882395284137788E-2</v>
      </c>
      <c r="Q4" s="38">
        <f t="shared" ca="1" si="9"/>
        <v>4.1205424018987302E-2</v>
      </c>
      <c r="R4" s="38">
        <f t="shared" ca="1" si="10"/>
        <v>3.883192933989546E-2</v>
      </c>
      <c r="S4" s="38">
        <f t="shared" ca="1" si="11"/>
        <v>3.8880566525942385E-2</v>
      </c>
      <c r="T4" s="38">
        <f t="shared" ca="1" si="12"/>
        <v>4.6827882726016519E-2</v>
      </c>
      <c r="U4" s="38">
        <f t="shared" ca="1" si="13"/>
        <v>4.1662613567828737E-2</v>
      </c>
      <c r="V4" s="38">
        <f t="shared" ca="1" si="14"/>
        <v>4.3617828446916904E-2</v>
      </c>
      <c r="W4" s="38">
        <f t="shared" ca="1" si="15"/>
        <v>3.7567362502674576E-2</v>
      </c>
      <c r="X4" s="38">
        <f t="shared" ca="1" si="16"/>
        <v>4.2489445730627344E-2</v>
      </c>
      <c r="Y4" s="38">
        <f t="shared" ca="1" si="17"/>
        <v>4.2333806735276862E-2</v>
      </c>
      <c r="Z4" s="38">
        <f t="shared" ca="1" si="18"/>
        <v>4.3442734577147826E-2</v>
      </c>
      <c r="AA4" s="38">
        <f t="shared" ca="1" si="19"/>
        <v>4.4152837493433579E-2</v>
      </c>
      <c r="AB4" s="38">
        <f t="shared" ca="1" si="20"/>
        <v>4.4396023423668177E-2</v>
      </c>
      <c r="AC4" s="38">
        <f t="shared" ca="1" si="21"/>
        <v>4.4396023423668038E-2</v>
      </c>
      <c r="AD4" s="38">
        <f t="shared" ca="1" si="22"/>
        <v>4.2606174977139782E-2</v>
      </c>
      <c r="AE4" s="38">
        <f t="shared" ca="1" si="23"/>
        <v>4.2450535981789439E-2</v>
      </c>
      <c r="AF4" s="38">
        <f t="shared" ca="1" si="24"/>
        <v>4.8763642730685529E-2</v>
      </c>
      <c r="AG4" s="34"/>
    </row>
    <row r="5" spans="1:33" x14ac:dyDescent="0.3">
      <c r="A5" s="35" t="s">
        <v>18</v>
      </c>
      <c r="B5" s="35">
        <v>30</v>
      </c>
      <c r="C5" s="35">
        <v>1</v>
      </c>
      <c r="E5" s="36">
        <f ca="1">MIN('1:25'!L5:U5)</f>
        <v>156.12700000000001</v>
      </c>
      <c r="F5" s="37">
        <f ca="1">AVERAGE('1:25'!W5)</f>
        <v>156.12699999999998</v>
      </c>
      <c r="H5" s="38">
        <f t="shared" ca="1" si="0"/>
        <v>0</v>
      </c>
      <c r="I5" s="38">
        <f t="shared" ca="1" si="1"/>
        <v>0</v>
      </c>
      <c r="J5" s="38">
        <f t="shared" ca="1" si="2"/>
        <v>0</v>
      </c>
      <c r="K5" s="38">
        <f t="shared" ca="1" si="3"/>
        <v>0</v>
      </c>
      <c r="L5" s="38">
        <f t="shared" ca="1" si="4"/>
        <v>0</v>
      </c>
      <c r="M5" s="38">
        <f t="shared" ca="1" si="5"/>
        <v>0</v>
      </c>
      <c r="N5" s="38">
        <f t="shared" ca="1" si="6"/>
        <v>0</v>
      </c>
      <c r="O5" s="38">
        <f t="shared" ca="1" si="7"/>
        <v>0</v>
      </c>
      <c r="P5" s="38">
        <f t="shared" ca="1" si="8"/>
        <v>0</v>
      </c>
      <c r="Q5" s="38">
        <f t="shared" ca="1" si="9"/>
        <v>0</v>
      </c>
      <c r="R5" s="38">
        <f t="shared" ca="1" si="10"/>
        <v>0</v>
      </c>
      <c r="S5" s="38">
        <f t="shared" ca="1" si="11"/>
        <v>0</v>
      </c>
      <c r="T5" s="38">
        <f t="shared" ca="1" si="12"/>
        <v>0</v>
      </c>
      <c r="U5" s="38">
        <f t="shared" ca="1" si="13"/>
        <v>0</v>
      </c>
      <c r="V5" s="38">
        <f t="shared" ca="1" si="14"/>
        <v>0</v>
      </c>
      <c r="W5" s="38">
        <f t="shared" ca="1" si="15"/>
        <v>0</v>
      </c>
      <c r="X5" s="38">
        <f t="shared" ca="1" si="16"/>
        <v>0</v>
      </c>
      <c r="Y5" s="38">
        <f t="shared" ca="1" si="17"/>
        <v>0</v>
      </c>
      <c r="Z5" s="38">
        <f t="shared" ca="1" si="18"/>
        <v>0</v>
      </c>
      <c r="AA5" s="38">
        <f t="shared" ca="1" si="19"/>
        <v>0</v>
      </c>
      <c r="AB5" s="38">
        <f t="shared" ca="1" si="20"/>
        <v>0</v>
      </c>
      <c r="AC5" s="38">
        <f t="shared" ca="1" si="21"/>
        <v>0</v>
      </c>
      <c r="AD5" s="38">
        <f t="shared" ca="1" si="22"/>
        <v>0</v>
      </c>
      <c r="AE5" s="38">
        <f t="shared" ca="1" si="23"/>
        <v>0</v>
      </c>
      <c r="AF5" s="38">
        <f t="shared" ca="1" si="24"/>
        <v>0</v>
      </c>
      <c r="AG5" s="34"/>
    </row>
    <row r="6" spans="1:33" x14ac:dyDescent="0.3">
      <c r="A6" s="35" t="s">
        <v>18</v>
      </c>
      <c r="B6" s="35">
        <v>50</v>
      </c>
      <c r="C6" s="35">
        <v>1</v>
      </c>
      <c r="E6" s="36">
        <f ca="1">MIN('1:25'!L6:U6)</f>
        <v>179.673</v>
      </c>
      <c r="F6" s="37">
        <f ca="1">AVERAGE('1:25'!W6)</f>
        <v>180.38014799999996</v>
      </c>
      <c r="H6" s="38">
        <f t="shared" ca="1" si="0"/>
        <v>1.032431138790973E-2</v>
      </c>
      <c r="I6" s="38">
        <f t="shared" ca="1" si="1"/>
        <v>7.5626276624757155E-2</v>
      </c>
      <c r="J6" s="38">
        <f t="shared" ca="1" si="2"/>
        <v>4.0751810233033994E-2</v>
      </c>
      <c r="K6" s="38">
        <f t="shared" ca="1" si="3"/>
        <v>7.1919542724838997E-2</v>
      </c>
      <c r="L6" s="38">
        <f t="shared" ca="1" si="4"/>
        <v>7.8698524541806411E-2</v>
      </c>
      <c r="M6" s="38">
        <f t="shared" ca="1" si="5"/>
        <v>4.875523868360835E-2</v>
      </c>
      <c r="N6" s="38">
        <f t="shared" ca="1" si="6"/>
        <v>4.32730571649605E-2</v>
      </c>
      <c r="O6" s="38">
        <f t="shared" ca="1" si="7"/>
        <v>2.4466670006066185E-2</v>
      </c>
      <c r="P6" s="38">
        <f t="shared" ca="1" si="8"/>
        <v>4.3412198827870382E-2</v>
      </c>
      <c r="Q6" s="38">
        <f t="shared" ca="1" si="9"/>
        <v>1.3301942974180326E-2</v>
      </c>
      <c r="R6" s="38">
        <f t="shared" ca="1" si="10"/>
        <v>4.5304525443444245E-2</v>
      </c>
      <c r="S6" s="38">
        <f t="shared" ca="1" si="11"/>
        <v>3.1184429491353471E-2</v>
      </c>
      <c r="T6" s="38">
        <f t="shared" ca="1" si="12"/>
        <v>2.4461104339549608E-2</v>
      </c>
      <c r="U6" s="38">
        <f t="shared" ca="1" si="13"/>
        <v>2.635343095512363E-2</v>
      </c>
      <c r="V6" s="38">
        <f t="shared" ca="1" si="14"/>
        <v>3.9493969600329193E-2</v>
      </c>
      <c r="W6" s="38">
        <f t="shared" ca="1" si="15"/>
        <v>3.8592331624673383E-2</v>
      </c>
      <c r="X6" s="38">
        <f t="shared" ca="1" si="16"/>
        <v>4.5315656776476927E-2</v>
      </c>
      <c r="Y6" s="38">
        <f t="shared" ca="1" si="17"/>
        <v>1.4832501266188458E-2</v>
      </c>
      <c r="Z6" s="38">
        <f t="shared" ca="1" si="18"/>
        <v>6.2691667640658047E-2</v>
      </c>
      <c r="AA6" s="38">
        <f t="shared" ca="1" si="19"/>
        <v>1.2739810656024727E-2</v>
      </c>
      <c r="AB6" s="38">
        <f t="shared" ca="1" si="20"/>
        <v>3.8692513621968634E-2</v>
      </c>
      <c r="AC6" s="38">
        <f t="shared" ca="1" si="21"/>
        <v>3.220851213036989E-2</v>
      </c>
      <c r="AD6" s="38">
        <f t="shared" ca="1" si="22"/>
        <v>2.2468595726680654E-2</v>
      </c>
      <c r="AE6" s="38">
        <f t="shared" ca="1" si="23"/>
        <v>2.1455644420696911E-2</v>
      </c>
      <c r="AF6" s="38">
        <f t="shared" ca="1" si="24"/>
        <v>7.7613219571109532E-2</v>
      </c>
      <c r="AG6" s="34"/>
    </row>
    <row r="7" spans="1:33" x14ac:dyDescent="0.3">
      <c r="A7" s="35" t="s">
        <v>18</v>
      </c>
      <c r="B7" s="35">
        <v>100</v>
      </c>
      <c r="C7" s="35">
        <v>1</v>
      </c>
      <c r="E7" s="36">
        <f ca="1">MIN('1:25'!L7:U7)</f>
        <v>238.86699999999999</v>
      </c>
      <c r="F7" s="37">
        <f ca="1">AVERAGE('1:25'!W7)</f>
        <v>239.35028400000002</v>
      </c>
      <c r="H7" s="38">
        <f t="shared" ca="1" si="0"/>
        <v>2.2585790418936463E-2</v>
      </c>
      <c r="I7" s="38">
        <f t="shared" ca="1" si="1"/>
        <v>2.3707753687198484E-2</v>
      </c>
      <c r="J7" s="38">
        <f t="shared" ca="1" si="2"/>
        <v>2.3222127794965741E-2</v>
      </c>
      <c r="K7" s="38">
        <f t="shared" ca="1" si="3"/>
        <v>1.6586636077817796E-2</v>
      </c>
      <c r="L7" s="38">
        <f t="shared" ca="1" si="4"/>
        <v>2.7232727835992756E-2</v>
      </c>
      <c r="M7" s="38">
        <f t="shared" ca="1" si="5"/>
        <v>1.9860424420284444E-2</v>
      </c>
      <c r="N7" s="38">
        <f t="shared" ca="1" si="6"/>
        <v>1.8956155517505999E-2</v>
      </c>
      <c r="O7" s="38">
        <f t="shared" ca="1" si="7"/>
        <v>3.0284635382870361E-2</v>
      </c>
      <c r="P7" s="38">
        <f t="shared" ca="1" si="8"/>
        <v>2.3577974353929554E-2</v>
      </c>
      <c r="Q7" s="38">
        <f t="shared" ca="1" si="9"/>
        <v>1.9018951969087785E-2</v>
      </c>
      <c r="R7" s="38">
        <f t="shared" ca="1" si="10"/>
        <v>1.7030397668996125E-2</v>
      </c>
      <c r="S7" s="38">
        <f t="shared" ca="1" si="11"/>
        <v>1.3363084896616497E-2</v>
      </c>
      <c r="T7" s="38">
        <f t="shared" ca="1" si="12"/>
        <v>2.0203711688931949E-2</v>
      </c>
      <c r="U7" s="38">
        <f t="shared" ca="1" si="13"/>
        <v>1.9797627968702668E-2</v>
      </c>
      <c r="V7" s="38">
        <f t="shared" ca="1" si="14"/>
        <v>1.6728974701403269E-2</v>
      </c>
      <c r="W7" s="38">
        <f t="shared" ca="1" si="15"/>
        <v>1.3802660057689591E-2</v>
      </c>
      <c r="X7" s="38">
        <f t="shared" ca="1" si="16"/>
        <v>1.4970674057111609E-2</v>
      </c>
      <c r="Y7" s="38">
        <f t="shared" ca="1" si="17"/>
        <v>1.8248648829683741E-2</v>
      </c>
      <c r="Z7" s="38">
        <f t="shared" ca="1" si="18"/>
        <v>2.6487543277221571E-2</v>
      </c>
      <c r="AA7" s="38">
        <f t="shared" ca="1" si="19"/>
        <v>1.742392209890898E-2</v>
      </c>
      <c r="AB7" s="38">
        <f t="shared" ca="1" si="20"/>
        <v>1.8164920227574693E-2</v>
      </c>
      <c r="AC7" s="38">
        <f t="shared" ca="1" si="21"/>
        <v>1.7746277217029101E-2</v>
      </c>
      <c r="AD7" s="38">
        <f t="shared" ca="1" si="22"/>
        <v>1.64903481853922E-2</v>
      </c>
      <c r="AE7" s="38">
        <f t="shared" ca="1" si="23"/>
        <v>2.0630727559688491E-2</v>
      </c>
      <c r="AF7" s="38">
        <f t="shared" ca="1" si="24"/>
        <v>2.9685975877790361E-2</v>
      </c>
      <c r="AG7" s="34"/>
    </row>
    <row r="8" spans="1:33" x14ac:dyDescent="0.3">
      <c r="A8" s="35" t="s">
        <v>19</v>
      </c>
      <c r="B8" s="35">
        <v>24</v>
      </c>
      <c r="C8" s="35">
        <v>1</v>
      </c>
      <c r="E8" s="36">
        <f ca="1">MIN('1:25'!L8:U8)</f>
        <v>2320.9079999999999</v>
      </c>
      <c r="F8" s="37">
        <f ca="1">AVERAGE('1:25'!W8)</f>
        <v>2320.9667200000013</v>
      </c>
      <c r="H8" s="38">
        <f t="shared" ca="1" si="0"/>
        <v>0</v>
      </c>
      <c r="I8" s="38">
        <f t="shared" ca="1" si="1"/>
        <v>6.3251106894371906E-3</v>
      </c>
      <c r="J8" s="38">
        <f t="shared" ca="1" si="2"/>
        <v>0</v>
      </c>
      <c r="K8" s="38">
        <f t="shared" ca="1" si="3"/>
        <v>0</v>
      </c>
      <c r="L8" s="38">
        <f t="shared" ca="1" si="4"/>
        <v>0</v>
      </c>
      <c r="M8" s="38">
        <f t="shared" ca="1" si="5"/>
        <v>0</v>
      </c>
      <c r="N8" s="38">
        <f t="shared" ca="1" si="6"/>
        <v>0</v>
      </c>
      <c r="O8" s="38">
        <f t="shared" ca="1" si="7"/>
        <v>0</v>
      </c>
      <c r="P8" s="38">
        <f t="shared" ca="1" si="8"/>
        <v>0</v>
      </c>
      <c r="Q8" s="38">
        <f t="shared" ca="1" si="9"/>
        <v>0</v>
      </c>
      <c r="R8" s="38">
        <f t="shared" ca="1" si="10"/>
        <v>0</v>
      </c>
      <c r="S8" s="38">
        <f t="shared" ca="1" si="11"/>
        <v>0</v>
      </c>
      <c r="T8" s="38">
        <f t="shared" ca="1" si="12"/>
        <v>0</v>
      </c>
      <c r="U8" s="38">
        <f t="shared" ca="1" si="13"/>
        <v>0</v>
      </c>
      <c r="V8" s="38">
        <f t="shared" ca="1" si="14"/>
        <v>0</v>
      </c>
      <c r="W8" s="38">
        <f t="shared" ca="1" si="15"/>
        <v>0</v>
      </c>
      <c r="X8" s="38">
        <f t="shared" ca="1" si="16"/>
        <v>0</v>
      </c>
      <c r="Y8" s="38">
        <f t="shared" ca="1" si="17"/>
        <v>0</v>
      </c>
      <c r="Z8" s="38">
        <f t="shared" ca="1" si="18"/>
        <v>0</v>
      </c>
      <c r="AA8" s="38">
        <f t="shared" ca="1" si="19"/>
        <v>0</v>
      </c>
      <c r="AB8" s="38">
        <f t="shared" ca="1" si="20"/>
        <v>0</v>
      </c>
      <c r="AC8" s="38">
        <f t="shared" ca="1" si="21"/>
        <v>0</v>
      </c>
      <c r="AD8" s="38">
        <f t="shared" ca="1" si="22"/>
        <v>0</v>
      </c>
      <c r="AE8" s="38">
        <f t="shared" ca="1" si="23"/>
        <v>0</v>
      </c>
      <c r="AF8" s="38">
        <f t="shared" ca="1" si="24"/>
        <v>0</v>
      </c>
      <c r="AG8" s="34"/>
    </row>
    <row r="9" spans="1:33" x14ac:dyDescent="0.3">
      <c r="A9" s="35" t="s">
        <v>19</v>
      </c>
      <c r="B9" s="35">
        <v>47</v>
      </c>
      <c r="C9" s="35">
        <v>1</v>
      </c>
      <c r="E9" s="36">
        <f ca="1">MIN('1:25'!L9:U9)</f>
        <v>4313.6099999999997</v>
      </c>
      <c r="F9" s="37">
        <f ca="1">AVERAGE('1:25'!W9)</f>
        <v>4314.0002400000012</v>
      </c>
      <c r="H9" s="38">
        <f t="shared" ca="1" si="0"/>
        <v>0</v>
      </c>
      <c r="I9" s="38">
        <f t="shared" ca="1" si="1"/>
        <v>2.2616787331263661E-3</v>
      </c>
      <c r="J9" s="38">
        <f t="shared" ca="1" si="2"/>
        <v>1.130839366563183E-3</v>
      </c>
      <c r="K9" s="38">
        <f t="shared" ca="1" si="3"/>
        <v>0</v>
      </c>
      <c r="L9" s="38">
        <f t="shared" ca="1" si="4"/>
        <v>3.3925180996895489E-3</v>
      </c>
      <c r="M9" s="38">
        <f t="shared" ca="1" si="5"/>
        <v>3.3925180996895489E-3</v>
      </c>
      <c r="N9" s="38">
        <f t="shared" ca="1" si="6"/>
        <v>0</v>
      </c>
      <c r="O9" s="38">
        <f t="shared" ca="1" si="7"/>
        <v>1.130839366563183E-3</v>
      </c>
      <c r="P9" s="38">
        <f t="shared" ca="1" si="8"/>
        <v>0</v>
      </c>
      <c r="Q9" s="38">
        <f t="shared" ca="1" si="9"/>
        <v>0</v>
      </c>
      <c r="R9" s="38">
        <f t="shared" ca="1" si="10"/>
        <v>2.2616787331263661E-3</v>
      </c>
      <c r="S9" s="38">
        <f t="shared" ca="1" si="11"/>
        <v>0</v>
      </c>
      <c r="T9" s="38">
        <f t="shared" ca="1" si="12"/>
        <v>0</v>
      </c>
      <c r="U9" s="38">
        <f t="shared" ca="1" si="13"/>
        <v>0</v>
      </c>
      <c r="V9" s="38">
        <f t="shared" ca="1" si="14"/>
        <v>0</v>
      </c>
      <c r="W9" s="38">
        <f t="shared" ca="1" si="15"/>
        <v>0</v>
      </c>
      <c r="X9" s="38">
        <f t="shared" ca="1" si="16"/>
        <v>1.130839366563183E-3</v>
      </c>
      <c r="Y9" s="38">
        <f t="shared" ca="1" si="17"/>
        <v>1.130839366563183E-3</v>
      </c>
      <c r="Z9" s="38">
        <f t="shared" ca="1" si="18"/>
        <v>2.2616787331263661E-3</v>
      </c>
      <c r="AA9" s="38">
        <f t="shared" ca="1" si="19"/>
        <v>0</v>
      </c>
      <c r="AB9" s="38">
        <f t="shared" ca="1" si="20"/>
        <v>0</v>
      </c>
      <c r="AC9" s="38">
        <f t="shared" ca="1" si="21"/>
        <v>1.130839366563183E-3</v>
      </c>
      <c r="AD9" s="38">
        <f t="shared" ca="1" si="22"/>
        <v>0</v>
      </c>
      <c r="AE9" s="38">
        <f t="shared" ca="1" si="23"/>
        <v>1.130839366563183E-3</v>
      </c>
      <c r="AF9" s="38">
        <f t="shared" ca="1" si="24"/>
        <v>2.2616787331263661E-3</v>
      </c>
      <c r="AG9" s="34"/>
    </row>
    <row r="10" spans="1:33" x14ac:dyDescent="0.3">
      <c r="A10" s="35" t="s">
        <v>19</v>
      </c>
      <c r="B10" s="35">
        <v>100</v>
      </c>
      <c r="C10" s="35">
        <v>1</v>
      </c>
      <c r="E10" s="36">
        <f ca="1">MIN('1:25'!L10:U10)</f>
        <v>35210.383000000002</v>
      </c>
      <c r="F10" s="37">
        <f ca="1">AVERAGE('1:25'!W10)</f>
        <v>35256.139155999997</v>
      </c>
      <c r="H10" s="38">
        <f t="shared" ca="1" si="0"/>
        <v>1.8925468660763438E-2</v>
      </c>
      <c r="I10" s="38">
        <f t="shared" ca="1" si="1"/>
        <v>1.1232027779987004E-2</v>
      </c>
      <c r="J10" s="38">
        <f t="shared" ca="1" si="2"/>
        <v>1.2600232153111705E-2</v>
      </c>
      <c r="K10" s="38">
        <f t="shared" ca="1" si="3"/>
        <v>1.1537449053024382E-2</v>
      </c>
      <c r="L10" s="38">
        <f t="shared" ca="1" si="4"/>
        <v>1.7259539607961356E-2</v>
      </c>
      <c r="M10" s="38">
        <f t="shared" ca="1" si="5"/>
        <v>1.2751948764658119E-2</v>
      </c>
      <c r="N10" s="38">
        <f t="shared" ca="1" si="6"/>
        <v>1.4917957580864089E-2</v>
      </c>
      <c r="O10" s="38">
        <f t="shared" ca="1" si="7"/>
        <v>1.2145820737024995E-2</v>
      </c>
      <c r="P10" s="38">
        <f t="shared" ca="1" si="8"/>
        <v>1.2257719548236309E-2</v>
      </c>
      <c r="Q10" s="38">
        <f t="shared" ca="1" si="9"/>
        <v>1.1585985872405464E-2</v>
      </c>
      <c r="R10" s="38">
        <f t="shared" ca="1" si="10"/>
        <v>1.7676660887215569E-2</v>
      </c>
      <c r="S10" s="38">
        <f t="shared" ca="1" si="11"/>
        <v>1.1598198179212815E-2</v>
      </c>
      <c r="T10" s="38">
        <f t="shared" ca="1" si="12"/>
        <v>1.0716952439852703E-2</v>
      </c>
      <c r="U10" s="38">
        <f t="shared" ca="1" si="13"/>
        <v>1.2873759424882685E-2</v>
      </c>
      <c r="V10" s="38">
        <f t="shared" ca="1" si="14"/>
        <v>9.5811795060561835E-3</v>
      </c>
      <c r="W10" s="38">
        <f t="shared" ca="1" si="15"/>
        <v>1.349337779143106E-2</v>
      </c>
      <c r="X10" s="38">
        <f t="shared" ca="1" si="16"/>
        <v>1.5090378312556158E-2</v>
      </c>
      <c r="Y10" s="38">
        <f t="shared" ca="1" si="17"/>
        <v>1.0398552040742866E-2</v>
      </c>
      <c r="Z10" s="38">
        <f t="shared" ca="1" si="18"/>
        <v>1.197740450593749E-2</v>
      </c>
      <c r="AA10" s="38">
        <f t="shared" ca="1" si="19"/>
        <v>1.2752971190343906E-2</v>
      </c>
      <c r="AB10" s="38">
        <f t="shared" ca="1" si="20"/>
        <v>7.7327474682675045E-3</v>
      </c>
      <c r="AC10" s="38">
        <f t="shared" ca="1" si="21"/>
        <v>1.6838073019540441E-2</v>
      </c>
      <c r="AD10" s="38">
        <f t="shared" ca="1" si="22"/>
        <v>1.3684770199744505E-2</v>
      </c>
      <c r="AE10" s="38">
        <f t="shared" ca="1" si="23"/>
        <v>1.5025255476488027E-2</v>
      </c>
      <c r="AF10" s="38">
        <f t="shared" ca="1" si="24"/>
        <v>1.0222439216295778E-2</v>
      </c>
      <c r="AG10" s="34"/>
    </row>
    <row r="11" spans="1:33" x14ac:dyDescent="0.3">
      <c r="A11" s="35" t="s">
        <v>20</v>
      </c>
      <c r="B11" s="35">
        <v>30</v>
      </c>
      <c r="C11" s="35">
        <v>1</v>
      </c>
      <c r="E11" s="36">
        <f ca="1">MIN('1:25'!L11:U11)</f>
        <v>655.46500000000003</v>
      </c>
      <c r="F11" s="37">
        <f ca="1">AVERAGE('1:25'!W11)</f>
        <v>657.77815200000009</v>
      </c>
      <c r="H11" s="38">
        <f t="shared" ca="1" si="0"/>
        <v>3.0099242522483402E-2</v>
      </c>
      <c r="I11" s="38">
        <f t="shared" ca="1" si="1"/>
        <v>3.955359935312984E-2</v>
      </c>
      <c r="J11" s="38">
        <f t="shared" ca="1" si="2"/>
        <v>3.8950973736201773E-2</v>
      </c>
      <c r="K11" s="38">
        <f t="shared" ca="1" si="3"/>
        <v>3.6779995880785801E-2</v>
      </c>
      <c r="L11" s="38">
        <f t="shared" ca="1" si="4"/>
        <v>4.0273698824497974E-2</v>
      </c>
      <c r="M11" s="38">
        <f t="shared" ca="1" si="5"/>
        <v>3.6853226335501678E-2</v>
      </c>
      <c r="N11" s="38">
        <f t="shared" ca="1" si="6"/>
        <v>3.0050422219339776E-2</v>
      </c>
      <c r="O11" s="38">
        <f t="shared" ca="1" si="7"/>
        <v>3.5539655054044661E-2</v>
      </c>
      <c r="P11" s="38">
        <f t="shared" ca="1" si="8"/>
        <v>3.4805824872418067E-2</v>
      </c>
      <c r="Q11" s="38">
        <f t="shared" ca="1" si="9"/>
        <v>3.6660996391873729E-2</v>
      </c>
      <c r="R11" s="38">
        <f t="shared" ca="1" si="10"/>
        <v>3.2814871884844263E-2</v>
      </c>
      <c r="S11" s="38">
        <f t="shared" ca="1" si="11"/>
        <v>3.1446377762351339E-2</v>
      </c>
      <c r="T11" s="38">
        <f t="shared" ca="1" si="12"/>
        <v>3.3985033525816957E-2</v>
      </c>
      <c r="U11" s="38">
        <f t="shared" ca="1" si="13"/>
        <v>3.7515351696886128E-2</v>
      </c>
      <c r="V11" s="38">
        <f t="shared" ca="1" si="14"/>
        <v>3.5622039315599749E-2</v>
      </c>
      <c r="W11" s="38">
        <f t="shared" ca="1" si="15"/>
        <v>3.0099242522483402E-2</v>
      </c>
      <c r="X11" s="38">
        <f t="shared" ca="1" si="16"/>
        <v>3.4805824872418067E-2</v>
      </c>
      <c r="Y11" s="38">
        <f t="shared" ca="1" si="17"/>
        <v>3.5539655054044668E-2</v>
      </c>
      <c r="Z11" s="38">
        <f t="shared" ca="1" si="18"/>
        <v>4.1430129755211514E-2</v>
      </c>
      <c r="AA11" s="38">
        <f t="shared" ca="1" si="19"/>
        <v>3.2814871884844263E-2</v>
      </c>
      <c r="AB11" s="38">
        <f t="shared" ca="1" si="20"/>
        <v>3.1388403652368342E-2</v>
      </c>
      <c r="AC11" s="38">
        <f t="shared" ca="1" si="21"/>
        <v>2.9978717399097618E-2</v>
      </c>
      <c r="AD11" s="38">
        <f t="shared" ca="1" si="22"/>
        <v>3.2814871884844263E-2</v>
      </c>
      <c r="AE11" s="38">
        <f t="shared" ca="1" si="23"/>
        <v>3.6671675833186486E-2</v>
      </c>
      <c r="AF11" s="38">
        <f t="shared" ca="1" si="24"/>
        <v>4.5761406024729508E-2</v>
      </c>
      <c r="AG11"/>
    </row>
    <row r="12" spans="1:33" x14ac:dyDescent="0.3">
      <c r="A12" s="35" t="s">
        <v>20</v>
      </c>
      <c r="B12" s="35">
        <v>50</v>
      </c>
      <c r="C12" s="35">
        <v>1</v>
      </c>
      <c r="E12" s="36">
        <f ca="1">MIN('1:25'!L12:U12)</f>
        <v>990.096</v>
      </c>
      <c r="F12" s="37">
        <f ca="1">AVERAGE('1:25'!W12)</f>
        <v>994.43756799999983</v>
      </c>
      <c r="H12" s="38">
        <f t="shared" ca="1" si="0"/>
        <v>5.7851965869976235E-2</v>
      </c>
      <c r="I12" s="38">
        <f t="shared" ca="1" si="1"/>
        <v>4.3342261760475877E-2</v>
      </c>
      <c r="J12" s="38">
        <f t="shared" ca="1" si="2"/>
        <v>5.0662764014802658E-2</v>
      </c>
      <c r="K12" s="38">
        <f t="shared" ca="1" si="3"/>
        <v>4.3894733439989592E-2</v>
      </c>
      <c r="L12" s="38">
        <f t="shared" ca="1" si="4"/>
        <v>5.6415741503854026E-2</v>
      </c>
      <c r="M12" s="38">
        <f t="shared" ca="1" si="5"/>
        <v>4.6408631082238444E-2</v>
      </c>
      <c r="N12" s="38">
        <f t="shared" ca="1" si="6"/>
        <v>3.0365742311856452E-2</v>
      </c>
      <c r="O12" s="38">
        <f t="shared" ca="1" si="7"/>
        <v>4.431186470806877E-2</v>
      </c>
      <c r="P12" s="38">
        <f t="shared" ca="1" si="8"/>
        <v>3.6160129926794883E-2</v>
      </c>
      <c r="Q12" s="38">
        <f t="shared" ca="1" si="9"/>
        <v>4.6968172783245193E-2</v>
      </c>
      <c r="R12" s="38">
        <f t="shared" ca="1" si="10"/>
        <v>4.6911612611302347E-2</v>
      </c>
      <c r="S12" s="38">
        <f t="shared" ca="1" si="11"/>
        <v>3.4417874630338754E-2</v>
      </c>
      <c r="T12" s="38">
        <f t="shared" ca="1" si="12"/>
        <v>4.2296908582602016E-2</v>
      </c>
      <c r="U12" s="38">
        <f t="shared" ca="1" si="13"/>
        <v>5.1668727072930222E-2</v>
      </c>
      <c r="V12" s="38">
        <f t="shared" ca="1" si="14"/>
        <v>4.1865637271537443E-2</v>
      </c>
      <c r="W12" s="38">
        <f t="shared" ca="1" si="15"/>
        <v>4.251203923659929E-2</v>
      </c>
      <c r="X12" s="38">
        <f t="shared" ca="1" si="16"/>
        <v>3.8277096362372968E-2</v>
      </c>
      <c r="Y12" s="38">
        <f t="shared" ca="1" si="17"/>
        <v>3.2560478983855938E-2</v>
      </c>
      <c r="Z12" s="38">
        <f t="shared" ca="1" si="18"/>
        <v>4.5977359771173634E-2</v>
      </c>
      <c r="AA12" s="38">
        <f t="shared" ca="1" si="19"/>
        <v>4.9199269565779351E-2</v>
      </c>
      <c r="AB12" s="38">
        <f t="shared" ca="1" si="20"/>
        <v>3.5368287519594088E-2</v>
      </c>
      <c r="AC12" s="38">
        <f t="shared" ca="1" si="21"/>
        <v>3.3912873095134202E-2</v>
      </c>
      <c r="AD12" s="38">
        <f t="shared" ca="1" si="22"/>
        <v>4.4814846237132312E-2</v>
      </c>
      <c r="AE12" s="38">
        <f t="shared" ca="1" si="23"/>
        <v>4.7427724180281586E-2</v>
      </c>
      <c r="AF12" s="38">
        <f t="shared" ca="1" si="24"/>
        <v>5.2656510075790613E-2</v>
      </c>
      <c r="AG12"/>
    </row>
    <row r="13" spans="1:33" x14ac:dyDescent="0.3">
      <c r="A13" s="35" t="s">
        <v>20</v>
      </c>
      <c r="B13" s="35">
        <v>100</v>
      </c>
      <c r="C13" s="35">
        <v>1</v>
      </c>
      <c r="E13" s="36">
        <f ca="1">MIN('1:25'!L13:U13)</f>
        <v>1753.79</v>
      </c>
      <c r="F13" s="37">
        <f ca="1">AVERAGE('1:25'!W13)</f>
        <v>1757.2708920000005</v>
      </c>
      <c r="H13" s="38">
        <f t="shared" ca="1" si="0"/>
        <v>4.041646947468084E-2</v>
      </c>
      <c r="I13" s="38">
        <f t="shared" ca="1" si="1"/>
        <v>1.4019352374001572E-2</v>
      </c>
      <c r="J13" s="38">
        <f t="shared" ca="1" si="2"/>
        <v>1.5353035426134476E-2</v>
      </c>
      <c r="K13" s="38">
        <f t="shared" ca="1" si="3"/>
        <v>1.5345622908102149E-2</v>
      </c>
      <c r="L13" s="38">
        <f t="shared" ca="1" si="4"/>
        <v>1.6630269302482278E-2</v>
      </c>
      <c r="M13" s="38">
        <f t="shared" ca="1" si="5"/>
        <v>1.6461491968822007E-2</v>
      </c>
      <c r="N13" s="38">
        <f t="shared" ca="1" si="6"/>
        <v>2.6365756447465472E-2</v>
      </c>
      <c r="O13" s="38">
        <f t="shared" ca="1" si="7"/>
        <v>1.4902582407243981E-2</v>
      </c>
      <c r="P13" s="38">
        <f t="shared" ca="1" si="8"/>
        <v>2.1917105240650304E-2</v>
      </c>
      <c r="Q13" s="38">
        <f t="shared" ca="1" si="9"/>
        <v>1.4071240000228399E-2</v>
      </c>
      <c r="R13" s="38">
        <f t="shared" ca="1" si="10"/>
        <v>1.4362608978270221E-2</v>
      </c>
      <c r="S13" s="38">
        <f t="shared" ca="1" si="11"/>
        <v>1.6935322929199192E-2</v>
      </c>
      <c r="T13" s="38">
        <f t="shared" ca="1" si="12"/>
        <v>1.7916626277946893E-2</v>
      </c>
      <c r="U13" s="38">
        <f t="shared" ca="1" si="13"/>
        <v>1.9278819014819551E-2</v>
      </c>
      <c r="V13" s="38">
        <f t="shared" ca="1" si="14"/>
        <v>2.15744188300767E-2</v>
      </c>
      <c r="W13" s="38">
        <f t="shared" ca="1" si="15"/>
        <v>2.2456508475929414E-2</v>
      </c>
      <c r="X13" s="38">
        <f t="shared" ca="1" si="16"/>
        <v>1.8219969323579322E-2</v>
      </c>
      <c r="Y13" s="38">
        <f t="shared" ca="1" si="17"/>
        <v>1.8837489095045738E-2</v>
      </c>
      <c r="Z13" s="38">
        <f t="shared" ca="1" si="18"/>
        <v>1.5581112904053777E-2</v>
      </c>
      <c r="AA13" s="38">
        <f t="shared" ca="1" si="19"/>
        <v>3.4184822584231979E-2</v>
      </c>
      <c r="AB13" s="38">
        <f t="shared" ca="1" si="20"/>
        <v>1.4302738640316278E-2</v>
      </c>
      <c r="AC13" s="38">
        <f t="shared" ca="1" si="21"/>
        <v>1.9725280677846419E-2</v>
      </c>
      <c r="AD13" s="38">
        <f t="shared" ca="1" si="22"/>
        <v>3.8200126583000441E-2</v>
      </c>
      <c r="AE13" s="38">
        <f t="shared" ca="1" si="23"/>
        <v>1.7483279069900326E-2</v>
      </c>
      <c r="AF13" s="38">
        <f t="shared" ca="1" si="24"/>
        <v>1.1653618734284353E-2</v>
      </c>
      <c r="AG13"/>
    </row>
    <row r="14" spans="1:33" x14ac:dyDescent="0.3">
      <c r="A14" s="35" t="s">
        <v>33</v>
      </c>
      <c r="B14" s="35">
        <v>9</v>
      </c>
      <c r="C14" s="35">
        <v>1</v>
      </c>
      <c r="E14" s="36">
        <f ca="1">MIN('1:25'!L14:U14)</f>
        <v>8.5419999999999998</v>
      </c>
      <c r="F14" s="37">
        <f ca="1">AVERAGE('1:25'!W14)</f>
        <v>8.5419999999999998</v>
      </c>
      <c r="H14" s="38">
        <f t="shared" ca="1" si="0"/>
        <v>0</v>
      </c>
      <c r="I14" s="38">
        <f t="shared" ca="1" si="1"/>
        <v>0</v>
      </c>
      <c r="J14" s="38">
        <f t="shared" ca="1" si="2"/>
        <v>0</v>
      </c>
      <c r="K14" s="38">
        <f t="shared" ca="1" si="3"/>
        <v>0</v>
      </c>
      <c r="L14" s="38">
        <f t="shared" ca="1" si="4"/>
        <v>0</v>
      </c>
      <c r="M14" s="38">
        <f t="shared" ca="1" si="5"/>
        <v>0</v>
      </c>
      <c r="N14" s="38">
        <f t="shared" ca="1" si="6"/>
        <v>0</v>
      </c>
      <c r="O14" s="38">
        <f t="shared" ca="1" si="7"/>
        <v>0</v>
      </c>
      <c r="P14" s="38">
        <f t="shared" ca="1" si="8"/>
        <v>0</v>
      </c>
      <c r="Q14" s="38">
        <f t="shared" ca="1" si="9"/>
        <v>0</v>
      </c>
      <c r="R14" s="38">
        <f t="shared" ca="1" si="10"/>
        <v>0</v>
      </c>
      <c r="S14" s="38">
        <f t="shared" ca="1" si="11"/>
        <v>0</v>
      </c>
      <c r="T14" s="38">
        <f t="shared" ca="1" si="12"/>
        <v>0</v>
      </c>
      <c r="U14" s="38">
        <f t="shared" ca="1" si="13"/>
        <v>0</v>
      </c>
      <c r="V14" s="38">
        <f t="shared" ca="1" si="14"/>
        <v>0</v>
      </c>
      <c r="W14" s="38">
        <f t="shared" ca="1" si="15"/>
        <v>0</v>
      </c>
      <c r="X14" s="38">
        <f t="shared" ca="1" si="16"/>
        <v>0</v>
      </c>
      <c r="Y14" s="38">
        <f t="shared" ca="1" si="17"/>
        <v>0</v>
      </c>
      <c r="Z14" s="38">
        <f t="shared" ca="1" si="18"/>
        <v>0</v>
      </c>
      <c r="AA14" s="38">
        <f t="shared" ca="1" si="19"/>
        <v>0</v>
      </c>
      <c r="AB14" s="38">
        <f t="shared" ca="1" si="20"/>
        <v>0</v>
      </c>
      <c r="AC14" s="38">
        <f t="shared" ca="1" si="21"/>
        <v>0</v>
      </c>
      <c r="AD14" s="38">
        <f t="shared" ca="1" si="22"/>
        <v>0</v>
      </c>
      <c r="AE14" s="38">
        <f t="shared" ca="1" si="23"/>
        <v>0</v>
      </c>
      <c r="AF14" s="38">
        <f t="shared" ca="1" si="24"/>
        <v>0</v>
      </c>
      <c r="AG14"/>
    </row>
    <row r="15" spans="1:33" x14ac:dyDescent="0.3">
      <c r="A15" s="35" t="s">
        <v>33</v>
      </c>
      <c r="B15" s="35">
        <v>209</v>
      </c>
      <c r="C15" s="35">
        <v>1</v>
      </c>
      <c r="E15" s="36">
        <f ca="1">MIN('1:25'!L15:U15)</f>
        <v>75.998000000000005</v>
      </c>
      <c r="F15" s="37">
        <f ca="1">AVERAGE('1:25'!W15)</f>
        <v>76.574996000000013</v>
      </c>
      <c r="H15" s="38">
        <f t="shared" ca="1" si="0"/>
        <v>0.14243795889365457</v>
      </c>
      <c r="I15" s="38">
        <f t="shared" ca="1" si="1"/>
        <v>9.0989236558856323E-2</v>
      </c>
      <c r="J15" s="38">
        <f t="shared" ca="1" si="2"/>
        <v>6.4791178715228687E-2</v>
      </c>
      <c r="K15" s="38">
        <f t="shared" ca="1" si="3"/>
        <v>7.0567646517012847E-2</v>
      </c>
      <c r="L15" s="38">
        <f t="shared" ca="1" si="4"/>
        <v>5.2356640964235326E-2</v>
      </c>
      <c r="M15" s="38">
        <f t="shared" ca="1" si="5"/>
        <v>5.7409405510670947E-2</v>
      </c>
      <c r="N15" s="38">
        <f t="shared" ca="1" si="6"/>
        <v>8.1528461275296116E-2</v>
      </c>
      <c r="O15" s="38">
        <f t="shared" ca="1" si="7"/>
        <v>6.514645122239994E-2</v>
      </c>
      <c r="P15" s="38">
        <f t="shared" ca="1" si="8"/>
        <v>8.4581173188767539E-2</v>
      </c>
      <c r="Q15" s="38">
        <f t="shared" ca="1" si="9"/>
        <v>4.9646043316928581E-2</v>
      </c>
      <c r="R15" s="38">
        <f t="shared" ca="1" si="10"/>
        <v>6.3343772204531218E-2</v>
      </c>
      <c r="S15" s="38">
        <f t="shared" ca="1" si="11"/>
        <v>9.5791994526171376E-2</v>
      </c>
      <c r="T15" s="38">
        <f t="shared" ca="1" si="12"/>
        <v>6.752809284454786E-2</v>
      </c>
      <c r="U15" s="38">
        <f t="shared" ca="1" si="13"/>
        <v>5.5554093528776619E-2</v>
      </c>
      <c r="V15" s="38">
        <f t="shared" ca="1" si="14"/>
        <v>7.3594041948471633E-2</v>
      </c>
      <c r="W15" s="38">
        <f t="shared" ca="1" si="15"/>
        <v>7.7830995552513868E-2</v>
      </c>
      <c r="X15" s="38">
        <f t="shared" ca="1" si="16"/>
        <v>4.4461696360430229E-2</v>
      </c>
      <c r="Y15" s="38">
        <f t="shared" ca="1" si="17"/>
        <v>4.9882891655042956E-2</v>
      </c>
      <c r="Z15" s="38">
        <f t="shared" ca="1" si="18"/>
        <v>6.5830679754729823E-2</v>
      </c>
      <c r="AA15" s="38">
        <f t="shared" ca="1" si="19"/>
        <v>0.11380562646385377</v>
      </c>
      <c r="AB15" s="38">
        <f t="shared" ca="1" si="20"/>
        <v>8.8910234479854244E-2</v>
      </c>
      <c r="AC15" s="38">
        <f t="shared" ca="1" si="21"/>
        <v>5.1856627805994177E-2</v>
      </c>
      <c r="AD15" s="38">
        <f t="shared" ca="1" si="22"/>
        <v>0.12345061712150288</v>
      </c>
      <c r="AE15" s="38">
        <f t="shared" ca="1" si="23"/>
        <v>8.8304955393562229E-2</v>
      </c>
      <c r="AF15" s="38">
        <f t="shared" ca="1" si="24"/>
        <v>7.8462591120818506E-2</v>
      </c>
      <c r="AG15"/>
    </row>
    <row r="16" spans="1:33" s="40" customFormat="1" x14ac:dyDescent="0.3">
      <c r="A16" s="35" t="s">
        <v>33</v>
      </c>
      <c r="B16" s="35">
        <v>324</v>
      </c>
      <c r="C16" s="35">
        <v>1</v>
      </c>
      <c r="E16" s="36">
        <f ca="1">MIN('1:25'!L16:U16)</f>
        <v>118.01</v>
      </c>
      <c r="F16" s="37">
        <f ca="1">AVERAGE('1:25'!W16)</f>
        <v>119.04810400000002</v>
      </c>
      <c r="H16" s="38">
        <f t="shared" ca="1" si="0"/>
        <v>0.11009236505380866</v>
      </c>
      <c r="I16" s="38">
        <f t="shared" ca="1" si="1"/>
        <v>9.0017795102109568E-2</v>
      </c>
      <c r="J16" s="38">
        <f t="shared" ca="1" si="2"/>
        <v>7.2587068892466397E-2</v>
      </c>
      <c r="K16" s="38">
        <f t="shared" ca="1" si="3"/>
        <v>9.457673078552617E-2</v>
      </c>
      <c r="L16" s="38">
        <f t="shared" ca="1" si="4"/>
        <v>6.1435471570205562E-2</v>
      </c>
      <c r="M16" s="38">
        <f t="shared" ca="1" si="5"/>
        <v>6.6502838742478837E-2</v>
      </c>
      <c r="N16" s="38">
        <f t="shared" ca="1" si="6"/>
        <v>0.10141513431065119</v>
      </c>
      <c r="O16" s="38">
        <f t="shared" ca="1" si="7"/>
        <v>8.393356495212223E-2</v>
      </c>
      <c r="P16" s="38">
        <f t="shared" ca="1" si="8"/>
        <v>0.11709177188373841</v>
      </c>
      <c r="Q16" s="38">
        <f t="shared" ca="1" si="9"/>
        <v>7.0282179476315182E-2</v>
      </c>
      <c r="R16" s="38">
        <f t="shared" ca="1" si="10"/>
        <v>7.9425472417591403E-2</v>
      </c>
      <c r="S16" s="38">
        <f t="shared" ca="1" si="11"/>
        <v>0.12473519193288654</v>
      </c>
      <c r="T16" s="38">
        <f t="shared" ca="1" si="12"/>
        <v>9.3220913481907863E-2</v>
      </c>
      <c r="U16" s="38">
        <f t="shared" ca="1" si="13"/>
        <v>6.5833403948817218E-2</v>
      </c>
      <c r="V16" s="38">
        <f t="shared" ca="1" si="14"/>
        <v>9.1161765952037677E-2</v>
      </c>
      <c r="W16" s="38">
        <f t="shared" ca="1" si="15"/>
        <v>8.6162189644944792E-2</v>
      </c>
      <c r="X16" s="38">
        <f t="shared" ca="1" si="16"/>
        <v>7.1485467333276653E-2</v>
      </c>
      <c r="Y16" s="38">
        <f t="shared" ca="1" si="17"/>
        <v>8.4908058639097853E-2</v>
      </c>
      <c r="Z16" s="38">
        <f t="shared" ca="1" si="18"/>
        <v>8.1687992543004337E-2</v>
      </c>
      <c r="AA16" s="38">
        <f t="shared" ca="1" si="19"/>
        <v>9.8000169477162696E-2</v>
      </c>
      <c r="AB16" s="38">
        <f t="shared" ca="1" si="20"/>
        <v>0.10488941615117327</v>
      </c>
      <c r="AC16" s="38">
        <f t="shared" ca="1" si="21"/>
        <v>5.0724514871620607E-2</v>
      </c>
      <c r="AD16" s="38">
        <f t="shared" ca="1" si="22"/>
        <v>0.1321921871027876</v>
      </c>
      <c r="AE16" s="38">
        <f t="shared" ca="1" si="23"/>
        <v>9.0695703753918819E-2</v>
      </c>
      <c r="AF16" s="38">
        <f t="shared" ca="1" si="24"/>
        <v>7.6129141598169234E-2</v>
      </c>
      <c r="AG16" s="41"/>
    </row>
    <row r="17" spans="1:33" s="40" customFormat="1" x14ac:dyDescent="0.3">
      <c r="A17" s="35" t="s">
        <v>34</v>
      </c>
      <c r="B17" s="35">
        <v>40</v>
      </c>
      <c r="C17" s="35">
        <v>1</v>
      </c>
      <c r="E17" s="36">
        <f ca="1">MIN('1:25'!L17:U17)</f>
        <v>16.481999999999999</v>
      </c>
      <c r="F17" s="37">
        <f ca="1">AVERAGE('1:25'!W17)</f>
        <v>16.692932000000003</v>
      </c>
      <c r="H17" s="38">
        <f t="shared" ca="1" si="0"/>
        <v>0.11327508797476063</v>
      </c>
      <c r="I17" s="38">
        <f t="shared" ca="1" si="1"/>
        <v>0.13269020749909044</v>
      </c>
      <c r="J17" s="38">
        <f t="shared" ca="1" si="2"/>
        <v>0.15926465234801668</v>
      </c>
      <c r="K17" s="38">
        <f t="shared" ca="1" si="3"/>
        <v>0.12207256400922264</v>
      </c>
      <c r="L17" s="38">
        <f t="shared" ca="1" si="4"/>
        <v>0.13372163572382018</v>
      </c>
      <c r="M17" s="38">
        <f t="shared" ca="1" si="5"/>
        <v>0.14130566678801165</v>
      </c>
      <c r="N17" s="38">
        <f t="shared" ca="1" si="6"/>
        <v>0.12716903288435916</v>
      </c>
      <c r="O17" s="38">
        <f t="shared" ca="1" si="7"/>
        <v>0.1196456740686813</v>
      </c>
      <c r="P17" s="38">
        <f t="shared" ca="1" si="8"/>
        <v>0.10059458803543332</v>
      </c>
      <c r="Q17" s="38">
        <f t="shared" ca="1" si="9"/>
        <v>0.14173037252760601</v>
      </c>
      <c r="R17" s="38">
        <f t="shared" ca="1" si="10"/>
        <v>0.13517776968814516</v>
      </c>
      <c r="S17" s="38">
        <f t="shared" ca="1" si="11"/>
        <v>9.90171095740809E-2</v>
      </c>
      <c r="T17" s="38">
        <f t="shared" ca="1" si="12"/>
        <v>0.12182987501516868</v>
      </c>
      <c r="U17" s="38">
        <f t="shared" ca="1" si="13"/>
        <v>0.18177405654653578</v>
      </c>
      <c r="V17" s="38">
        <f t="shared" ca="1" si="14"/>
        <v>0.12146584152408746</v>
      </c>
      <c r="W17" s="38">
        <f t="shared" ca="1" si="15"/>
        <v>0.10035189904137913</v>
      </c>
      <c r="X17" s="38">
        <f t="shared" ca="1" si="16"/>
        <v>0.11837155684989734</v>
      </c>
      <c r="Y17" s="38">
        <f t="shared" ca="1" si="17"/>
        <v>0.13281155199611766</v>
      </c>
      <c r="Z17" s="38">
        <f t="shared" ca="1" si="18"/>
        <v>0.15174129353233839</v>
      </c>
      <c r="AA17" s="38">
        <f t="shared" ca="1" si="19"/>
        <v>0.14591675767504014</v>
      </c>
      <c r="AB17" s="38">
        <f t="shared" ca="1" si="20"/>
        <v>0.10599441815313719</v>
      </c>
      <c r="AC17" s="38">
        <f t="shared" ca="1" si="21"/>
        <v>0.12589491566557517</v>
      </c>
      <c r="AD17" s="38">
        <f t="shared" ca="1" si="22"/>
        <v>8.8096104841645761E-2</v>
      </c>
      <c r="AE17" s="38">
        <f t="shared" ca="1" si="23"/>
        <v>0.12559155442300715</v>
      </c>
      <c r="AF17" s="38">
        <f t="shared" ca="1" si="24"/>
        <v>0.15392549447882556</v>
      </c>
      <c r="AG17" s="41"/>
    </row>
    <row r="18" spans="1:33" s="40" customFormat="1" x14ac:dyDescent="0.3">
      <c r="A18" s="35" t="s">
        <v>34</v>
      </c>
      <c r="B18" s="35">
        <v>96</v>
      </c>
      <c r="C18" s="35">
        <v>1</v>
      </c>
      <c r="E18" s="36">
        <f ca="1">MIN('1:25'!L18:U18)</f>
        <v>35.069000000000003</v>
      </c>
      <c r="F18" s="37">
        <f ca="1">AVERAGE('1:25'!W18)</f>
        <v>35.168892</v>
      </c>
      <c r="H18" s="38">
        <f t="shared" ca="1" si="0"/>
        <v>3.2935070860302992E-2</v>
      </c>
      <c r="I18" s="38">
        <f t="shared" ca="1" si="1"/>
        <v>2.7773817331545679E-2</v>
      </c>
      <c r="J18" s="38">
        <f t="shared" ca="1" si="2"/>
        <v>3.410419458781213E-2</v>
      </c>
      <c r="K18" s="38">
        <f t="shared" ca="1" si="3"/>
        <v>2.6291026262510352E-2</v>
      </c>
      <c r="L18" s="38">
        <f t="shared" ca="1" si="4"/>
        <v>2.9741367019303966E-2</v>
      </c>
      <c r="M18" s="38">
        <f t="shared" ca="1" si="5"/>
        <v>2.948473010350958E-2</v>
      </c>
      <c r="N18" s="38">
        <f t="shared" ca="1" si="6"/>
        <v>3.3134677350365779E-2</v>
      </c>
      <c r="O18" s="38">
        <f t="shared" ca="1" si="7"/>
        <v>2.2669594228520558E-2</v>
      </c>
      <c r="P18" s="38">
        <f t="shared" ca="1" si="8"/>
        <v>2.6718754455501131E-2</v>
      </c>
      <c r="Q18" s="38">
        <f t="shared" ca="1" si="9"/>
        <v>3.2279220964383827E-2</v>
      </c>
      <c r="R18" s="38">
        <f t="shared" ca="1" si="10"/>
        <v>2.5093387322135619E-2</v>
      </c>
      <c r="S18" s="38">
        <f t="shared" ca="1" si="11"/>
        <v>2.1814137842538401E-2</v>
      </c>
      <c r="T18" s="38">
        <f t="shared" ca="1" si="12"/>
        <v>2.4466052639081845E-2</v>
      </c>
      <c r="U18" s="38">
        <f t="shared" ca="1" si="13"/>
        <v>3.1594855855598063E-2</v>
      </c>
      <c r="V18" s="38">
        <f t="shared" ca="1" si="14"/>
        <v>2.7317573925688701E-2</v>
      </c>
      <c r="W18" s="38">
        <f t="shared" ca="1" si="15"/>
        <v>2.9114032336250803E-2</v>
      </c>
      <c r="X18" s="38">
        <f t="shared" ca="1" si="16"/>
        <v>2.475120476774284E-2</v>
      </c>
      <c r="Y18" s="38">
        <f t="shared" ca="1" si="17"/>
        <v>2.4950811257805024E-2</v>
      </c>
      <c r="Z18" s="38">
        <f t="shared" ca="1" si="18"/>
        <v>2.9883943083634561E-2</v>
      </c>
      <c r="AA18" s="38">
        <f t="shared" ca="1" si="19"/>
        <v>3.1480795004133873E-2</v>
      </c>
      <c r="AB18" s="38">
        <f t="shared" ca="1" si="20"/>
        <v>2.6661724029769338E-2</v>
      </c>
      <c r="AC18" s="38">
        <f t="shared" ca="1" si="21"/>
        <v>2.7545695628617087E-2</v>
      </c>
      <c r="AD18" s="38">
        <f t="shared" ca="1" si="22"/>
        <v>2.3867233168895094E-2</v>
      </c>
      <c r="AE18" s="38">
        <f t="shared" ca="1" si="23"/>
        <v>3.8866235136444667E-2</v>
      </c>
      <c r="AF18" s="38">
        <f t="shared" ca="1" si="24"/>
        <v>2.9570275742107577E-2</v>
      </c>
      <c r="AG18" s="41"/>
    </row>
    <row r="19" spans="1:33" s="40" customFormat="1" x14ac:dyDescent="0.3">
      <c r="A19" s="35" t="s">
        <v>34</v>
      </c>
      <c r="B19" s="35">
        <v>224</v>
      </c>
      <c r="C19" s="35">
        <v>1</v>
      </c>
      <c r="E19" s="36">
        <f ca="1">MIN('1:25'!L19:U19)</f>
        <v>71.908000000000001</v>
      </c>
      <c r="F19" s="37">
        <f ca="1">AVERAGE('1:25'!W19)</f>
        <v>71.948251999999997</v>
      </c>
      <c r="H19" s="38">
        <f t="shared" ca="1" si="0"/>
        <v>1.946932191133063E-2</v>
      </c>
      <c r="I19" s="38">
        <f t="shared" ca="1" si="1"/>
        <v>5.6043833787618319E-3</v>
      </c>
      <c r="J19" s="38">
        <f t="shared" ca="1" si="2"/>
        <v>5.9937698169881398E-3</v>
      </c>
      <c r="K19" s="38">
        <f t="shared" ca="1" si="3"/>
        <v>3.4210379929911737E-3</v>
      </c>
      <c r="L19" s="38">
        <f t="shared" ca="1" si="4"/>
        <v>4.0746509428711405E-3</v>
      </c>
      <c r="M19" s="38">
        <f t="shared" ca="1" si="5"/>
        <v>4.5196640151306819E-3</v>
      </c>
      <c r="N19" s="38">
        <f t="shared" ca="1" si="6"/>
        <v>6.7864493519495094E-3</v>
      </c>
      <c r="O19" s="38">
        <f t="shared" ca="1" si="7"/>
        <v>5.9103298659397719E-3</v>
      </c>
      <c r="P19" s="38">
        <f t="shared" ca="1" si="8"/>
        <v>3.4627579685154561E-3</v>
      </c>
      <c r="Q19" s="38">
        <f t="shared" ca="1" si="9"/>
        <v>6.4944095232795313E-3</v>
      </c>
      <c r="R19" s="38">
        <f t="shared" ca="1" si="10"/>
        <v>5.8129832563828497E-3</v>
      </c>
      <c r="S19" s="38">
        <f t="shared" ca="1" si="11"/>
        <v>3.0733715302883576E-3</v>
      </c>
      <c r="T19" s="38">
        <f t="shared" ca="1" si="12"/>
        <v>6.1606497190852694E-3</v>
      </c>
      <c r="U19" s="38">
        <f t="shared" ca="1" si="13"/>
        <v>7.3566223507813061E-3</v>
      </c>
      <c r="V19" s="38">
        <f t="shared" ca="1" si="14"/>
        <v>5.3818768426322581E-3</v>
      </c>
      <c r="W19" s="38">
        <f t="shared" ca="1" si="15"/>
        <v>1.6548923624633419E-3</v>
      </c>
      <c r="X19" s="38">
        <f t="shared" ca="1" si="16"/>
        <v>4.9646770873896292E-3</v>
      </c>
      <c r="Y19" s="38">
        <f t="shared" ca="1" si="17"/>
        <v>5.9381431829554996E-3</v>
      </c>
      <c r="Z19" s="38">
        <f t="shared" ca="1" si="18"/>
        <v>3.7687044556933965E-3</v>
      </c>
      <c r="AA19" s="38">
        <f t="shared" ca="1" si="19"/>
        <v>5.0063970629135182E-3</v>
      </c>
      <c r="AB19" s="38">
        <f t="shared" ca="1" si="20"/>
        <v>4.7560772097680198E-3</v>
      </c>
      <c r="AC19" s="38">
        <f t="shared" ca="1" si="21"/>
        <v>6.7864493519495086E-3</v>
      </c>
      <c r="AD19" s="38">
        <f t="shared" ca="1" si="22"/>
        <v>6.8420759859821505E-3</v>
      </c>
      <c r="AE19" s="38">
        <f t="shared" ca="1" si="23"/>
        <v>4.8812371363406697E-3</v>
      </c>
      <c r="AF19" s="38">
        <f t="shared" ca="1" si="24"/>
        <v>1.8217722645604724E-3</v>
      </c>
      <c r="AG19" s="41"/>
    </row>
    <row r="20" spans="1:33" s="40" customFormat="1" x14ac:dyDescent="0.3">
      <c r="AG20" s="41"/>
    </row>
    <row r="21" spans="1:33" s="40" customFormat="1" x14ac:dyDescent="0.3">
      <c r="AG21" s="41"/>
    </row>
    <row r="22" spans="1:33" s="40" customFormat="1" x14ac:dyDescent="0.3">
      <c r="AG22" s="41"/>
    </row>
    <row r="23" spans="1:33" x14ac:dyDescent="0.3">
      <c r="A23" s="35" t="s">
        <v>17</v>
      </c>
      <c r="B23" s="35">
        <v>25</v>
      </c>
      <c r="C23" s="35">
        <v>1</v>
      </c>
      <c r="E23">
        <v>28.714800000000004</v>
      </c>
      <c r="F23" s="42">
        <f t="shared" ref="F23:F40" ca="1" si="25">F2/E23</f>
        <v>0.99377380305626317</v>
      </c>
      <c r="G23" t="s">
        <v>21</v>
      </c>
      <c r="H23" s="39">
        <f ca="1">SUM(H2:H19)</f>
        <v>0.67872031547556644</v>
      </c>
      <c r="I23" s="39">
        <f ca="1">SUM(I2:I19)</f>
        <v>0.65022762063379591</v>
      </c>
      <c r="J23" s="39">
        <f ca="1">SUM(J2:J19)</f>
        <v>0.60697300935758758</v>
      </c>
      <c r="K23" s="39">
        <f ca="1">SUM(K2:K19)</f>
        <v>0.58843228823064697</v>
      </c>
      <c r="L23" s="39">
        <f t="shared" ref="L23:AF23" ca="1" si="26">SUM(L2:L19)</f>
        <v>0.60971726605596821</v>
      </c>
      <c r="M23" s="39">
        <f t="shared" ca="1" si="26"/>
        <v>0.56941728336334263</v>
      </c>
      <c r="N23" s="39">
        <f t="shared" ca="1" si="26"/>
        <v>0.5909500365711402</v>
      </c>
      <c r="O23" s="39">
        <f t="shared" ca="1" si="26"/>
        <v>0.53823641586178184</v>
      </c>
      <c r="P23" s="39">
        <f t="shared" ca="1" si="26"/>
        <v>0.58494542795260007</v>
      </c>
      <c r="Q23" s="39">
        <f t="shared" ca="1" si="26"/>
        <v>0.52338142094055251</v>
      </c>
      <c r="R23" s="39">
        <f t="shared" ca="1" si="26"/>
        <v>0.5649329216973672</v>
      </c>
      <c r="S23" s="39">
        <f t="shared" ca="1" si="26"/>
        <v>0.54591137970345982</v>
      </c>
      <c r="T23" s="39">
        <f t="shared" ca="1" si="26"/>
        <v>0.54253287968343999</v>
      </c>
      <c r="U23" s="39">
        <f t="shared" ca="1" si="26"/>
        <v>0.58794990646722378</v>
      </c>
      <c r="V23" s="39">
        <f t="shared" ca="1" si="26"/>
        <v>0.5539574648178347</v>
      </c>
      <c r="W23" s="39">
        <f t="shared" ca="1" si="26"/>
        <v>0.5244518068669719</v>
      </c>
      <c r="X23" s="39">
        <f t="shared" ca="1" si="26"/>
        <v>0.49974729769826115</v>
      </c>
      <c r="Y23" s="39">
        <f t="shared" ca="1" si="26"/>
        <v>0.50411325672725626</v>
      </c>
      <c r="Z23" s="39">
        <f t="shared" ca="1" si="26"/>
        <v>0.62031000418494253</v>
      </c>
      <c r="AA23" s="39">
        <f t="shared" ca="1" si="26"/>
        <v>0.61546453823339931</v>
      </c>
      <c r="AB23" s="39">
        <f t="shared" ca="1" si="26"/>
        <v>0.54092485193356687</v>
      </c>
      <c r="AC23" s="39">
        <f t="shared" ca="1" si="26"/>
        <v>0.48925922674153688</v>
      </c>
      <c r="AD23" s="39">
        <f t="shared" ca="1" si="26"/>
        <v>0.60542177619182203</v>
      </c>
      <c r="AE23" s="39">
        <f t="shared" ca="1" si="26"/>
        <v>0.56582424441314638</v>
      </c>
      <c r="AF23" s="39">
        <f t="shared" ca="1" si="26"/>
        <v>0.65560596573315322</v>
      </c>
    </row>
    <row r="24" spans="1:33" x14ac:dyDescent="0.3">
      <c r="A24" s="35" t="s">
        <v>17</v>
      </c>
      <c r="B24" s="35">
        <v>50</v>
      </c>
      <c r="C24" s="35">
        <v>1</v>
      </c>
      <c r="E24">
        <v>58.255430000000004</v>
      </c>
      <c r="F24" s="42">
        <f t="shared" ca="1" si="25"/>
        <v>0.91039698788593593</v>
      </c>
    </row>
    <row r="25" spans="1:33" x14ac:dyDescent="0.3">
      <c r="A25" s="35" t="s">
        <v>17</v>
      </c>
      <c r="B25" s="35">
        <v>100</v>
      </c>
      <c r="C25" s="35">
        <v>1</v>
      </c>
      <c r="E25">
        <v>105.21426999999997</v>
      </c>
      <c r="F25" s="42">
        <f t="shared" ca="1" si="25"/>
        <v>0.98135935363140425</v>
      </c>
      <c r="G25" s="40"/>
      <c r="H25" s="40">
        <f ca="1">'1'!$W2</f>
        <v>28.532799999999998</v>
      </c>
      <c r="I25" s="40">
        <f ca="1">'2'!$W2</f>
        <v>28.551199999999994</v>
      </c>
      <c r="J25" s="40">
        <f ca="1">'3'!$W2</f>
        <v>28.529599999999999</v>
      </c>
      <c r="K25" s="40">
        <f ca="1">'4'!$W2</f>
        <v>28.524899999999995</v>
      </c>
      <c r="L25" s="40">
        <f ca="1">'5'!$W2</f>
        <v>28.5334</v>
      </c>
      <c r="M25" s="40">
        <f ca="1">'6'!$W2</f>
        <v>28.537999999999993</v>
      </c>
      <c r="N25" s="40">
        <f ca="1">'7'!$W2</f>
        <v>28.545899999999996</v>
      </c>
      <c r="O25" s="40">
        <f ca="1">'8'!$W2</f>
        <v>28.542199999999998</v>
      </c>
      <c r="P25" s="40">
        <f ca="1">'9'!$W2</f>
        <v>28.5459</v>
      </c>
      <c r="Q25" s="40">
        <f ca="1">'10'!$W2</f>
        <v>28.543599999999998</v>
      </c>
      <c r="R25" s="40">
        <f ca="1">'11'!$W2</f>
        <v>28.524999999999999</v>
      </c>
      <c r="S25" s="40">
        <f ca="1">'12'!$W2</f>
        <v>28.529199999999996</v>
      </c>
      <c r="T25" s="40">
        <f ca="1">'13'!$W2</f>
        <v>28.542199999999998</v>
      </c>
      <c r="U25" s="40">
        <f ca="1">'14'!$W2</f>
        <v>28.550999999999995</v>
      </c>
      <c r="V25" s="40">
        <f ca="1">'15'!$W2</f>
        <v>28.533799999999996</v>
      </c>
      <c r="W25" s="40">
        <f ca="1">'16'!$W2</f>
        <v>28.533399999999993</v>
      </c>
      <c r="X25" s="40">
        <f ca="1">'17'!$W2</f>
        <v>28.541699999999999</v>
      </c>
      <c r="Y25" s="40">
        <f ca="1">'18'!$W2</f>
        <v>28.537599999999998</v>
      </c>
      <c r="Z25" s="40">
        <f ca="1">'19'!$W2</f>
        <v>28.547799999999995</v>
      </c>
      <c r="AA25" s="40">
        <f ca="1">'20'!$W2</f>
        <v>28.5166</v>
      </c>
      <c r="AB25" s="40">
        <f ca="1">'21'!$W2</f>
        <v>28.524999999999999</v>
      </c>
      <c r="AC25" s="40">
        <f ca="1">'22'!$W2</f>
        <v>28.537499999999994</v>
      </c>
      <c r="AD25" s="40">
        <f ca="1">'23'!$W2</f>
        <v>28.529199999999996</v>
      </c>
      <c r="AE25" s="40">
        <f ca="1">'24'!$W2</f>
        <v>28.5166</v>
      </c>
      <c r="AF25" s="40">
        <f ca="1">'25'!$W2</f>
        <v>28.546299999999995</v>
      </c>
    </row>
    <row r="26" spans="1:33" x14ac:dyDescent="0.3">
      <c r="A26" s="35" t="s">
        <v>18</v>
      </c>
      <c r="B26" s="35">
        <v>30</v>
      </c>
      <c r="C26" s="35">
        <v>1</v>
      </c>
      <c r="E26">
        <v>171.00667000000001</v>
      </c>
      <c r="F26" s="42">
        <f t="shared" ca="1" si="25"/>
        <v>0.91298777995033742</v>
      </c>
    </row>
    <row r="27" spans="1:33" x14ac:dyDescent="0.3">
      <c r="A27" s="35" t="s">
        <v>18</v>
      </c>
      <c r="B27" s="35">
        <v>50</v>
      </c>
      <c r="C27" s="35">
        <v>1</v>
      </c>
      <c r="E27">
        <v>196.14332999999996</v>
      </c>
      <c r="F27" s="42">
        <f t="shared" ca="1" si="25"/>
        <v>0.91963437145683213</v>
      </c>
    </row>
    <row r="28" spans="1:33" x14ac:dyDescent="0.3">
      <c r="A28" s="35" t="s">
        <v>18</v>
      </c>
      <c r="B28" s="35">
        <v>100</v>
      </c>
      <c r="C28" s="35">
        <v>1</v>
      </c>
      <c r="E28">
        <v>250.31558000000001</v>
      </c>
      <c r="F28" s="42">
        <f t="shared" ca="1" si="25"/>
        <v>0.95619411304721824</v>
      </c>
    </row>
    <row r="29" spans="1:33" x14ac:dyDescent="0.3">
      <c r="A29" s="35" t="s">
        <v>19</v>
      </c>
      <c r="B29" s="35">
        <v>24</v>
      </c>
      <c r="C29" s="35">
        <v>1</v>
      </c>
      <c r="E29">
        <v>2540.1984999999995</v>
      </c>
      <c r="F29" s="42">
        <f t="shared" ca="1" si="25"/>
        <v>0.91369502029073779</v>
      </c>
    </row>
    <row r="30" spans="1:33" x14ac:dyDescent="0.3">
      <c r="A30" s="35" t="s">
        <v>19</v>
      </c>
      <c r="B30" s="35">
        <v>47</v>
      </c>
      <c r="C30" s="35">
        <v>1</v>
      </c>
      <c r="E30">
        <v>4346.2297200000012</v>
      </c>
      <c r="F30" s="42">
        <f t="shared" ca="1" si="25"/>
        <v>0.99258449689125039</v>
      </c>
    </row>
    <row r="31" spans="1:33" x14ac:dyDescent="0.3">
      <c r="A31" s="35" t="s">
        <v>19</v>
      </c>
      <c r="B31" s="35">
        <v>100</v>
      </c>
      <c r="C31" s="35">
        <v>1</v>
      </c>
      <c r="E31">
        <v>35669.694770000002</v>
      </c>
      <c r="F31" s="42">
        <f t="shared" ca="1" si="25"/>
        <v>0.98840596711952167</v>
      </c>
    </row>
    <row r="32" spans="1:33" x14ac:dyDescent="0.3">
      <c r="A32" s="35" t="s">
        <v>20</v>
      </c>
      <c r="B32" s="35">
        <v>30</v>
      </c>
      <c r="C32" s="35">
        <v>1</v>
      </c>
      <c r="E32">
        <v>699.02290999999991</v>
      </c>
      <c r="F32" s="42">
        <f t="shared" ca="1" si="25"/>
        <v>0.94099655760924938</v>
      </c>
    </row>
    <row r="33" spans="1:6" x14ac:dyDescent="0.3">
      <c r="A33" s="35" t="s">
        <v>20</v>
      </c>
      <c r="B33" s="35">
        <v>50</v>
      </c>
      <c r="C33" s="35">
        <v>1</v>
      </c>
      <c r="E33">
        <v>1027.0157400000003</v>
      </c>
      <c r="F33" s="42">
        <f t="shared" ca="1" si="25"/>
        <v>0.9682787996997978</v>
      </c>
    </row>
    <row r="34" spans="1:6" x14ac:dyDescent="0.3">
      <c r="A34" s="35" t="s">
        <v>20</v>
      </c>
      <c r="B34" s="35">
        <v>100</v>
      </c>
      <c r="C34" s="35">
        <v>1</v>
      </c>
      <c r="E34">
        <v>1774.48</v>
      </c>
      <c r="F34" s="42">
        <f t="shared" ca="1" si="25"/>
        <v>0.99030188674992137</v>
      </c>
    </row>
    <row r="35" spans="1:6" x14ac:dyDescent="0.3">
      <c r="A35" s="35" t="s">
        <v>33</v>
      </c>
      <c r="B35" s="35">
        <v>9</v>
      </c>
      <c r="C35" s="35">
        <v>1</v>
      </c>
      <c r="E35">
        <v>8.5424299999999995</v>
      </c>
      <c r="F35" s="42">
        <f t="shared" ca="1" si="25"/>
        <v>0.99994966303499122</v>
      </c>
    </row>
    <row r="36" spans="1:6" x14ac:dyDescent="0.3">
      <c r="A36" s="35" t="s">
        <v>33</v>
      </c>
      <c r="B36" s="35">
        <v>209</v>
      </c>
      <c r="C36" s="35">
        <v>1</v>
      </c>
      <c r="E36">
        <v>80.125829999999993</v>
      </c>
      <c r="F36" s="42">
        <f t="shared" ca="1" si="25"/>
        <v>0.95568427809109768</v>
      </c>
    </row>
    <row r="37" spans="1:6" x14ac:dyDescent="0.3">
      <c r="A37" s="35" t="s">
        <v>33</v>
      </c>
      <c r="B37" s="35">
        <v>324</v>
      </c>
      <c r="C37" s="35">
        <v>1</v>
      </c>
      <c r="E37">
        <v>122.97587</v>
      </c>
      <c r="F37" s="42">
        <f t="shared" ca="1" si="25"/>
        <v>0.96806067726945155</v>
      </c>
    </row>
    <row r="38" spans="1:6" x14ac:dyDescent="0.3">
      <c r="A38" s="35" t="s">
        <v>34</v>
      </c>
      <c r="B38" s="35">
        <v>40</v>
      </c>
      <c r="C38" s="35">
        <v>1</v>
      </c>
      <c r="E38">
        <v>17.839469999999999</v>
      </c>
      <c r="F38" s="42">
        <f t="shared" ca="1" si="25"/>
        <v>0.93573026552918914</v>
      </c>
    </row>
    <row r="39" spans="1:6" x14ac:dyDescent="0.3">
      <c r="A39" s="35" t="s">
        <v>34</v>
      </c>
      <c r="B39" s="35">
        <v>96</v>
      </c>
      <c r="C39" s="35">
        <v>1</v>
      </c>
      <c r="E39">
        <v>35.648569999999999</v>
      </c>
      <c r="F39" s="42">
        <f t="shared" ca="1" si="25"/>
        <v>0.98654425689445613</v>
      </c>
    </row>
    <row r="40" spans="1:6" x14ac:dyDescent="0.3">
      <c r="A40" s="35" t="s">
        <v>34</v>
      </c>
      <c r="B40" s="35">
        <v>224</v>
      </c>
      <c r="C40" s="35">
        <v>1</v>
      </c>
      <c r="E40">
        <v>72.355770000000007</v>
      </c>
      <c r="F40" s="42">
        <f t="shared" ca="1" si="25"/>
        <v>0.99436785760140467</v>
      </c>
    </row>
    <row r="41" spans="1:6" x14ac:dyDescent="0.3">
      <c r="F41" s="42">
        <f ca="1">AVERAGE(F23:F40)</f>
        <v>0.96160811865605877</v>
      </c>
    </row>
  </sheetData>
  <phoneticPr fontId="9" type="noConversion"/>
  <conditionalFormatting sqref="H2:AF19">
    <cfRule type="expression" priority="2">
      <formula>H2=MIN($H2:$AF2)</formula>
    </cfRule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80"/>
  <sheetViews>
    <sheetView topLeftCell="A156" zoomScale="85" zoomScaleNormal="85" workbookViewId="0">
      <selection sqref="A1:F180"/>
    </sheetView>
  </sheetViews>
  <sheetFormatPr defaultRowHeight="14" x14ac:dyDescent="0.3"/>
  <cols>
    <col min="1" max="1" width="10.58203125"/>
    <col min="2" max="2" width="4.33203125"/>
    <col min="3" max="3" width="6.6640625" style="71" bestFit="1" customWidth="1"/>
    <col min="4" max="4" width="9.5"/>
    <col min="5" max="5" width="7.25"/>
    <col min="6" max="6" width="6.1640625" customWidth="1"/>
    <col min="7" max="7" width="2.5"/>
    <col min="8" max="8" width="10.25"/>
    <col min="9" max="9" width="4.33203125"/>
    <col min="10" max="10" width="3.33203125"/>
    <col min="11" max="11" width="2.58203125"/>
    <col min="12" max="21" width="9.5"/>
    <col min="22" max="22" width="3.5"/>
    <col min="23" max="23" width="9.5"/>
    <col min="24" max="24" width="2.5"/>
    <col min="25" max="25" width="9.5"/>
    <col min="26" max="26" width="2.58203125"/>
    <col min="27" max="27" width="2.5"/>
    <col min="28" max="37" width="9.5"/>
    <col min="38" max="38" width="5.83203125"/>
    <col min="39" max="1025" width="9.5"/>
  </cols>
  <sheetData>
    <row r="1" spans="1:39" x14ac:dyDescent="0.3">
      <c r="A1" t="s">
        <v>36</v>
      </c>
      <c r="B1">
        <v>25</v>
      </c>
      <c r="C1" s="71">
        <v>1</v>
      </c>
      <c r="D1">
        <v>28.582000000000001</v>
      </c>
      <c r="E1">
        <v>5.2919999999999998</v>
      </c>
      <c r="F1">
        <v>218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 s="71">
        <v>1</v>
      </c>
      <c r="D2">
        <v>28.504000000000001</v>
      </c>
      <c r="E2">
        <v>5.2930000000000001</v>
      </c>
      <c r="F2">
        <v>273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28.582000000000001</v>
      </c>
      <c r="M2" s="35">
        <f t="shared" ref="M2:M13" ca="1" si="1">INDIRECT("D"&amp;1+(ROW(E1)-1)*10+COLUMN(B1)-1)</f>
        <v>28.504000000000001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28.504000000000001</v>
      </c>
      <c r="P2" s="35">
        <f t="shared" ref="P2:P13" ca="1" si="4">INDIRECT("D"&amp;1+(ROW(H1)-1)*10+COLUMN(E1)-1)</f>
        <v>28.504000000000001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3" ca="1" si="10">AVERAGE(L2:U2)</f>
        <v>28.532799999999998</v>
      </c>
      <c r="Y2" s="35">
        <f ca="1">Total!E2</f>
        <v>28.504000000000001</v>
      </c>
      <c r="AB2" s="35">
        <f t="shared" ref="AB2:AB19" ca="1" si="11">(L2-$Y2)/$Y2</f>
        <v>2.7364580409766841E-3</v>
      </c>
      <c r="AC2" s="35">
        <f t="shared" ref="AC2:AC19" ca="1" si="12">(M2-$Y2)/$Y2</f>
        <v>0</v>
      </c>
      <c r="AD2" s="35">
        <f t="shared" ref="AD2:AD19" ca="1" si="13">(N2-$Y2)/$Y2</f>
        <v>1.4734774066796953E-3</v>
      </c>
      <c r="AE2" s="35">
        <f t="shared" ref="AE2:AE19" ca="1" si="14">(O2-$Y2)/$Y2</f>
        <v>0</v>
      </c>
      <c r="AF2" s="35">
        <f t="shared" ref="AF2:AF19" ca="1" si="15">(P2-$Y2)/$Y2</f>
        <v>0</v>
      </c>
      <c r="AG2" s="35">
        <f t="shared" ref="AG2:AG19" ca="1" si="16">(Q2-$Y2)/$Y2</f>
        <v>0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1.0103845074375161E-2</v>
      </c>
    </row>
    <row r="3" spans="1:39" x14ac:dyDescent="0.3">
      <c r="A3" t="s">
        <v>17</v>
      </c>
      <c r="B3">
        <v>25</v>
      </c>
      <c r="C3" s="71">
        <v>1</v>
      </c>
      <c r="D3">
        <v>28.545999999999999</v>
      </c>
      <c r="E3">
        <v>5.2789999999999999</v>
      </c>
      <c r="F3">
        <v>236</v>
      </c>
      <c r="H3" s="35" t="s">
        <v>17</v>
      </c>
      <c r="I3" s="35">
        <v>50</v>
      </c>
      <c r="J3" s="35">
        <v>1</v>
      </c>
      <c r="L3" s="35">
        <f t="shared" ca="1" si="0"/>
        <v>53.076999999999998</v>
      </c>
      <c r="M3" s="35">
        <f t="shared" ca="1" si="1"/>
        <v>53.127000000000002</v>
      </c>
      <c r="N3" s="35">
        <f t="shared" ca="1" si="2"/>
        <v>52.927</v>
      </c>
      <c r="O3" s="35">
        <f t="shared" ca="1" si="3"/>
        <v>53.048000000000002</v>
      </c>
      <c r="P3" s="35">
        <f t="shared" ca="1" si="4"/>
        <v>53.067</v>
      </c>
      <c r="Q3" s="35">
        <f t="shared" ca="1" si="5"/>
        <v>53.076999999999998</v>
      </c>
      <c r="R3" s="35">
        <f t="shared" ca="1" si="6"/>
        <v>53.076999999999998</v>
      </c>
      <c r="S3" s="35">
        <f t="shared" ca="1" si="7"/>
        <v>53.036999999999999</v>
      </c>
      <c r="T3" s="35">
        <f t="shared" ca="1" si="8"/>
        <v>53.067</v>
      </c>
      <c r="U3" s="35">
        <f t="shared" ca="1" si="9"/>
        <v>52.927</v>
      </c>
      <c r="W3" s="35">
        <f t="shared" ca="1" si="10"/>
        <v>53.043099999999995</v>
      </c>
      <c r="Y3" s="35">
        <f ca="1">Total!E3</f>
        <v>52.927</v>
      </c>
      <c r="AB3" s="35">
        <f t="shared" ca="1" si="11"/>
        <v>2.8340922402554192E-3</v>
      </c>
      <c r="AC3" s="35">
        <f t="shared" ca="1" si="12"/>
        <v>3.778789653673982E-3</v>
      </c>
      <c r="AD3" s="35">
        <f t="shared" ca="1" si="13"/>
        <v>0</v>
      </c>
      <c r="AE3" s="35">
        <f t="shared" ca="1" si="14"/>
        <v>2.2861677404727686E-3</v>
      </c>
      <c r="AF3" s="35">
        <f t="shared" ca="1" si="15"/>
        <v>2.6451527575717605E-3</v>
      </c>
      <c r="AG3" s="35">
        <f t="shared" ca="1" si="16"/>
        <v>2.8340922402554192E-3</v>
      </c>
      <c r="AH3" s="35">
        <f t="shared" ca="1" si="17"/>
        <v>2.8340922402554192E-3</v>
      </c>
      <c r="AI3" s="35">
        <f t="shared" ca="1" si="18"/>
        <v>2.0783343095206498E-3</v>
      </c>
      <c r="AJ3" s="35">
        <f t="shared" ca="1" si="19"/>
        <v>2.6451527575717605E-3</v>
      </c>
      <c r="AK3" s="35">
        <f t="shared" ca="1" si="20"/>
        <v>0</v>
      </c>
      <c r="AM3" s="35">
        <f t="shared" ca="1" si="21"/>
        <v>2.1935873939577178E-2</v>
      </c>
    </row>
    <row r="4" spans="1:39" x14ac:dyDescent="0.3">
      <c r="A4" t="s">
        <v>17</v>
      </c>
      <c r="B4">
        <v>25</v>
      </c>
      <c r="C4" s="71">
        <v>1</v>
      </c>
      <c r="D4">
        <v>28.504000000000001</v>
      </c>
      <c r="E4">
        <v>5.2789999999999999</v>
      </c>
      <c r="F4">
        <v>273</v>
      </c>
      <c r="H4" s="35" t="s">
        <v>17</v>
      </c>
      <c r="I4" s="35">
        <v>100</v>
      </c>
      <c r="J4" s="35">
        <v>1</v>
      </c>
      <c r="L4" s="35">
        <f t="shared" ca="1" si="0"/>
        <v>103.31399999999999</v>
      </c>
      <c r="M4" s="35">
        <f t="shared" ca="1" si="1"/>
        <v>103.259</v>
      </c>
      <c r="N4" s="35">
        <f t="shared" ca="1" si="2"/>
        <v>103.322</v>
      </c>
      <c r="O4" s="35">
        <f t="shared" ca="1" si="3"/>
        <v>103.422</v>
      </c>
      <c r="P4" s="35">
        <f t="shared" ca="1" si="4"/>
        <v>103.324</v>
      </c>
      <c r="Q4" s="35">
        <f t="shared" ca="1" si="5"/>
        <v>103.26</v>
      </c>
      <c r="R4" s="35">
        <f t="shared" ca="1" si="6"/>
        <v>103.203</v>
      </c>
      <c r="S4" s="35">
        <f t="shared" ca="1" si="7"/>
        <v>103.282</v>
      </c>
      <c r="T4" s="35">
        <f t="shared" ca="1" si="8"/>
        <v>103.271</v>
      </c>
      <c r="U4" s="35">
        <f t="shared" ca="1" si="9"/>
        <v>103.325</v>
      </c>
      <c r="W4" s="35">
        <f t="shared" ca="1" si="10"/>
        <v>103.29819999999999</v>
      </c>
      <c r="Y4" s="35">
        <f ca="1">Total!E4</f>
        <v>102.80200000000001</v>
      </c>
      <c r="AB4" s="35">
        <f t="shared" ca="1" si="11"/>
        <v>4.9804478512089859E-3</v>
      </c>
      <c r="AC4" s="35">
        <f t="shared" ca="1" si="12"/>
        <v>4.4454388046924536E-3</v>
      </c>
      <c r="AD4" s="35">
        <f t="shared" ca="1" si="13"/>
        <v>5.0582673488842236E-3</v>
      </c>
      <c r="AE4" s="35">
        <f t="shared" ca="1" si="14"/>
        <v>6.0310110698234502E-3</v>
      </c>
      <c r="AF4" s="35">
        <f t="shared" ca="1" si="15"/>
        <v>5.0777222233029645E-3</v>
      </c>
      <c r="AG4" s="35">
        <f t="shared" ca="1" si="16"/>
        <v>4.4551662419018926E-3</v>
      </c>
      <c r="AH4" s="35">
        <f t="shared" ca="1" si="17"/>
        <v>3.9007023209664815E-3</v>
      </c>
      <c r="AI4" s="35">
        <f t="shared" ca="1" si="18"/>
        <v>4.6691698605084509E-3</v>
      </c>
      <c r="AJ4" s="35">
        <f t="shared" ca="1" si="19"/>
        <v>4.5621680512051713E-3</v>
      </c>
      <c r="AK4" s="35">
        <f t="shared" ca="1" si="20"/>
        <v>5.0874496605124034E-3</v>
      </c>
      <c r="AM4" s="35">
        <f t="shared" ca="1" si="21"/>
        <v>4.8267543433006474E-2</v>
      </c>
    </row>
    <row r="5" spans="1:39" x14ac:dyDescent="0.3">
      <c r="A5" t="s">
        <v>17</v>
      </c>
      <c r="B5">
        <v>25</v>
      </c>
      <c r="C5" s="71">
        <v>1</v>
      </c>
      <c r="D5">
        <v>28.504000000000001</v>
      </c>
      <c r="E5">
        <v>5.2779999999999996</v>
      </c>
      <c r="F5">
        <v>365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 s="71">
        <v>1</v>
      </c>
      <c r="D6">
        <v>28.504000000000001</v>
      </c>
      <c r="E6">
        <v>5.2969999999999997</v>
      </c>
      <c r="F6">
        <v>272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179.673</v>
      </c>
      <c r="N6" s="35">
        <f t="shared" ca="1" si="2"/>
        <v>179.93799999999999</v>
      </c>
      <c r="O6" s="35">
        <f t="shared" ca="1" si="3"/>
        <v>179.93799999999999</v>
      </c>
      <c r="P6" s="35">
        <f t="shared" ca="1" si="4"/>
        <v>179.93799999999999</v>
      </c>
      <c r="Q6" s="35">
        <f t="shared" ca="1" si="5"/>
        <v>179.93799999999999</v>
      </c>
      <c r="R6" s="35">
        <f t="shared" ca="1" si="6"/>
        <v>179.93799999999999</v>
      </c>
      <c r="S6" s="35">
        <f t="shared" ca="1" si="7"/>
        <v>179.93799999999999</v>
      </c>
      <c r="T6" s="35">
        <f t="shared" ca="1" si="8"/>
        <v>179.673</v>
      </c>
      <c r="U6" s="35">
        <f t="shared" ca="1" si="9"/>
        <v>179.673</v>
      </c>
      <c r="W6" s="35">
        <f t="shared" ca="1" si="10"/>
        <v>179.85849999999999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0</v>
      </c>
      <c r="AD6" s="35">
        <f t="shared" ca="1" si="13"/>
        <v>1.4749016268442469E-3</v>
      </c>
      <c r="AE6" s="35">
        <f t="shared" ca="1" si="14"/>
        <v>1.4749016268442469E-3</v>
      </c>
      <c r="AF6" s="35">
        <f t="shared" ca="1" si="15"/>
        <v>1.4749016268442469E-3</v>
      </c>
      <c r="AG6" s="35">
        <f t="shared" ca="1" si="16"/>
        <v>1.4749016268442469E-3</v>
      </c>
      <c r="AH6" s="35">
        <f t="shared" ca="1" si="17"/>
        <v>1.4749016268442469E-3</v>
      </c>
      <c r="AI6" s="35">
        <f t="shared" ca="1" si="18"/>
        <v>1.4749016268442469E-3</v>
      </c>
      <c r="AJ6" s="35">
        <f t="shared" ca="1" si="19"/>
        <v>0</v>
      </c>
      <c r="AK6" s="35">
        <f t="shared" ca="1" si="20"/>
        <v>0</v>
      </c>
      <c r="AM6" s="35">
        <f t="shared" ca="1" si="21"/>
        <v>1.032431138790973E-2</v>
      </c>
    </row>
    <row r="7" spans="1:39" x14ac:dyDescent="0.3">
      <c r="A7" t="s">
        <v>17</v>
      </c>
      <c r="B7">
        <v>25</v>
      </c>
      <c r="C7" s="71">
        <v>1</v>
      </c>
      <c r="D7">
        <v>28.545999999999999</v>
      </c>
      <c r="E7">
        <v>5.2779999999999996</v>
      </c>
      <c r="F7">
        <v>260</v>
      </c>
      <c r="H7" s="35" t="s">
        <v>18</v>
      </c>
      <c r="I7" s="35">
        <v>100</v>
      </c>
      <c r="J7" s="35">
        <v>1</v>
      </c>
      <c r="L7" s="35">
        <f t="shared" ca="1" si="0"/>
        <v>239.18299999999999</v>
      </c>
      <c r="M7" s="35">
        <f t="shared" ca="1" si="1"/>
        <v>239.14500000000001</v>
      </c>
      <c r="N7" s="35">
        <f t="shared" ca="1" si="2"/>
        <v>239.417</v>
      </c>
      <c r="O7" s="35">
        <f t="shared" ca="1" si="3"/>
        <v>239.62</v>
      </c>
      <c r="P7" s="35">
        <f t="shared" ca="1" si="4"/>
        <v>239.316</v>
      </c>
      <c r="Q7" s="35">
        <f t="shared" ca="1" si="5"/>
        <v>238.9</v>
      </c>
      <c r="R7" s="35">
        <f t="shared" ca="1" si="6"/>
        <v>239.375</v>
      </c>
      <c r="S7" s="35">
        <f t="shared" ca="1" si="7"/>
        <v>239.559</v>
      </c>
      <c r="T7" s="35">
        <f t="shared" ca="1" si="8"/>
        <v>239.14</v>
      </c>
      <c r="U7" s="35">
        <f t="shared" ca="1" si="9"/>
        <v>240.41</v>
      </c>
      <c r="W7" s="35">
        <f t="shared" ca="1" si="10"/>
        <v>239.40649999999999</v>
      </c>
      <c r="Y7" s="35">
        <f ca="1">Total!E7</f>
        <v>238.86699999999999</v>
      </c>
      <c r="AB7" s="35">
        <f t="shared" ca="1" si="11"/>
        <v>1.3229119133241617E-3</v>
      </c>
      <c r="AC7" s="35">
        <f t="shared" ca="1" si="12"/>
        <v>1.1638275693169004E-3</v>
      </c>
      <c r="AD7" s="35">
        <f t="shared" ca="1" si="13"/>
        <v>2.3025365580009436E-3</v>
      </c>
      <c r="AE7" s="35">
        <f t="shared" ca="1" si="14"/>
        <v>3.1523818694085596E-3</v>
      </c>
      <c r="AF7" s="35">
        <f t="shared" ca="1" si="15"/>
        <v>1.8797071173498737E-3</v>
      </c>
      <c r="AG7" s="35">
        <f t="shared" ca="1" si="16"/>
        <v>1.3815219348011848E-4</v>
      </c>
      <c r="AH7" s="35">
        <f t="shared" ca="1" si="17"/>
        <v>2.1267064935717775E-3</v>
      </c>
      <c r="AI7" s="35">
        <f t="shared" ca="1" si="18"/>
        <v>2.8970096329757034E-3</v>
      </c>
      <c r="AJ7" s="35">
        <f t="shared" ca="1" si="19"/>
        <v>1.1428954187895194E-3</v>
      </c>
      <c r="AK7" s="35">
        <f t="shared" ca="1" si="20"/>
        <v>6.4596616527189043E-3</v>
      </c>
      <c r="AM7" s="35">
        <f t="shared" ca="1" si="21"/>
        <v>2.2585790418936463E-2</v>
      </c>
    </row>
    <row r="8" spans="1:39" x14ac:dyDescent="0.3">
      <c r="A8" t="s">
        <v>17</v>
      </c>
      <c r="B8">
        <v>25</v>
      </c>
      <c r="C8" s="71">
        <v>1</v>
      </c>
      <c r="D8">
        <v>28.545999999999999</v>
      </c>
      <c r="E8">
        <v>5.2789999999999999</v>
      </c>
      <c r="F8">
        <v>243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 s="71">
        <v>1</v>
      </c>
      <c r="D9">
        <v>28.545999999999999</v>
      </c>
      <c r="E9">
        <v>5.2779999999999996</v>
      </c>
      <c r="F9">
        <v>308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 s="71">
        <v>1</v>
      </c>
      <c r="D10">
        <v>28.545999999999999</v>
      </c>
      <c r="E10">
        <v>5.274</v>
      </c>
      <c r="F10">
        <v>284</v>
      </c>
      <c r="H10" s="35" t="s">
        <v>19</v>
      </c>
      <c r="I10" s="35">
        <v>100</v>
      </c>
      <c r="J10" s="35">
        <v>1</v>
      </c>
      <c r="L10" s="35">
        <f t="shared" ca="1" si="0"/>
        <v>35273.671999999999</v>
      </c>
      <c r="M10" s="35">
        <f t="shared" ca="1" si="1"/>
        <v>35276.642</v>
      </c>
      <c r="N10" s="35">
        <f t="shared" ca="1" si="2"/>
        <v>35342.046999999999</v>
      </c>
      <c r="O10" s="35">
        <f t="shared" ca="1" si="3"/>
        <v>35298.271000000001</v>
      </c>
      <c r="P10" s="35">
        <f t="shared" ca="1" si="4"/>
        <v>35312.063999999998</v>
      </c>
      <c r="Q10" s="35">
        <f t="shared" ca="1" si="5"/>
        <v>35269.237999999998</v>
      </c>
      <c r="R10" s="35">
        <f t="shared" ca="1" si="6"/>
        <v>35246.097000000002</v>
      </c>
      <c r="S10" s="35">
        <f t="shared" ca="1" si="7"/>
        <v>35244.377</v>
      </c>
      <c r="T10" s="35">
        <f t="shared" ca="1" si="8"/>
        <v>35273.156999999999</v>
      </c>
      <c r="U10" s="35">
        <f t="shared" ca="1" si="9"/>
        <v>35234.637999999999</v>
      </c>
      <c r="W10" s="35">
        <f t="shared" ca="1" si="10"/>
        <v>35277.020299999996</v>
      </c>
      <c r="Y10" s="35">
        <f ca="1">Total!E10</f>
        <v>35210.383000000002</v>
      </c>
      <c r="AB10" s="35">
        <f t="shared" ca="1" si="11"/>
        <v>1.7974527570460404E-3</v>
      </c>
      <c r="AC10" s="35">
        <f t="shared" ca="1" si="12"/>
        <v>1.8818028761572458E-3</v>
      </c>
      <c r="AD10" s="35">
        <f t="shared" ca="1" si="13"/>
        <v>3.7393515429808596E-3</v>
      </c>
      <c r="AE10" s="35">
        <f t="shared" ca="1" si="14"/>
        <v>2.4960819085665443E-3</v>
      </c>
      <c r="AF10" s="35">
        <f t="shared" ca="1" si="15"/>
        <v>2.8878129499470893E-3</v>
      </c>
      <c r="AG10" s="35">
        <f t="shared" ca="1" si="16"/>
        <v>1.6715239933628647E-3</v>
      </c>
      <c r="AH10" s="35">
        <f t="shared" ca="1" si="17"/>
        <v>1.0143030821334702E-3</v>
      </c>
      <c r="AI10" s="35">
        <f t="shared" ca="1" si="18"/>
        <v>9.6545385490407127E-4</v>
      </c>
      <c r="AJ10" s="35">
        <f t="shared" ca="1" si="19"/>
        <v>1.7828263895907526E-3</v>
      </c>
      <c r="AK10" s="35">
        <f t="shared" ca="1" si="20"/>
        <v>6.8885930607450027E-4</v>
      </c>
      <c r="AM10" s="35">
        <f t="shared" ca="1" si="21"/>
        <v>1.8925468660763438E-2</v>
      </c>
    </row>
    <row r="11" spans="1:39" x14ac:dyDescent="0.3">
      <c r="A11" t="s">
        <v>17</v>
      </c>
      <c r="B11">
        <v>50</v>
      </c>
      <c r="C11" s="71">
        <v>1</v>
      </c>
      <c r="D11">
        <v>53.076999999999998</v>
      </c>
      <c r="E11">
        <v>19.581</v>
      </c>
      <c r="F11">
        <v>367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657.33</v>
      </c>
      <c r="N11" s="35">
        <f t="shared" ca="1" si="2"/>
        <v>657.35599999999999</v>
      </c>
      <c r="O11" s="35">
        <f t="shared" ca="1" si="3"/>
        <v>658.23299999999995</v>
      </c>
      <c r="P11" s="35">
        <f t="shared" ca="1" si="4"/>
        <v>657.35599999999999</v>
      </c>
      <c r="Q11" s="35">
        <f t="shared" ca="1" si="5"/>
        <v>657.32399999999996</v>
      </c>
      <c r="R11" s="35">
        <f t="shared" ca="1" si="6"/>
        <v>657.35599999999999</v>
      </c>
      <c r="S11" s="35">
        <f t="shared" ca="1" si="7"/>
        <v>657.35599999999999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657.43790000000001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2.8453082925861931E-3</v>
      </c>
      <c r="AD11" s="35">
        <f t="shared" ca="1" si="13"/>
        <v>2.8849747888902728E-3</v>
      </c>
      <c r="AE11" s="35">
        <f t="shared" ca="1" si="14"/>
        <v>4.2229562219186613E-3</v>
      </c>
      <c r="AF11" s="35">
        <f t="shared" ca="1" si="15"/>
        <v>2.8849747888902728E-3</v>
      </c>
      <c r="AG11" s="35">
        <f t="shared" ca="1" si="16"/>
        <v>2.8361544857466434E-3</v>
      </c>
      <c r="AH11" s="35">
        <f t="shared" ca="1" si="17"/>
        <v>2.8849747888902728E-3</v>
      </c>
      <c r="AI11" s="35">
        <f t="shared" ca="1" si="18"/>
        <v>2.8849747888902728E-3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3.0099242522483402E-2</v>
      </c>
    </row>
    <row r="12" spans="1:39" x14ac:dyDescent="0.3">
      <c r="A12" t="s">
        <v>17</v>
      </c>
      <c r="B12">
        <v>50</v>
      </c>
      <c r="C12" s="71">
        <v>1</v>
      </c>
      <c r="D12">
        <v>53.127000000000002</v>
      </c>
      <c r="E12">
        <v>19.57</v>
      </c>
      <c r="F12">
        <v>366</v>
      </c>
      <c r="H12" s="35" t="s">
        <v>20</v>
      </c>
      <c r="I12" s="35">
        <v>50</v>
      </c>
      <c r="J12" s="35">
        <v>1</v>
      </c>
      <c r="L12" s="35">
        <f t="shared" ca="1" si="0"/>
        <v>995.476</v>
      </c>
      <c r="M12" s="35">
        <f t="shared" ca="1" si="1"/>
        <v>995.75</v>
      </c>
      <c r="N12" s="35">
        <f t="shared" ca="1" si="2"/>
        <v>996.45799999999997</v>
      </c>
      <c r="O12" s="35">
        <f t="shared" ca="1" si="3"/>
        <v>993.67700000000002</v>
      </c>
      <c r="P12" s="35">
        <f t="shared" ca="1" si="4"/>
        <v>999.255</v>
      </c>
      <c r="Q12" s="35">
        <f t="shared" ca="1" si="5"/>
        <v>995.88300000000004</v>
      </c>
      <c r="R12" s="35">
        <f t="shared" ca="1" si="6"/>
        <v>994.34900000000005</v>
      </c>
      <c r="S12" s="35">
        <f t="shared" ca="1" si="7"/>
        <v>996.3</v>
      </c>
      <c r="T12" s="35">
        <f t="shared" ca="1" si="8"/>
        <v>994.84299999999996</v>
      </c>
      <c r="U12" s="35">
        <f t="shared" ca="1" si="9"/>
        <v>996.24800000000005</v>
      </c>
      <c r="W12" s="35">
        <f t="shared" ca="1" si="10"/>
        <v>995.82389999999998</v>
      </c>
      <c r="Y12" s="35">
        <f ca="1">Total!E12</f>
        <v>990.096</v>
      </c>
      <c r="AB12" s="35">
        <f t="shared" ca="1" si="11"/>
        <v>5.4338165188022123E-3</v>
      </c>
      <c r="AC12" s="35">
        <f t="shared" ca="1" si="12"/>
        <v>5.7105573600943708E-3</v>
      </c>
      <c r="AD12" s="35">
        <f t="shared" ca="1" si="13"/>
        <v>6.4256395339441488E-3</v>
      </c>
      <c r="AE12" s="35">
        <f t="shared" ca="1" si="14"/>
        <v>3.6168209951358428E-3</v>
      </c>
      <c r="AF12" s="35">
        <f t="shared" ca="1" si="15"/>
        <v>9.2506181218790819E-3</v>
      </c>
      <c r="AG12" s="35">
        <f t="shared" ca="1" si="16"/>
        <v>5.8448877684588512E-3</v>
      </c>
      <c r="AH12" s="35">
        <f t="shared" ca="1" si="17"/>
        <v>4.2955430584509409E-3</v>
      </c>
      <c r="AI12" s="35">
        <f t="shared" ca="1" si="18"/>
        <v>6.2660590488194589E-3</v>
      </c>
      <c r="AJ12" s="35">
        <f t="shared" ca="1" si="19"/>
        <v>4.7944845752330659E-3</v>
      </c>
      <c r="AK12" s="35">
        <f t="shared" ca="1" si="20"/>
        <v>6.2135388891582672E-3</v>
      </c>
      <c r="AM12" s="35">
        <f t="shared" ca="1" si="21"/>
        <v>5.7851965869976235E-2</v>
      </c>
    </row>
    <row r="13" spans="1:39" x14ac:dyDescent="0.3">
      <c r="A13" t="s">
        <v>17</v>
      </c>
      <c r="B13">
        <v>50</v>
      </c>
      <c r="C13" s="71">
        <v>1</v>
      </c>
      <c r="D13">
        <v>52.927</v>
      </c>
      <c r="E13">
        <v>19.571999999999999</v>
      </c>
      <c r="F13">
        <v>391</v>
      </c>
      <c r="H13" s="35" t="s">
        <v>20</v>
      </c>
      <c r="I13" s="35">
        <v>100</v>
      </c>
      <c r="J13" s="35">
        <v>1</v>
      </c>
      <c r="L13" s="35">
        <f t="shared" ca="1" si="0"/>
        <v>1763.951</v>
      </c>
      <c r="M13" s="35">
        <f t="shared" ca="1" si="1"/>
        <v>1765.662</v>
      </c>
      <c r="N13" s="35">
        <f t="shared" ca="1" si="2"/>
        <v>1762.365</v>
      </c>
      <c r="O13" s="35">
        <f t="shared" ca="1" si="3"/>
        <v>1758.605</v>
      </c>
      <c r="P13" s="35">
        <f t="shared" ca="1" si="4"/>
        <v>1757.9770000000001</v>
      </c>
      <c r="Q13" s="35">
        <f t="shared" ca="1" si="5"/>
        <v>1760.4069999999999</v>
      </c>
      <c r="R13" s="35">
        <f t="shared" ca="1" si="6"/>
        <v>1758.5830000000001</v>
      </c>
      <c r="S13" s="35">
        <f t="shared" ca="1" si="7"/>
        <v>1759.213</v>
      </c>
      <c r="T13" s="35">
        <f t="shared" ca="1" si="8"/>
        <v>1764.452</v>
      </c>
      <c r="U13" s="35">
        <f t="shared" ca="1" si="9"/>
        <v>1757.567</v>
      </c>
      <c r="W13" s="35">
        <f t="shared" ca="1" si="10"/>
        <v>1760.8781999999999</v>
      </c>
      <c r="Y13" s="35">
        <f ca="1">Total!E13</f>
        <v>1753.79</v>
      </c>
      <c r="AB13" s="35">
        <f t="shared" ca="1" si="11"/>
        <v>5.79373813284376E-3</v>
      </c>
      <c r="AC13" s="35">
        <f t="shared" ca="1" si="12"/>
        <v>6.7693395446433557E-3</v>
      </c>
      <c r="AD13" s="35">
        <f t="shared" ca="1" si="13"/>
        <v>4.8894109328939299E-3</v>
      </c>
      <c r="AE13" s="35">
        <f t="shared" ca="1" si="14"/>
        <v>2.7454826404529932E-3</v>
      </c>
      <c r="AF13" s="35">
        <f t="shared" ca="1" si="15"/>
        <v>2.3874010001198121E-3</v>
      </c>
      <c r="AG13" s="35">
        <f t="shared" ca="1" si="16"/>
        <v>3.7729716784791578E-3</v>
      </c>
      <c r="AH13" s="35">
        <f t="shared" ca="1" si="17"/>
        <v>2.7329383791674716E-3</v>
      </c>
      <c r="AI13" s="35">
        <f t="shared" ca="1" si="18"/>
        <v>3.0921604068902217E-3</v>
      </c>
      <c r="AJ13" s="35">
        <f t="shared" ca="1" si="19"/>
        <v>6.079405173937606E-3</v>
      </c>
      <c r="AK13" s="35">
        <f t="shared" ca="1" si="20"/>
        <v>2.1536215852525353E-3</v>
      </c>
      <c r="AM13" s="35">
        <f t="shared" ca="1" si="21"/>
        <v>4.041646947468084E-2</v>
      </c>
    </row>
    <row r="14" spans="1:39" x14ac:dyDescent="0.3">
      <c r="A14" t="s">
        <v>17</v>
      </c>
      <c r="B14">
        <v>50</v>
      </c>
      <c r="C14" s="71">
        <v>1</v>
      </c>
      <c r="D14">
        <v>53.048000000000002</v>
      </c>
      <c r="E14">
        <v>19.582000000000001</v>
      </c>
      <c r="F14">
        <v>546</v>
      </c>
      <c r="H14" s="35" t="s">
        <v>33</v>
      </c>
      <c r="I14" s="35">
        <v>9</v>
      </c>
      <c r="J14" s="35">
        <v>1</v>
      </c>
      <c r="L14" s="35">
        <f t="shared" ref="L14:U19" ca="1" si="22">INDIRECT("D"&amp;1+(ROW(D13)-1)*10+COLUMN(A13)-1)</f>
        <v>8.5419999999999998</v>
      </c>
      <c r="M14" s="35">
        <f t="shared" ca="1" si="22"/>
        <v>8.5419999999999998</v>
      </c>
      <c r="N14" s="35">
        <f t="shared" ca="1" si="22"/>
        <v>8.5419999999999998</v>
      </c>
      <c r="O14" s="35">
        <f t="shared" ca="1" si="22"/>
        <v>8.5419999999999998</v>
      </c>
      <c r="P14" s="35">
        <f t="shared" ca="1" si="22"/>
        <v>8.5419999999999998</v>
      </c>
      <c r="Q14" s="35">
        <f t="shared" ca="1" si="22"/>
        <v>8.5419999999999998</v>
      </c>
      <c r="R14" s="35">
        <f t="shared" ca="1" si="22"/>
        <v>8.5419999999999998</v>
      </c>
      <c r="S14" s="35">
        <f t="shared" ca="1" si="22"/>
        <v>8.5419999999999998</v>
      </c>
      <c r="T14" s="35">
        <f t="shared" ca="1" si="22"/>
        <v>8.5419999999999998</v>
      </c>
      <c r="U14" s="35">
        <f t="shared" ca="1" si="22"/>
        <v>8.5419999999999998</v>
      </c>
      <c r="W14" s="35">
        <f t="shared" ref="W14:W19" ca="1" si="23">AVERAGE(L14:U14)</f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 s="71">
        <v>1</v>
      </c>
      <c r="D15">
        <v>53.067</v>
      </c>
      <c r="E15">
        <v>19.556999999999999</v>
      </c>
      <c r="F15">
        <v>481</v>
      </c>
      <c r="H15" s="35" t="s">
        <v>33</v>
      </c>
      <c r="I15" s="35">
        <v>209</v>
      </c>
      <c r="J15" s="35">
        <v>1</v>
      </c>
      <c r="L15" s="35">
        <f t="shared" ca="1" si="22"/>
        <v>77.183999999999997</v>
      </c>
      <c r="M15" s="35">
        <f t="shared" ca="1" si="22"/>
        <v>77.2</v>
      </c>
      <c r="N15" s="35">
        <f t="shared" ca="1" si="22"/>
        <v>77.180000000000007</v>
      </c>
      <c r="O15" s="35">
        <f t="shared" ca="1" si="22"/>
        <v>76.775999999999996</v>
      </c>
      <c r="P15" s="35">
        <f t="shared" ca="1" si="22"/>
        <v>77.097999999999999</v>
      </c>
      <c r="Q15" s="35">
        <f t="shared" ca="1" si="22"/>
        <v>77.108999999999995</v>
      </c>
      <c r="R15" s="35">
        <f t="shared" ca="1" si="22"/>
        <v>77.055000000000007</v>
      </c>
      <c r="S15" s="35">
        <f t="shared" ca="1" si="22"/>
        <v>77.051000000000002</v>
      </c>
      <c r="T15" s="35">
        <f t="shared" ca="1" si="22"/>
        <v>77.221000000000004</v>
      </c>
      <c r="U15" s="35">
        <f t="shared" ca="1" si="22"/>
        <v>76.930999999999997</v>
      </c>
      <c r="W15" s="35">
        <f t="shared" ca="1" si="23"/>
        <v>77.080500000000015</v>
      </c>
      <c r="Y15" s="35">
        <f ca="1">Total!E15</f>
        <v>75.998000000000005</v>
      </c>
      <c r="AB15" s="35">
        <f t="shared" ca="1" si="11"/>
        <v>1.5605673833521839E-2</v>
      </c>
      <c r="AC15" s="35">
        <f t="shared" ca="1" si="12"/>
        <v>1.5816205689623386E-2</v>
      </c>
      <c r="AD15" s="35">
        <f t="shared" ca="1" si="13"/>
        <v>1.5553040869496593E-2</v>
      </c>
      <c r="AE15" s="35">
        <f t="shared" ca="1" si="14"/>
        <v>1.0237111502934177E-2</v>
      </c>
      <c r="AF15" s="35">
        <f t="shared" ca="1" si="15"/>
        <v>1.4474065106976424E-2</v>
      </c>
      <c r="AG15" s="35">
        <f t="shared" ca="1" si="16"/>
        <v>1.4618805758046131E-2</v>
      </c>
      <c r="AH15" s="35">
        <f t="shared" ca="1" si="17"/>
        <v>1.3908260743703809E-2</v>
      </c>
      <c r="AI15" s="35">
        <f t="shared" ca="1" si="18"/>
        <v>1.3855627779678376E-2</v>
      </c>
      <c r="AJ15" s="35">
        <f t="shared" ca="1" si="19"/>
        <v>1.6092528750756584E-2</v>
      </c>
      <c r="AK15" s="35">
        <f t="shared" ca="1" si="20"/>
        <v>1.2276638858917244E-2</v>
      </c>
      <c r="AM15" s="35">
        <f t="shared" ca="1" si="21"/>
        <v>0.14243795889365457</v>
      </c>
    </row>
    <row r="16" spans="1:39" x14ac:dyDescent="0.3">
      <c r="A16" t="s">
        <v>17</v>
      </c>
      <c r="B16">
        <v>50</v>
      </c>
      <c r="C16" s="71">
        <v>1</v>
      </c>
      <c r="D16">
        <v>53.076999999999998</v>
      </c>
      <c r="E16">
        <v>19.562000000000001</v>
      </c>
      <c r="F16">
        <v>472</v>
      </c>
      <c r="H16" s="35" t="s">
        <v>33</v>
      </c>
      <c r="I16" s="35">
        <v>324</v>
      </c>
      <c r="J16" s="35">
        <v>1</v>
      </c>
      <c r="L16" s="35">
        <f t="shared" ca="1" si="22"/>
        <v>119.197</v>
      </c>
      <c r="M16" s="35">
        <f t="shared" ca="1" si="22"/>
        <v>119.173</v>
      </c>
      <c r="N16" s="35">
        <f t="shared" ca="1" si="22"/>
        <v>119.718</v>
      </c>
      <c r="O16" s="35">
        <f t="shared" ca="1" si="22"/>
        <v>119.43</v>
      </c>
      <c r="P16" s="35">
        <f t="shared" ca="1" si="22"/>
        <v>119.459</v>
      </c>
      <c r="Q16" s="35">
        <f t="shared" ca="1" si="22"/>
        <v>119.10599999999999</v>
      </c>
      <c r="R16" s="35">
        <f t="shared" ca="1" si="22"/>
        <v>119.089</v>
      </c>
      <c r="S16" s="35">
        <f t="shared" ca="1" si="22"/>
        <v>119.349</v>
      </c>
      <c r="T16" s="35">
        <f t="shared" ca="1" si="22"/>
        <v>119.151</v>
      </c>
      <c r="U16" s="35">
        <f t="shared" ca="1" si="22"/>
        <v>119.42</v>
      </c>
      <c r="W16" s="35">
        <f t="shared" ca="1" si="23"/>
        <v>119.3092</v>
      </c>
      <c r="Y16" s="35">
        <f ca="1">Total!E16</f>
        <v>118.01</v>
      </c>
      <c r="AB16" s="35">
        <f t="shared" ca="1" si="11"/>
        <v>1.005846962121852E-2</v>
      </c>
      <c r="AC16" s="35">
        <f t="shared" ca="1" si="12"/>
        <v>9.855097025675762E-3</v>
      </c>
      <c r="AD16" s="35">
        <f t="shared" ca="1" si="13"/>
        <v>1.4473349716125739E-2</v>
      </c>
      <c r="AE16" s="35">
        <f t="shared" ca="1" si="14"/>
        <v>1.2032878569612758E-2</v>
      </c>
      <c r="AF16" s="35">
        <f t="shared" ca="1" si="15"/>
        <v>1.2278620455893551E-2</v>
      </c>
      <c r="AG16" s="35">
        <f t="shared" ca="1" si="16"/>
        <v>9.2873485297855218E-3</v>
      </c>
      <c r="AH16" s="35">
        <f t="shared" ca="1" si="17"/>
        <v>9.1432929412761082E-3</v>
      </c>
      <c r="AI16" s="35">
        <f t="shared" ca="1" si="18"/>
        <v>1.134649605965595E-2</v>
      </c>
      <c r="AJ16" s="35">
        <f t="shared" ca="1" si="19"/>
        <v>9.6686721464281939E-3</v>
      </c>
      <c r="AK16" s="35">
        <f t="shared" ca="1" si="20"/>
        <v>1.1948139988136569E-2</v>
      </c>
      <c r="AM16" s="35">
        <f t="shared" ca="1" si="21"/>
        <v>0.11009236505380866</v>
      </c>
    </row>
    <row r="17" spans="1:39" x14ac:dyDescent="0.3">
      <c r="A17" t="s">
        <v>17</v>
      </c>
      <c r="B17">
        <v>50</v>
      </c>
      <c r="C17" s="71">
        <v>1</v>
      </c>
      <c r="D17">
        <v>53.076999999999998</v>
      </c>
      <c r="E17">
        <v>19.545999999999999</v>
      </c>
      <c r="F17">
        <v>373</v>
      </c>
      <c r="H17" s="35" t="s">
        <v>34</v>
      </c>
      <c r="I17" s="35">
        <v>40</v>
      </c>
      <c r="J17" s="35">
        <v>1</v>
      </c>
      <c r="L17" s="35">
        <f t="shared" ca="1" si="22"/>
        <v>16.515000000000001</v>
      </c>
      <c r="M17" s="35">
        <f t="shared" ca="1" si="22"/>
        <v>16.803999999999998</v>
      </c>
      <c r="N17" s="35">
        <f t="shared" ca="1" si="22"/>
        <v>16.539000000000001</v>
      </c>
      <c r="O17" s="35">
        <f t="shared" ca="1" si="22"/>
        <v>16.75</v>
      </c>
      <c r="P17" s="35">
        <f t="shared" ca="1" si="22"/>
        <v>16.689</v>
      </c>
      <c r="Q17" s="35">
        <f t="shared" ca="1" si="22"/>
        <v>16.585000000000001</v>
      </c>
      <c r="R17" s="35">
        <f t="shared" ca="1" si="22"/>
        <v>16.655999999999999</v>
      </c>
      <c r="S17" s="35">
        <f t="shared" ca="1" si="22"/>
        <v>16.638999999999999</v>
      </c>
      <c r="T17" s="35">
        <f t="shared" ca="1" si="22"/>
        <v>16.891999999999999</v>
      </c>
      <c r="U17" s="35">
        <f t="shared" ca="1" si="22"/>
        <v>16.617999999999999</v>
      </c>
      <c r="W17" s="35">
        <f t="shared" ca="1" si="23"/>
        <v>16.668700000000001</v>
      </c>
      <c r="Y17" s="35">
        <f ca="1">Total!E17</f>
        <v>16.481999999999999</v>
      </c>
      <c r="AB17" s="35">
        <f t="shared" ca="1" si="11"/>
        <v>2.0021842009465629E-3</v>
      </c>
      <c r="AC17" s="35">
        <f t="shared" ca="1" si="12"/>
        <v>1.9536464021356583E-2</v>
      </c>
      <c r="AD17" s="35">
        <f t="shared" ca="1" si="13"/>
        <v>3.4583181652713363E-3</v>
      </c>
      <c r="AE17" s="35">
        <f t="shared" ca="1" si="14"/>
        <v>1.626016260162606E-2</v>
      </c>
      <c r="AF17" s="35">
        <f t="shared" ca="1" si="15"/>
        <v>1.2559155442300737E-2</v>
      </c>
      <c r="AG17" s="35">
        <f t="shared" ca="1" si="16"/>
        <v>6.2492415968936742E-3</v>
      </c>
      <c r="AH17" s="35">
        <f t="shared" ca="1" si="17"/>
        <v>1.0556971241354175E-2</v>
      </c>
      <c r="AI17" s="35">
        <f t="shared" ca="1" si="18"/>
        <v>9.5255430166241977E-3</v>
      </c>
      <c r="AJ17" s="35">
        <f t="shared" ca="1" si="19"/>
        <v>2.4875621890547272E-2</v>
      </c>
      <c r="AK17" s="35">
        <f t="shared" ca="1" si="20"/>
        <v>8.2514257978400212E-3</v>
      </c>
      <c r="AM17" s="35">
        <f t="shared" ca="1" si="21"/>
        <v>0.11327508797476063</v>
      </c>
    </row>
    <row r="18" spans="1:39" x14ac:dyDescent="0.3">
      <c r="A18" t="s">
        <v>17</v>
      </c>
      <c r="B18">
        <v>50</v>
      </c>
      <c r="C18" s="71">
        <v>1</v>
      </c>
      <c r="D18">
        <v>53.036999999999999</v>
      </c>
      <c r="E18">
        <v>19.548999999999999</v>
      </c>
      <c r="F18">
        <v>382</v>
      </c>
      <c r="H18" s="35" t="s">
        <v>34</v>
      </c>
      <c r="I18" s="35">
        <v>96</v>
      </c>
      <c r="J18" s="35">
        <v>1</v>
      </c>
      <c r="L18" s="35">
        <f t="shared" ca="1" si="22"/>
        <v>35.186999999999998</v>
      </c>
      <c r="M18" s="35">
        <f t="shared" ca="1" si="22"/>
        <v>35.15</v>
      </c>
      <c r="N18" s="35">
        <f t="shared" ca="1" si="22"/>
        <v>35.154000000000003</v>
      </c>
      <c r="O18" s="35">
        <f t="shared" ca="1" si="22"/>
        <v>35.155999999999999</v>
      </c>
      <c r="P18" s="35">
        <f t="shared" ca="1" si="22"/>
        <v>35.223999999999997</v>
      </c>
      <c r="Q18" s="35">
        <f t="shared" ca="1" si="22"/>
        <v>35.137999999999998</v>
      </c>
      <c r="R18" s="35">
        <f t="shared" ca="1" si="22"/>
        <v>35.082000000000001</v>
      </c>
      <c r="S18" s="35">
        <f t="shared" ca="1" si="22"/>
        <v>35.271999999999998</v>
      </c>
      <c r="T18" s="35">
        <f t="shared" ca="1" si="22"/>
        <v>35.265999999999998</v>
      </c>
      <c r="U18" s="35">
        <f t="shared" ca="1" si="22"/>
        <v>35.216000000000001</v>
      </c>
      <c r="W18" s="35">
        <f t="shared" ca="1" si="23"/>
        <v>35.1845</v>
      </c>
      <c r="Y18" s="35">
        <f ca="1">Total!E18</f>
        <v>35.069000000000003</v>
      </c>
      <c r="AB18" s="35">
        <f t="shared" ca="1" si="11"/>
        <v>3.3647951181954142E-3</v>
      </c>
      <c r="AC18" s="35">
        <f t="shared" ca="1" si="12"/>
        <v>2.3097322421510723E-3</v>
      </c>
      <c r="AD18" s="35">
        <f t="shared" ca="1" si="13"/>
        <v>2.4237930936154678E-3</v>
      </c>
      <c r="AE18" s="35">
        <f t="shared" ca="1" si="14"/>
        <v>2.4808235193474631E-3</v>
      </c>
      <c r="AF18" s="35">
        <f t="shared" ca="1" si="15"/>
        <v>4.4198579942397566E-3</v>
      </c>
      <c r="AG18" s="35">
        <f t="shared" ca="1" si="16"/>
        <v>1.9675496877582907E-3</v>
      </c>
      <c r="AH18" s="35">
        <f t="shared" ca="1" si="17"/>
        <v>3.7069776725877904E-4</v>
      </c>
      <c r="AI18" s="35">
        <f t="shared" ca="1" si="18"/>
        <v>5.7885882118108821E-3</v>
      </c>
      <c r="AJ18" s="35">
        <f t="shared" ca="1" si="19"/>
        <v>5.6174969346144913E-3</v>
      </c>
      <c r="AK18" s="35">
        <f t="shared" ca="1" si="20"/>
        <v>4.1917362913113706E-3</v>
      </c>
      <c r="AM18" s="35">
        <f t="shared" ca="1" si="21"/>
        <v>3.2935070860302992E-2</v>
      </c>
    </row>
    <row r="19" spans="1:39" x14ac:dyDescent="0.3">
      <c r="A19" t="s">
        <v>17</v>
      </c>
      <c r="B19">
        <v>50</v>
      </c>
      <c r="C19" s="71">
        <v>1</v>
      </c>
      <c r="D19">
        <v>53.067</v>
      </c>
      <c r="E19">
        <v>19.564</v>
      </c>
      <c r="F19">
        <v>366</v>
      </c>
      <c r="H19" s="35" t="s">
        <v>34</v>
      </c>
      <c r="I19" s="35">
        <v>224</v>
      </c>
      <c r="J19" s="35">
        <v>1</v>
      </c>
      <c r="L19" s="35">
        <f t="shared" ca="1" si="22"/>
        <v>72.063999999999993</v>
      </c>
      <c r="M19" s="35">
        <f t="shared" ca="1" si="22"/>
        <v>72.087999999999994</v>
      </c>
      <c r="N19" s="35">
        <f t="shared" ca="1" si="22"/>
        <v>72.08</v>
      </c>
      <c r="O19" s="35">
        <f t="shared" ca="1" si="22"/>
        <v>71.995999999999995</v>
      </c>
      <c r="P19" s="35">
        <f t="shared" ca="1" si="22"/>
        <v>72.037000000000006</v>
      </c>
      <c r="Q19" s="35">
        <f t="shared" ca="1" si="22"/>
        <v>72.069999999999993</v>
      </c>
      <c r="R19" s="35">
        <f t="shared" ca="1" si="22"/>
        <v>71.998000000000005</v>
      </c>
      <c r="S19" s="35">
        <f t="shared" ca="1" si="22"/>
        <v>71.971999999999994</v>
      </c>
      <c r="T19" s="35">
        <f t="shared" ca="1" si="22"/>
        <v>72.051000000000002</v>
      </c>
      <c r="U19" s="35">
        <f t="shared" ca="1" si="22"/>
        <v>72.123999999999995</v>
      </c>
      <c r="W19" s="35">
        <f t="shared" ca="1" si="23"/>
        <v>72.048000000000002</v>
      </c>
      <c r="Y19" s="35">
        <f ca="1">Total!E19</f>
        <v>71.908000000000001</v>
      </c>
      <c r="AB19" s="35">
        <f t="shared" ca="1" si="11"/>
        <v>2.1694387272624977E-3</v>
      </c>
      <c r="AC19" s="35">
        <f t="shared" ca="1" si="12"/>
        <v>2.5031985314567587E-3</v>
      </c>
      <c r="AD19" s="35">
        <f t="shared" ca="1" si="13"/>
        <v>2.3919452633920711E-3</v>
      </c>
      <c r="AE19" s="35">
        <f t="shared" ca="1" si="14"/>
        <v>1.2237859487121581E-3</v>
      </c>
      <c r="AF19" s="35">
        <f t="shared" ca="1" si="15"/>
        <v>1.7939589475441521E-3</v>
      </c>
      <c r="AG19" s="35">
        <f t="shared" ca="1" si="16"/>
        <v>2.252878678311063E-3</v>
      </c>
      <c r="AH19" s="35">
        <f t="shared" ca="1" si="17"/>
        <v>1.2515992657284782E-3</v>
      </c>
      <c r="AI19" s="35">
        <f t="shared" ca="1" si="18"/>
        <v>8.9002614451789714E-4</v>
      </c>
      <c r="AJ19" s="35">
        <f t="shared" ca="1" si="19"/>
        <v>1.9886521666574049E-3</v>
      </c>
      <c r="AK19" s="35">
        <f t="shared" ca="1" si="20"/>
        <v>3.0038382377481502E-3</v>
      </c>
      <c r="AM19" s="35">
        <f t="shared" ca="1" si="21"/>
        <v>1.946932191133063E-2</v>
      </c>
    </row>
    <row r="20" spans="1:39" x14ac:dyDescent="0.3">
      <c r="A20" t="s">
        <v>17</v>
      </c>
      <c r="B20">
        <v>50</v>
      </c>
      <c r="C20" s="71">
        <v>1</v>
      </c>
      <c r="D20">
        <v>52.927</v>
      </c>
      <c r="E20">
        <v>19.585999999999999</v>
      </c>
      <c r="F20">
        <v>378</v>
      </c>
    </row>
    <row r="21" spans="1:39" x14ac:dyDescent="0.3">
      <c r="A21" t="s">
        <v>17</v>
      </c>
      <c r="B21">
        <v>100</v>
      </c>
      <c r="C21" s="71">
        <v>1</v>
      </c>
      <c r="D21">
        <v>103.31399999999999</v>
      </c>
      <c r="E21">
        <v>101.997</v>
      </c>
      <c r="F21">
        <v>630</v>
      </c>
    </row>
    <row r="22" spans="1:39" x14ac:dyDescent="0.3">
      <c r="A22" t="s">
        <v>17</v>
      </c>
      <c r="B22">
        <v>100</v>
      </c>
      <c r="C22" s="71">
        <v>1</v>
      </c>
      <c r="D22">
        <v>103.259</v>
      </c>
      <c r="E22">
        <v>102.09</v>
      </c>
      <c r="F22">
        <v>578</v>
      </c>
    </row>
    <row r="23" spans="1:39" x14ac:dyDescent="0.3">
      <c r="A23" t="s">
        <v>17</v>
      </c>
      <c r="B23">
        <v>100</v>
      </c>
      <c r="C23" s="71">
        <v>1</v>
      </c>
      <c r="D23">
        <v>103.322</v>
      </c>
      <c r="E23">
        <v>102.059</v>
      </c>
      <c r="F23">
        <v>635</v>
      </c>
    </row>
    <row r="24" spans="1:39" x14ac:dyDescent="0.3">
      <c r="A24" t="s">
        <v>17</v>
      </c>
      <c r="B24">
        <v>100</v>
      </c>
      <c r="C24" s="71">
        <v>1</v>
      </c>
      <c r="D24">
        <v>103.422</v>
      </c>
      <c r="E24">
        <v>102.062</v>
      </c>
      <c r="F24">
        <v>600</v>
      </c>
    </row>
    <row r="25" spans="1:39" x14ac:dyDescent="0.3">
      <c r="A25" t="s">
        <v>17</v>
      </c>
      <c r="B25">
        <v>100</v>
      </c>
      <c r="C25" s="71">
        <v>1</v>
      </c>
      <c r="D25">
        <v>103.324</v>
      </c>
      <c r="E25">
        <v>102.072</v>
      </c>
      <c r="F25">
        <v>622</v>
      </c>
    </row>
    <row r="26" spans="1:39" x14ac:dyDescent="0.3">
      <c r="A26" t="s">
        <v>17</v>
      </c>
      <c r="B26">
        <v>100</v>
      </c>
      <c r="C26" s="71">
        <v>1</v>
      </c>
      <c r="D26">
        <v>103.26</v>
      </c>
      <c r="E26">
        <v>102.08799999999999</v>
      </c>
      <c r="F26">
        <v>622</v>
      </c>
    </row>
    <row r="27" spans="1:39" x14ac:dyDescent="0.3">
      <c r="A27" t="s">
        <v>17</v>
      </c>
      <c r="B27">
        <v>100</v>
      </c>
      <c r="C27" s="71">
        <v>1</v>
      </c>
      <c r="D27">
        <v>103.203</v>
      </c>
      <c r="E27">
        <v>102.15600000000001</v>
      </c>
      <c r="F27">
        <v>586</v>
      </c>
    </row>
    <row r="28" spans="1:39" x14ac:dyDescent="0.3">
      <c r="A28" t="s">
        <v>17</v>
      </c>
      <c r="B28">
        <v>100</v>
      </c>
      <c r="C28" s="71">
        <v>1</v>
      </c>
      <c r="D28">
        <v>103.282</v>
      </c>
      <c r="E28">
        <v>102.054</v>
      </c>
      <c r="F28">
        <v>642</v>
      </c>
    </row>
    <row r="29" spans="1:39" x14ac:dyDescent="0.3">
      <c r="A29" t="s">
        <v>17</v>
      </c>
      <c r="B29">
        <v>100</v>
      </c>
      <c r="C29" s="71">
        <v>1</v>
      </c>
      <c r="D29">
        <v>103.271</v>
      </c>
      <c r="E29">
        <v>102.029</v>
      </c>
      <c r="F29">
        <v>598</v>
      </c>
    </row>
    <row r="30" spans="1:39" x14ac:dyDescent="0.3">
      <c r="A30" t="s">
        <v>17</v>
      </c>
      <c r="B30">
        <v>100</v>
      </c>
      <c r="C30" s="71">
        <v>1</v>
      </c>
      <c r="D30">
        <v>103.325</v>
      </c>
      <c r="E30">
        <v>102.032</v>
      </c>
      <c r="F30">
        <v>629</v>
      </c>
    </row>
    <row r="31" spans="1:39" x14ac:dyDescent="0.3">
      <c r="A31" t="s">
        <v>18</v>
      </c>
      <c r="B31">
        <v>30</v>
      </c>
      <c r="C31" s="71">
        <v>1</v>
      </c>
      <c r="D31">
        <v>156.12700000000001</v>
      </c>
      <c r="E31">
        <v>8.0079999999999991</v>
      </c>
      <c r="F31">
        <v>280</v>
      </c>
    </row>
    <row r="32" spans="1:39" x14ac:dyDescent="0.3">
      <c r="A32" t="s">
        <v>18</v>
      </c>
      <c r="B32">
        <v>30</v>
      </c>
      <c r="C32" s="71">
        <v>1</v>
      </c>
      <c r="D32">
        <v>156.12700000000001</v>
      </c>
      <c r="E32">
        <v>7.9980000000000002</v>
      </c>
      <c r="F32">
        <v>289</v>
      </c>
    </row>
    <row r="33" spans="1:6" x14ac:dyDescent="0.3">
      <c r="A33" t="s">
        <v>18</v>
      </c>
      <c r="B33">
        <v>30</v>
      </c>
      <c r="C33" s="71">
        <v>1</v>
      </c>
      <c r="D33">
        <v>156.12700000000001</v>
      </c>
      <c r="E33">
        <v>8</v>
      </c>
      <c r="F33">
        <v>322</v>
      </c>
    </row>
    <row r="34" spans="1:6" x14ac:dyDescent="0.3">
      <c r="A34" t="s">
        <v>18</v>
      </c>
      <c r="B34">
        <v>30</v>
      </c>
      <c r="C34" s="71">
        <v>1</v>
      </c>
      <c r="D34">
        <v>156.12700000000001</v>
      </c>
      <c r="E34">
        <v>8.0090000000000003</v>
      </c>
      <c r="F34">
        <v>278</v>
      </c>
    </row>
    <row r="35" spans="1:6" x14ac:dyDescent="0.3">
      <c r="A35" t="s">
        <v>18</v>
      </c>
      <c r="B35">
        <v>30</v>
      </c>
      <c r="C35" s="71">
        <v>1</v>
      </c>
      <c r="D35">
        <v>156.12700000000001</v>
      </c>
      <c r="E35">
        <v>8.01</v>
      </c>
      <c r="F35">
        <v>302</v>
      </c>
    </row>
    <row r="36" spans="1:6" x14ac:dyDescent="0.3">
      <c r="A36" t="s">
        <v>18</v>
      </c>
      <c r="B36">
        <v>30</v>
      </c>
      <c r="C36" s="71">
        <v>1</v>
      </c>
      <c r="D36">
        <v>156.12700000000001</v>
      </c>
      <c r="E36">
        <v>8.0210000000000008</v>
      </c>
      <c r="F36">
        <v>302</v>
      </c>
    </row>
    <row r="37" spans="1:6" x14ac:dyDescent="0.3">
      <c r="A37" t="s">
        <v>18</v>
      </c>
      <c r="B37">
        <v>30</v>
      </c>
      <c r="C37" s="71">
        <v>1</v>
      </c>
      <c r="D37">
        <v>156.12700000000001</v>
      </c>
      <c r="E37">
        <v>8.0220000000000002</v>
      </c>
      <c r="F37">
        <v>298</v>
      </c>
    </row>
    <row r="38" spans="1:6" x14ac:dyDescent="0.3">
      <c r="A38" t="s">
        <v>18</v>
      </c>
      <c r="B38">
        <v>30</v>
      </c>
      <c r="C38" s="71">
        <v>1</v>
      </c>
      <c r="D38">
        <v>156.12700000000001</v>
      </c>
      <c r="E38">
        <v>8.0069999999999997</v>
      </c>
      <c r="F38">
        <v>271</v>
      </c>
    </row>
    <row r="39" spans="1:6" x14ac:dyDescent="0.3">
      <c r="A39" t="s">
        <v>18</v>
      </c>
      <c r="B39">
        <v>30</v>
      </c>
      <c r="C39" s="71">
        <v>1</v>
      </c>
      <c r="D39">
        <v>156.12700000000001</v>
      </c>
      <c r="E39">
        <v>8.0090000000000003</v>
      </c>
      <c r="F39">
        <v>293</v>
      </c>
    </row>
    <row r="40" spans="1:6" x14ac:dyDescent="0.3">
      <c r="A40" t="s">
        <v>18</v>
      </c>
      <c r="B40">
        <v>30</v>
      </c>
      <c r="C40" s="71">
        <v>1</v>
      </c>
      <c r="D40">
        <v>156.12700000000001</v>
      </c>
      <c r="E40">
        <v>8.0120000000000005</v>
      </c>
      <c r="F40">
        <v>241</v>
      </c>
    </row>
    <row r="41" spans="1:6" x14ac:dyDescent="0.3">
      <c r="A41" t="s">
        <v>18</v>
      </c>
      <c r="B41">
        <v>50</v>
      </c>
      <c r="C41" s="71">
        <v>1</v>
      </c>
      <c r="D41">
        <v>179.93799999999999</v>
      </c>
      <c r="E41">
        <v>22.443000000000001</v>
      </c>
      <c r="F41">
        <v>373</v>
      </c>
    </row>
    <row r="42" spans="1:6" x14ac:dyDescent="0.3">
      <c r="A42" t="s">
        <v>18</v>
      </c>
      <c r="B42">
        <v>50</v>
      </c>
      <c r="C42" s="71">
        <v>1</v>
      </c>
      <c r="D42">
        <v>179.673</v>
      </c>
      <c r="E42">
        <v>22.41</v>
      </c>
      <c r="F42">
        <v>376</v>
      </c>
    </row>
    <row r="43" spans="1:6" x14ac:dyDescent="0.3">
      <c r="A43" t="s">
        <v>18</v>
      </c>
      <c r="B43">
        <v>50</v>
      </c>
      <c r="C43" s="71">
        <v>1</v>
      </c>
      <c r="D43">
        <v>179.93799999999999</v>
      </c>
      <c r="E43">
        <v>22.445</v>
      </c>
      <c r="F43">
        <v>372</v>
      </c>
    </row>
    <row r="44" spans="1:6" x14ac:dyDescent="0.3">
      <c r="A44" t="s">
        <v>18</v>
      </c>
      <c r="B44">
        <v>50</v>
      </c>
      <c r="C44" s="71">
        <v>1</v>
      </c>
      <c r="D44">
        <v>179.93799999999999</v>
      </c>
      <c r="E44">
        <v>22.417999999999999</v>
      </c>
      <c r="F44">
        <v>382</v>
      </c>
    </row>
    <row r="45" spans="1:6" x14ac:dyDescent="0.3">
      <c r="A45" t="s">
        <v>18</v>
      </c>
      <c r="B45">
        <v>50</v>
      </c>
      <c r="C45" s="71">
        <v>1</v>
      </c>
      <c r="D45">
        <v>179.93799999999999</v>
      </c>
      <c r="E45">
        <v>22.449000000000002</v>
      </c>
      <c r="F45">
        <v>385</v>
      </c>
    </row>
    <row r="46" spans="1:6" x14ac:dyDescent="0.3">
      <c r="A46" t="s">
        <v>18</v>
      </c>
      <c r="B46">
        <v>50</v>
      </c>
      <c r="C46" s="71">
        <v>1</v>
      </c>
      <c r="D46">
        <v>179.93799999999999</v>
      </c>
      <c r="E46">
        <v>22.443999999999999</v>
      </c>
      <c r="F46">
        <v>381</v>
      </c>
    </row>
    <row r="47" spans="1:6" x14ac:dyDescent="0.3">
      <c r="A47" t="s">
        <v>18</v>
      </c>
      <c r="B47">
        <v>50</v>
      </c>
      <c r="C47" s="71">
        <v>1</v>
      </c>
      <c r="D47">
        <v>179.93799999999999</v>
      </c>
      <c r="E47">
        <v>22.434000000000001</v>
      </c>
      <c r="F47">
        <v>389</v>
      </c>
    </row>
    <row r="48" spans="1:6" x14ac:dyDescent="0.3">
      <c r="A48" t="s">
        <v>18</v>
      </c>
      <c r="B48">
        <v>50</v>
      </c>
      <c r="C48" s="71">
        <v>1</v>
      </c>
      <c r="D48">
        <v>179.93799999999999</v>
      </c>
      <c r="E48">
        <v>22.417000000000002</v>
      </c>
      <c r="F48">
        <v>364</v>
      </c>
    </row>
    <row r="49" spans="1:6" x14ac:dyDescent="0.3">
      <c r="A49" t="s">
        <v>18</v>
      </c>
      <c r="B49">
        <v>50</v>
      </c>
      <c r="C49" s="71">
        <v>1</v>
      </c>
      <c r="D49">
        <v>179.673</v>
      </c>
      <c r="E49">
        <v>22.407</v>
      </c>
      <c r="F49">
        <v>372</v>
      </c>
    </row>
    <row r="50" spans="1:6" x14ac:dyDescent="0.3">
      <c r="A50" t="s">
        <v>18</v>
      </c>
      <c r="B50">
        <v>50</v>
      </c>
      <c r="C50" s="71">
        <v>1</v>
      </c>
      <c r="D50">
        <v>179.673</v>
      </c>
      <c r="E50">
        <v>22.422999999999998</v>
      </c>
      <c r="F50">
        <v>390</v>
      </c>
    </row>
    <row r="51" spans="1:6" x14ac:dyDescent="0.3">
      <c r="A51" t="s">
        <v>18</v>
      </c>
      <c r="B51">
        <v>100</v>
      </c>
      <c r="C51" s="71">
        <v>1</v>
      </c>
      <c r="D51">
        <v>239.18299999999999</v>
      </c>
      <c r="E51">
        <v>138.57599999999999</v>
      </c>
      <c r="F51">
        <v>712</v>
      </c>
    </row>
    <row r="52" spans="1:6" x14ac:dyDescent="0.3">
      <c r="A52" t="s">
        <v>18</v>
      </c>
      <c r="B52">
        <v>100</v>
      </c>
      <c r="C52" s="71">
        <v>1</v>
      </c>
      <c r="D52">
        <v>239.14500000000001</v>
      </c>
      <c r="E52">
        <v>138.55099999999999</v>
      </c>
      <c r="F52">
        <v>779</v>
      </c>
    </row>
    <row r="53" spans="1:6" x14ac:dyDescent="0.3">
      <c r="A53" t="s">
        <v>18</v>
      </c>
      <c r="B53">
        <v>100</v>
      </c>
      <c r="C53" s="71">
        <v>1</v>
      </c>
      <c r="D53">
        <v>239.417</v>
      </c>
      <c r="E53">
        <v>138.602</v>
      </c>
      <c r="F53">
        <v>747</v>
      </c>
    </row>
    <row r="54" spans="1:6" x14ac:dyDescent="0.3">
      <c r="A54" t="s">
        <v>18</v>
      </c>
      <c r="B54">
        <v>100</v>
      </c>
      <c r="C54" s="71">
        <v>1</v>
      </c>
      <c r="D54">
        <v>239.62</v>
      </c>
      <c r="E54">
        <v>138.529</v>
      </c>
      <c r="F54">
        <v>664</v>
      </c>
    </row>
    <row r="55" spans="1:6" x14ac:dyDescent="0.3">
      <c r="A55" t="s">
        <v>18</v>
      </c>
      <c r="B55">
        <v>100</v>
      </c>
      <c r="C55" s="71">
        <v>1</v>
      </c>
      <c r="D55">
        <v>239.316</v>
      </c>
      <c r="E55">
        <v>138.541</v>
      </c>
      <c r="F55">
        <v>673</v>
      </c>
    </row>
    <row r="56" spans="1:6" x14ac:dyDescent="0.3">
      <c r="A56" t="s">
        <v>18</v>
      </c>
      <c r="B56">
        <v>100</v>
      </c>
      <c r="C56" s="71">
        <v>1</v>
      </c>
      <c r="D56">
        <v>238.9</v>
      </c>
      <c r="E56">
        <v>138.55600000000001</v>
      </c>
      <c r="F56">
        <v>665</v>
      </c>
    </row>
    <row r="57" spans="1:6" x14ac:dyDescent="0.3">
      <c r="A57" t="s">
        <v>18</v>
      </c>
      <c r="B57">
        <v>100</v>
      </c>
      <c r="C57" s="71">
        <v>1</v>
      </c>
      <c r="D57">
        <v>239.375</v>
      </c>
      <c r="E57">
        <v>138.6</v>
      </c>
      <c r="F57">
        <v>670</v>
      </c>
    </row>
    <row r="58" spans="1:6" x14ac:dyDescent="0.3">
      <c r="A58" t="s">
        <v>18</v>
      </c>
      <c r="B58">
        <v>100</v>
      </c>
      <c r="C58" s="71">
        <v>1</v>
      </c>
      <c r="D58">
        <v>239.559</v>
      </c>
      <c r="E58">
        <v>138.55799999999999</v>
      </c>
      <c r="F58">
        <v>759</v>
      </c>
    </row>
    <row r="59" spans="1:6" x14ac:dyDescent="0.3">
      <c r="A59" t="s">
        <v>18</v>
      </c>
      <c r="B59">
        <v>100</v>
      </c>
      <c r="C59" s="71">
        <v>1</v>
      </c>
      <c r="D59">
        <v>239.14</v>
      </c>
      <c r="E59">
        <v>138.55099999999999</v>
      </c>
      <c r="F59">
        <v>787</v>
      </c>
    </row>
    <row r="60" spans="1:6" x14ac:dyDescent="0.3">
      <c r="A60" t="s">
        <v>18</v>
      </c>
      <c r="B60">
        <v>100</v>
      </c>
      <c r="C60" s="71">
        <v>1</v>
      </c>
      <c r="D60">
        <v>240.41</v>
      </c>
      <c r="E60">
        <v>138.57499999999999</v>
      </c>
      <c r="F60">
        <v>692</v>
      </c>
    </row>
    <row r="61" spans="1:6" x14ac:dyDescent="0.3">
      <c r="A61" t="s">
        <v>19</v>
      </c>
      <c r="B61">
        <v>24</v>
      </c>
      <c r="C61" s="71">
        <v>1</v>
      </c>
      <c r="D61">
        <v>2320.9079999999999</v>
      </c>
      <c r="E61">
        <v>4.3209999999999997</v>
      </c>
      <c r="F61">
        <v>223</v>
      </c>
    </row>
    <row r="62" spans="1:6" x14ac:dyDescent="0.3">
      <c r="A62" t="s">
        <v>19</v>
      </c>
      <c r="B62">
        <v>24</v>
      </c>
      <c r="C62" s="71">
        <v>1</v>
      </c>
      <c r="D62">
        <v>2320.9079999999999</v>
      </c>
      <c r="E62">
        <v>4.3319999999999999</v>
      </c>
      <c r="F62">
        <v>229</v>
      </c>
    </row>
    <row r="63" spans="1:6" x14ac:dyDescent="0.3">
      <c r="A63" t="s">
        <v>19</v>
      </c>
      <c r="B63">
        <v>24</v>
      </c>
      <c r="C63" s="71">
        <v>1</v>
      </c>
      <c r="D63">
        <v>2320.9079999999999</v>
      </c>
      <c r="E63">
        <v>4.3280000000000003</v>
      </c>
      <c r="F63">
        <v>167</v>
      </c>
    </row>
    <row r="64" spans="1:6" x14ac:dyDescent="0.3">
      <c r="A64" t="s">
        <v>19</v>
      </c>
      <c r="B64">
        <v>24</v>
      </c>
      <c r="C64" s="71">
        <v>1</v>
      </c>
      <c r="D64">
        <v>2320.9079999999999</v>
      </c>
      <c r="E64">
        <v>4.3369999999999997</v>
      </c>
      <c r="F64">
        <v>167</v>
      </c>
    </row>
    <row r="65" spans="1:6" x14ac:dyDescent="0.3">
      <c r="A65" t="s">
        <v>19</v>
      </c>
      <c r="B65">
        <v>24</v>
      </c>
      <c r="C65" s="71">
        <v>1</v>
      </c>
      <c r="D65">
        <v>2320.9079999999999</v>
      </c>
      <c r="E65">
        <v>4.3310000000000004</v>
      </c>
      <c r="F65">
        <v>248</v>
      </c>
    </row>
    <row r="66" spans="1:6" x14ac:dyDescent="0.3">
      <c r="A66" t="s">
        <v>19</v>
      </c>
      <c r="B66">
        <v>24</v>
      </c>
      <c r="C66" s="71">
        <v>1</v>
      </c>
      <c r="D66">
        <v>2320.9079999999999</v>
      </c>
      <c r="E66">
        <v>4.3230000000000004</v>
      </c>
      <c r="F66">
        <v>250</v>
      </c>
    </row>
    <row r="67" spans="1:6" x14ac:dyDescent="0.3">
      <c r="A67" t="s">
        <v>19</v>
      </c>
      <c r="B67">
        <v>24</v>
      </c>
      <c r="C67" s="71">
        <v>1</v>
      </c>
      <c r="D67">
        <v>2320.9079999999999</v>
      </c>
      <c r="E67">
        <v>4.3179999999999996</v>
      </c>
      <c r="F67">
        <v>271</v>
      </c>
    </row>
    <row r="68" spans="1:6" x14ac:dyDescent="0.3">
      <c r="A68" t="s">
        <v>19</v>
      </c>
      <c r="B68">
        <v>24</v>
      </c>
      <c r="C68" s="71">
        <v>1</v>
      </c>
      <c r="D68">
        <v>2320.9079999999999</v>
      </c>
      <c r="E68">
        <v>4.3150000000000004</v>
      </c>
      <c r="F68">
        <v>298</v>
      </c>
    </row>
    <row r="69" spans="1:6" x14ac:dyDescent="0.3">
      <c r="A69" t="s">
        <v>19</v>
      </c>
      <c r="B69">
        <v>24</v>
      </c>
      <c r="C69" s="71">
        <v>1</v>
      </c>
      <c r="D69">
        <v>2320.9079999999999</v>
      </c>
      <c r="E69">
        <v>4.3159999999999998</v>
      </c>
      <c r="F69">
        <v>183</v>
      </c>
    </row>
    <row r="70" spans="1:6" x14ac:dyDescent="0.3">
      <c r="A70" t="s">
        <v>19</v>
      </c>
      <c r="B70">
        <v>24</v>
      </c>
      <c r="C70" s="71">
        <v>1</v>
      </c>
      <c r="D70">
        <v>2320.9079999999999</v>
      </c>
      <c r="E70">
        <v>4.3230000000000004</v>
      </c>
      <c r="F70">
        <v>183</v>
      </c>
    </row>
    <row r="71" spans="1:6" x14ac:dyDescent="0.3">
      <c r="A71" t="s">
        <v>19</v>
      </c>
      <c r="B71">
        <v>47</v>
      </c>
      <c r="C71" s="71">
        <v>1</v>
      </c>
      <c r="D71">
        <v>4313.6099999999997</v>
      </c>
      <c r="E71">
        <v>13.202</v>
      </c>
      <c r="F71">
        <v>282</v>
      </c>
    </row>
    <row r="72" spans="1:6" x14ac:dyDescent="0.3">
      <c r="A72" t="s">
        <v>19</v>
      </c>
      <c r="B72">
        <v>47</v>
      </c>
      <c r="C72" s="71">
        <v>1</v>
      </c>
      <c r="D72">
        <v>4313.6099999999997</v>
      </c>
      <c r="E72">
        <v>13.206</v>
      </c>
      <c r="F72">
        <v>280</v>
      </c>
    </row>
    <row r="73" spans="1:6" x14ac:dyDescent="0.3">
      <c r="A73" t="s">
        <v>19</v>
      </c>
      <c r="B73">
        <v>47</v>
      </c>
      <c r="C73" s="71">
        <v>1</v>
      </c>
      <c r="D73">
        <v>4313.6099999999997</v>
      </c>
      <c r="E73">
        <v>13.234999999999999</v>
      </c>
      <c r="F73">
        <v>285</v>
      </c>
    </row>
    <row r="74" spans="1:6" x14ac:dyDescent="0.3">
      <c r="A74" t="s">
        <v>19</v>
      </c>
      <c r="B74">
        <v>47</v>
      </c>
      <c r="C74" s="71">
        <v>1</v>
      </c>
      <c r="D74">
        <v>4313.6099999999997</v>
      </c>
      <c r="E74">
        <v>13.215</v>
      </c>
      <c r="F74">
        <v>274</v>
      </c>
    </row>
    <row r="75" spans="1:6" x14ac:dyDescent="0.3">
      <c r="A75" t="s">
        <v>19</v>
      </c>
      <c r="B75">
        <v>47</v>
      </c>
      <c r="C75" s="71">
        <v>1</v>
      </c>
      <c r="D75">
        <v>4313.6099999999997</v>
      </c>
      <c r="E75">
        <v>13.22</v>
      </c>
      <c r="F75">
        <v>293</v>
      </c>
    </row>
    <row r="76" spans="1:6" x14ac:dyDescent="0.3">
      <c r="A76" t="s">
        <v>19</v>
      </c>
      <c r="B76">
        <v>47</v>
      </c>
      <c r="C76" s="71">
        <v>1</v>
      </c>
      <c r="D76">
        <v>4313.6099999999997</v>
      </c>
      <c r="E76">
        <v>13.25</v>
      </c>
      <c r="F76">
        <v>281</v>
      </c>
    </row>
    <row r="77" spans="1:6" x14ac:dyDescent="0.3">
      <c r="A77" t="s">
        <v>19</v>
      </c>
      <c r="B77">
        <v>47</v>
      </c>
      <c r="C77" s="71">
        <v>1</v>
      </c>
      <c r="D77">
        <v>4313.6099999999997</v>
      </c>
      <c r="E77">
        <v>13.196</v>
      </c>
      <c r="F77">
        <v>280</v>
      </c>
    </row>
    <row r="78" spans="1:6" x14ac:dyDescent="0.3">
      <c r="A78" t="s">
        <v>19</v>
      </c>
      <c r="B78">
        <v>47</v>
      </c>
      <c r="C78" s="71">
        <v>1</v>
      </c>
      <c r="D78">
        <v>4313.6099999999997</v>
      </c>
      <c r="E78">
        <v>13.212999999999999</v>
      </c>
      <c r="F78">
        <v>289</v>
      </c>
    </row>
    <row r="79" spans="1:6" x14ac:dyDescent="0.3">
      <c r="A79" t="s">
        <v>19</v>
      </c>
      <c r="B79">
        <v>47</v>
      </c>
      <c r="C79" s="71">
        <v>1</v>
      </c>
      <c r="D79">
        <v>4313.6099999999997</v>
      </c>
      <c r="E79">
        <v>13.196999999999999</v>
      </c>
      <c r="F79">
        <v>279</v>
      </c>
    </row>
    <row r="80" spans="1:6" x14ac:dyDescent="0.3">
      <c r="A80" t="s">
        <v>19</v>
      </c>
      <c r="B80">
        <v>47</v>
      </c>
      <c r="C80" s="71">
        <v>1</v>
      </c>
      <c r="D80">
        <v>4313.6099999999997</v>
      </c>
      <c r="E80">
        <v>13.202</v>
      </c>
      <c r="F80">
        <v>283</v>
      </c>
    </row>
    <row r="81" spans="1:6" x14ac:dyDescent="0.3">
      <c r="A81" t="s">
        <v>19</v>
      </c>
      <c r="B81">
        <v>100</v>
      </c>
      <c r="C81" s="71">
        <v>1</v>
      </c>
      <c r="D81">
        <v>35273.671999999999</v>
      </c>
      <c r="E81">
        <v>54.826000000000001</v>
      </c>
      <c r="F81">
        <v>380</v>
      </c>
    </row>
    <row r="82" spans="1:6" x14ac:dyDescent="0.3">
      <c r="A82" t="s">
        <v>19</v>
      </c>
      <c r="B82">
        <v>100</v>
      </c>
      <c r="C82" s="71">
        <v>1</v>
      </c>
      <c r="D82">
        <v>35276.642</v>
      </c>
      <c r="E82">
        <v>54.878999999999998</v>
      </c>
      <c r="F82">
        <v>382</v>
      </c>
    </row>
    <row r="83" spans="1:6" x14ac:dyDescent="0.3">
      <c r="A83" t="s">
        <v>19</v>
      </c>
      <c r="B83">
        <v>100</v>
      </c>
      <c r="C83" s="71">
        <v>1</v>
      </c>
      <c r="D83">
        <v>35342.046999999999</v>
      </c>
      <c r="E83">
        <v>54.88</v>
      </c>
      <c r="F83">
        <v>390</v>
      </c>
    </row>
    <row r="84" spans="1:6" x14ac:dyDescent="0.3">
      <c r="A84" t="s">
        <v>19</v>
      </c>
      <c r="B84">
        <v>100</v>
      </c>
      <c r="C84" s="71">
        <v>1</v>
      </c>
      <c r="D84">
        <v>35298.271000000001</v>
      </c>
      <c r="E84">
        <v>54.814999999999998</v>
      </c>
      <c r="F84">
        <v>378</v>
      </c>
    </row>
    <row r="85" spans="1:6" x14ac:dyDescent="0.3">
      <c r="A85" t="s">
        <v>19</v>
      </c>
      <c r="B85">
        <v>100</v>
      </c>
      <c r="C85" s="71">
        <v>1</v>
      </c>
      <c r="D85">
        <v>35312.063999999998</v>
      </c>
      <c r="E85">
        <v>54.853000000000002</v>
      </c>
      <c r="F85">
        <v>382</v>
      </c>
    </row>
    <row r="86" spans="1:6" x14ac:dyDescent="0.3">
      <c r="A86" t="s">
        <v>19</v>
      </c>
      <c r="B86">
        <v>100</v>
      </c>
      <c r="C86" s="71">
        <v>1</v>
      </c>
      <c r="D86">
        <v>35269.237999999998</v>
      </c>
      <c r="E86">
        <v>54.918999999999997</v>
      </c>
      <c r="F86">
        <v>331</v>
      </c>
    </row>
    <row r="87" spans="1:6" x14ac:dyDescent="0.3">
      <c r="A87" t="s">
        <v>19</v>
      </c>
      <c r="B87">
        <v>100</v>
      </c>
      <c r="C87" s="71">
        <v>1</v>
      </c>
      <c r="D87">
        <v>35246.097000000002</v>
      </c>
      <c r="E87">
        <v>54.9</v>
      </c>
      <c r="F87">
        <v>312</v>
      </c>
    </row>
    <row r="88" spans="1:6" x14ac:dyDescent="0.3">
      <c r="A88" t="s">
        <v>19</v>
      </c>
      <c r="B88">
        <v>100</v>
      </c>
      <c r="C88" s="71">
        <v>1</v>
      </c>
      <c r="D88">
        <v>35244.377</v>
      </c>
      <c r="E88">
        <v>54.847000000000001</v>
      </c>
      <c r="F88">
        <v>310</v>
      </c>
    </row>
    <row r="89" spans="1:6" x14ac:dyDescent="0.3">
      <c r="A89" t="s">
        <v>19</v>
      </c>
      <c r="B89">
        <v>100</v>
      </c>
      <c r="C89" s="71">
        <v>1</v>
      </c>
      <c r="D89">
        <v>35273.156999999999</v>
      </c>
      <c r="E89">
        <v>54.832000000000001</v>
      </c>
      <c r="F89">
        <v>314</v>
      </c>
    </row>
    <row r="90" spans="1:6" x14ac:dyDescent="0.3">
      <c r="A90" t="s">
        <v>19</v>
      </c>
      <c r="B90">
        <v>100</v>
      </c>
      <c r="C90" s="71">
        <v>1</v>
      </c>
      <c r="D90">
        <v>35234.637999999999</v>
      </c>
      <c r="E90">
        <v>54.838000000000001</v>
      </c>
      <c r="F90">
        <v>315</v>
      </c>
    </row>
    <row r="91" spans="1:6" x14ac:dyDescent="0.3">
      <c r="A91" t="s">
        <v>20</v>
      </c>
      <c r="B91">
        <v>30</v>
      </c>
      <c r="C91" s="71">
        <v>1</v>
      </c>
      <c r="D91">
        <v>657.35599999999999</v>
      </c>
      <c r="E91">
        <v>6.4820000000000002</v>
      </c>
      <c r="F91">
        <v>331</v>
      </c>
    </row>
    <row r="92" spans="1:6" x14ac:dyDescent="0.3">
      <c r="A92" t="s">
        <v>20</v>
      </c>
      <c r="B92">
        <v>30</v>
      </c>
      <c r="C92" s="71">
        <v>1</v>
      </c>
      <c r="D92">
        <v>657.33</v>
      </c>
      <c r="E92">
        <v>6.4770000000000003</v>
      </c>
      <c r="F92">
        <v>264</v>
      </c>
    </row>
    <row r="93" spans="1:6" x14ac:dyDescent="0.3">
      <c r="A93" t="s">
        <v>20</v>
      </c>
      <c r="B93">
        <v>30</v>
      </c>
      <c r="C93" s="71">
        <v>1</v>
      </c>
      <c r="D93">
        <v>657.35599999999999</v>
      </c>
      <c r="E93">
        <v>6.4779999999999998</v>
      </c>
      <c r="F93">
        <v>365</v>
      </c>
    </row>
    <row r="94" spans="1:6" x14ac:dyDescent="0.3">
      <c r="A94" t="s">
        <v>20</v>
      </c>
      <c r="B94">
        <v>30</v>
      </c>
      <c r="C94" s="71">
        <v>1</v>
      </c>
      <c r="D94">
        <v>658.23299999999995</v>
      </c>
      <c r="E94">
        <v>6.4669999999999996</v>
      </c>
      <c r="F94">
        <v>362</v>
      </c>
    </row>
    <row r="95" spans="1:6" x14ac:dyDescent="0.3">
      <c r="A95" t="s">
        <v>20</v>
      </c>
      <c r="B95">
        <v>30</v>
      </c>
      <c r="C95" s="71">
        <v>1</v>
      </c>
      <c r="D95">
        <v>657.35599999999999</v>
      </c>
      <c r="E95">
        <v>6.4660000000000002</v>
      </c>
      <c r="F95">
        <v>372</v>
      </c>
    </row>
    <row r="96" spans="1:6" x14ac:dyDescent="0.3">
      <c r="A96" t="s">
        <v>20</v>
      </c>
      <c r="B96">
        <v>30</v>
      </c>
      <c r="C96" s="71">
        <v>1</v>
      </c>
      <c r="D96">
        <v>657.32399999999996</v>
      </c>
      <c r="E96">
        <v>6.468</v>
      </c>
      <c r="F96">
        <v>338</v>
      </c>
    </row>
    <row r="97" spans="1:6" x14ac:dyDescent="0.3">
      <c r="A97" t="s">
        <v>20</v>
      </c>
      <c r="B97">
        <v>30</v>
      </c>
      <c r="C97" s="71">
        <v>1</v>
      </c>
      <c r="D97">
        <v>657.35599999999999</v>
      </c>
      <c r="E97">
        <v>6.468</v>
      </c>
      <c r="F97">
        <v>294</v>
      </c>
    </row>
    <row r="98" spans="1:6" x14ac:dyDescent="0.3">
      <c r="A98" t="s">
        <v>20</v>
      </c>
      <c r="B98">
        <v>30</v>
      </c>
      <c r="C98" s="71">
        <v>1</v>
      </c>
      <c r="D98">
        <v>657.35599999999999</v>
      </c>
      <c r="E98">
        <v>6.468</v>
      </c>
      <c r="F98">
        <v>302</v>
      </c>
    </row>
    <row r="99" spans="1:6" x14ac:dyDescent="0.3">
      <c r="A99" t="s">
        <v>20</v>
      </c>
      <c r="B99">
        <v>30</v>
      </c>
      <c r="C99" s="71">
        <v>1</v>
      </c>
      <c r="D99">
        <v>657.35599999999999</v>
      </c>
      <c r="E99">
        <v>6.4729999999999999</v>
      </c>
      <c r="F99">
        <v>316</v>
      </c>
    </row>
    <row r="100" spans="1:6" x14ac:dyDescent="0.3">
      <c r="A100" t="s">
        <v>20</v>
      </c>
      <c r="B100">
        <v>30</v>
      </c>
      <c r="C100" s="71">
        <v>1</v>
      </c>
      <c r="D100">
        <v>657.35599999999999</v>
      </c>
      <c r="E100">
        <v>6.4880000000000004</v>
      </c>
      <c r="F100">
        <v>305</v>
      </c>
    </row>
    <row r="101" spans="1:6" x14ac:dyDescent="0.3">
      <c r="A101" t="s">
        <v>20</v>
      </c>
      <c r="B101">
        <v>50</v>
      </c>
      <c r="C101" s="71">
        <v>1</v>
      </c>
      <c r="D101">
        <v>995.476</v>
      </c>
      <c r="E101">
        <v>14.725</v>
      </c>
      <c r="F101">
        <v>291</v>
      </c>
    </row>
    <row r="102" spans="1:6" x14ac:dyDescent="0.3">
      <c r="A102" t="s">
        <v>20</v>
      </c>
      <c r="B102">
        <v>50</v>
      </c>
      <c r="C102" s="71">
        <v>1</v>
      </c>
      <c r="D102">
        <v>995.75</v>
      </c>
      <c r="E102">
        <v>14.728</v>
      </c>
      <c r="F102">
        <v>287</v>
      </c>
    </row>
    <row r="103" spans="1:6" x14ac:dyDescent="0.3">
      <c r="A103" t="s">
        <v>20</v>
      </c>
      <c r="B103">
        <v>50</v>
      </c>
      <c r="C103" s="71">
        <v>1</v>
      </c>
      <c r="D103">
        <v>996.45799999999997</v>
      </c>
      <c r="E103">
        <v>14.712999999999999</v>
      </c>
      <c r="F103">
        <v>278</v>
      </c>
    </row>
    <row r="104" spans="1:6" x14ac:dyDescent="0.3">
      <c r="A104" t="s">
        <v>20</v>
      </c>
      <c r="B104">
        <v>50</v>
      </c>
      <c r="C104" s="71">
        <v>1</v>
      </c>
      <c r="D104">
        <v>993.67700000000002</v>
      </c>
      <c r="E104">
        <v>14.71</v>
      </c>
      <c r="F104">
        <v>295</v>
      </c>
    </row>
    <row r="105" spans="1:6" x14ac:dyDescent="0.3">
      <c r="A105" t="s">
        <v>20</v>
      </c>
      <c r="B105">
        <v>50</v>
      </c>
      <c r="C105" s="71">
        <v>1</v>
      </c>
      <c r="D105">
        <v>999.255</v>
      </c>
      <c r="E105">
        <v>14.686</v>
      </c>
      <c r="F105">
        <v>287</v>
      </c>
    </row>
    <row r="106" spans="1:6" x14ac:dyDescent="0.3">
      <c r="A106" t="s">
        <v>20</v>
      </c>
      <c r="B106">
        <v>50</v>
      </c>
      <c r="C106" s="71">
        <v>1</v>
      </c>
      <c r="D106">
        <v>995.88300000000004</v>
      </c>
      <c r="E106">
        <v>14.718999999999999</v>
      </c>
      <c r="F106">
        <v>286</v>
      </c>
    </row>
    <row r="107" spans="1:6" x14ac:dyDescent="0.3">
      <c r="A107" t="s">
        <v>20</v>
      </c>
      <c r="B107">
        <v>50</v>
      </c>
      <c r="C107" s="71">
        <v>1</v>
      </c>
      <c r="D107">
        <v>994.34900000000005</v>
      </c>
      <c r="E107">
        <v>14.686</v>
      </c>
      <c r="F107">
        <v>294</v>
      </c>
    </row>
    <row r="108" spans="1:6" x14ac:dyDescent="0.3">
      <c r="A108" t="s">
        <v>20</v>
      </c>
      <c r="B108">
        <v>50</v>
      </c>
      <c r="C108" s="71">
        <v>1</v>
      </c>
      <c r="D108">
        <v>996.3</v>
      </c>
      <c r="E108">
        <v>14.747999999999999</v>
      </c>
      <c r="F108">
        <v>291</v>
      </c>
    </row>
    <row r="109" spans="1:6" x14ac:dyDescent="0.3">
      <c r="A109" t="s">
        <v>20</v>
      </c>
      <c r="B109">
        <v>50</v>
      </c>
      <c r="C109" s="71">
        <v>1</v>
      </c>
      <c r="D109">
        <v>994.84299999999996</v>
      </c>
      <c r="E109">
        <v>14.683999999999999</v>
      </c>
      <c r="F109">
        <v>291</v>
      </c>
    </row>
    <row r="110" spans="1:6" x14ac:dyDescent="0.3">
      <c r="A110" t="s">
        <v>20</v>
      </c>
      <c r="B110">
        <v>50</v>
      </c>
      <c r="C110" s="71">
        <v>1</v>
      </c>
      <c r="D110">
        <v>996.24800000000005</v>
      </c>
      <c r="E110">
        <v>14.695</v>
      </c>
      <c r="F110">
        <v>287</v>
      </c>
    </row>
    <row r="111" spans="1:6" x14ac:dyDescent="0.3">
      <c r="A111" t="s">
        <v>20</v>
      </c>
      <c r="B111">
        <v>100</v>
      </c>
      <c r="C111" s="71">
        <v>1</v>
      </c>
      <c r="D111">
        <v>1763.951</v>
      </c>
      <c r="E111">
        <v>32.491</v>
      </c>
      <c r="F111">
        <v>206</v>
      </c>
    </row>
    <row r="112" spans="1:6" x14ac:dyDescent="0.3">
      <c r="A112" t="s">
        <v>20</v>
      </c>
      <c r="B112">
        <v>100</v>
      </c>
      <c r="C112" s="71">
        <v>1</v>
      </c>
      <c r="D112">
        <v>1765.662</v>
      </c>
      <c r="E112">
        <v>32.463999999999999</v>
      </c>
      <c r="F112">
        <v>206</v>
      </c>
    </row>
    <row r="113" spans="1:6" x14ac:dyDescent="0.3">
      <c r="A113" t="s">
        <v>20</v>
      </c>
      <c r="B113">
        <v>100</v>
      </c>
      <c r="C113" s="71">
        <v>1</v>
      </c>
      <c r="D113">
        <v>1762.365</v>
      </c>
      <c r="E113">
        <v>32.503999999999998</v>
      </c>
      <c r="F113">
        <v>208</v>
      </c>
    </row>
    <row r="114" spans="1:6" x14ac:dyDescent="0.3">
      <c r="A114" t="s">
        <v>20</v>
      </c>
      <c r="B114">
        <v>100</v>
      </c>
      <c r="C114" s="71">
        <v>1</v>
      </c>
      <c r="D114">
        <v>1758.605</v>
      </c>
      <c r="E114">
        <v>32.494</v>
      </c>
      <c r="F114">
        <v>206</v>
      </c>
    </row>
    <row r="115" spans="1:6" x14ac:dyDescent="0.3">
      <c r="A115" t="s">
        <v>20</v>
      </c>
      <c r="B115">
        <v>100</v>
      </c>
      <c r="C115" s="71">
        <v>1</v>
      </c>
      <c r="D115">
        <v>1757.9770000000001</v>
      </c>
      <c r="E115">
        <v>32.567</v>
      </c>
      <c r="F115">
        <v>206</v>
      </c>
    </row>
    <row r="116" spans="1:6" x14ac:dyDescent="0.3">
      <c r="A116" t="s">
        <v>20</v>
      </c>
      <c r="B116">
        <v>100</v>
      </c>
      <c r="C116" s="71">
        <v>1</v>
      </c>
      <c r="D116">
        <v>1760.4069999999999</v>
      </c>
      <c r="E116">
        <v>32.491999999999997</v>
      </c>
      <c r="F116">
        <v>205</v>
      </c>
    </row>
    <row r="117" spans="1:6" x14ac:dyDescent="0.3">
      <c r="A117" t="s">
        <v>20</v>
      </c>
      <c r="B117">
        <v>100</v>
      </c>
      <c r="C117" s="71">
        <v>1</v>
      </c>
      <c r="D117">
        <v>1758.5830000000001</v>
      </c>
      <c r="E117">
        <v>32.473999999999997</v>
      </c>
      <c r="F117">
        <v>204</v>
      </c>
    </row>
    <row r="118" spans="1:6" x14ac:dyDescent="0.3">
      <c r="A118" t="s">
        <v>20</v>
      </c>
      <c r="B118">
        <v>100</v>
      </c>
      <c r="C118" s="71">
        <v>1</v>
      </c>
      <c r="D118">
        <v>1759.213</v>
      </c>
      <c r="E118">
        <v>32.472999999999999</v>
      </c>
      <c r="F118">
        <v>207</v>
      </c>
    </row>
    <row r="119" spans="1:6" x14ac:dyDescent="0.3">
      <c r="A119" t="s">
        <v>20</v>
      </c>
      <c r="B119">
        <v>100</v>
      </c>
      <c r="C119" s="71">
        <v>1</v>
      </c>
      <c r="D119">
        <v>1764.452</v>
      </c>
      <c r="E119">
        <v>32.526000000000003</v>
      </c>
      <c r="F119">
        <v>206</v>
      </c>
    </row>
    <row r="120" spans="1:6" x14ac:dyDescent="0.3">
      <c r="A120" t="s">
        <v>20</v>
      </c>
      <c r="B120">
        <v>100</v>
      </c>
      <c r="C120" s="71">
        <v>1</v>
      </c>
      <c r="D120">
        <v>1757.567</v>
      </c>
      <c r="E120">
        <v>32.54</v>
      </c>
      <c r="F120">
        <v>208</v>
      </c>
    </row>
    <row r="121" spans="1:6" x14ac:dyDescent="0.3">
      <c r="A121" t="s">
        <v>33</v>
      </c>
      <c r="B121">
        <v>9</v>
      </c>
      <c r="C121" s="71">
        <v>1</v>
      </c>
      <c r="D121">
        <v>8.5419999999999998</v>
      </c>
      <c r="E121">
        <v>1.363</v>
      </c>
      <c r="F121">
        <v>254</v>
      </c>
    </row>
    <row r="122" spans="1:6" x14ac:dyDescent="0.3">
      <c r="A122" t="s">
        <v>33</v>
      </c>
      <c r="B122">
        <v>9</v>
      </c>
      <c r="C122" s="71">
        <v>1</v>
      </c>
      <c r="D122">
        <v>8.5419999999999998</v>
      </c>
      <c r="E122">
        <v>1.3640000000000001</v>
      </c>
      <c r="F122">
        <v>447</v>
      </c>
    </row>
    <row r="123" spans="1:6" x14ac:dyDescent="0.3">
      <c r="A123" t="s">
        <v>33</v>
      </c>
      <c r="B123">
        <v>9</v>
      </c>
      <c r="C123" s="71">
        <v>1</v>
      </c>
      <c r="D123">
        <v>8.5419999999999998</v>
      </c>
      <c r="E123">
        <v>1.369</v>
      </c>
      <c r="F123">
        <v>255</v>
      </c>
    </row>
    <row r="124" spans="1:6" x14ac:dyDescent="0.3">
      <c r="A124" t="s">
        <v>33</v>
      </c>
      <c r="B124">
        <v>9</v>
      </c>
      <c r="C124" s="71">
        <v>1</v>
      </c>
      <c r="D124">
        <v>8.5419999999999998</v>
      </c>
      <c r="E124">
        <v>1.365</v>
      </c>
      <c r="F124">
        <v>480</v>
      </c>
    </row>
    <row r="125" spans="1:6" x14ac:dyDescent="0.3">
      <c r="A125" t="s">
        <v>33</v>
      </c>
      <c r="B125">
        <v>9</v>
      </c>
      <c r="C125" s="71">
        <v>1</v>
      </c>
      <c r="D125">
        <v>8.5419999999999998</v>
      </c>
      <c r="E125">
        <v>1.377</v>
      </c>
      <c r="F125">
        <v>113</v>
      </c>
    </row>
    <row r="126" spans="1:6" x14ac:dyDescent="0.3">
      <c r="A126" t="s">
        <v>33</v>
      </c>
      <c r="B126">
        <v>9</v>
      </c>
      <c r="C126" s="71">
        <v>1</v>
      </c>
      <c r="D126">
        <v>8.5419999999999998</v>
      </c>
      <c r="E126">
        <v>1.3660000000000001</v>
      </c>
      <c r="F126">
        <v>50</v>
      </c>
    </row>
    <row r="127" spans="1:6" x14ac:dyDescent="0.3">
      <c r="A127" t="s">
        <v>33</v>
      </c>
      <c r="B127">
        <v>9</v>
      </c>
      <c r="C127" s="71">
        <v>1</v>
      </c>
      <c r="D127">
        <v>8.5419999999999998</v>
      </c>
      <c r="E127">
        <v>1.383</v>
      </c>
      <c r="F127">
        <v>259</v>
      </c>
    </row>
    <row r="128" spans="1:6" x14ac:dyDescent="0.3">
      <c r="A128" t="s">
        <v>33</v>
      </c>
      <c r="B128">
        <v>9</v>
      </c>
      <c r="C128" s="71">
        <v>1</v>
      </c>
      <c r="D128">
        <v>8.5419999999999998</v>
      </c>
      <c r="E128">
        <v>1.3660000000000001</v>
      </c>
      <c r="F128">
        <v>466</v>
      </c>
    </row>
    <row r="129" spans="1:6" x14ac:dyDescent="0.3">
      <c r="A129" t="s">
        <v>33</v>
      </c>
      <c r="B129">
        <v>9</v>
      </c>
      <c r="C129" s="71">
        <v>1</v>
      </c>
      <c r="D129">
        <v>8.5419999999999998</v>
      </c>
      <c r="E129">
        <v>1.365</v>
      </c>
      <c r="F129">
        <v>498</v>
      </c>
    </row>
    <row r="130" spans="1:6" x14ac:dyDescent="0.3">
      <c r="A130" t="s">
        <v>33</v>
      </c>
      <c r="B130">
        <v>9</v>
      </c>
      <c r="C130" s="71">
        <v>1</v>
      </c>
      <c r="D130">
        <v>8.5419999999999998</v>
      </c>
      <c r="E130">
        <v>1.369</v>
      </c>
      <c r="F130">
        <v>172</v>
      </c>
    </row>
    <row r="131" spans="1:6" x14ac:dyDescent="0.3">
      <c r="A131" t="s">
        <v>33</v>
      </c>
      <c r="B131">
        <v>209</v>
      </c>
      <c r="C131" s="71">
        <v>1</v>
      </c>
      <c r="D131">
        <v>77.183999999999997</v>
      </c>
      <c r="E131">
        <v>181.16499999999999</v>
      </c>
      <c r="F131">
        <v>268</v>
      </c>
    </row>
    <row r="132" spans="1:6" x14ac:dyDescent="0.3">
      <c r="A132" t="s">
        <v>33</v>
      </c>
      <c r="B132">
        <v>209</v>
      </c>
      <c r="C132" s="71">
        <v>1</v>
      </c>
      <c r="D132">
        <v>77.2</v>
      </c>
      <c r="E132">
        <v>180.72900000000001</v>
      </c>
      <c r="F132">
        <v>280</v>
      </c>
    </row>
    <row r="133" spans="1:6" x14ac:dyDescent="0.3">
      <c r="A133" t="s">
        <v>33</v>
      </c>
      <c r="B133">
        <v>209</v>
      </c>
      <c r="C133" s="71">
        <v>1</v>
      </c>
      <c r="D133">
        <v>77.180000000000007</v>
      </c>
      <c r="E133">
        <v>180.863</v>
      </c>
      <c r="F133">
        <v>284</v>
      </c>
    </row>
    <row r="134" spans="1:6" x14ac:dyDescent="0.3">
      <c r="A134" t="s">
        <v>33</v>
      </c>
      <c r="B134">
        <v>209</v>
      </c>
      <c r="C134" s="71">
        <v>1</v>
      </c>
      <c r="D134">
        <v>76.775999999999996</v>
      </c>
      <c r="E134">
        <v>181.172</v>
      </c>
      <c r="F134">
        <v>268</v>
      </c>
    </row>
    <row r="135" spans="1:6" x14ac:dyDescent="0.3">
      <c r="A135" t="s">
        <v>33</v>
      </c>
      <c r="B135">
        <v>209</v>
      </c>
      <c r="C135" s="71">
        <v>1</v>
      </c>
      <c r="D135">
        <v>77.097999999999999</v>
      </c>
      <c r="E135">
        <v>180.98500000000001</v>
      </c>
      <c r="F135">
        <v>268</v>
      </c>
    </row>
    <row r="136" spans="1:6" x14ac:dyDescent="0.3">
      <c r="A136" t="s">
        <v>33</v>
      </c>
      <c r="B136">
        <v>209</v>
      </c>
      <c r="C136" s="71">
        <v>1</v>
      </c>
      <c r="D136">
        <v>77.108999999999995</v>
      </c>
      <c r="E136">
        <v>180.72</v>
      </c>
      <c r="F136">
        <v>268</v>
      </c>
    </row>
    <row r="137" spans="1:6" x14ac:dyDescent="0.3">
      <c r="A137" t="s">
        <v>33</v>
      </c>
      <c r="B137">
        <v>209</v>
      </c>
      <c r="C137" s="71">
        <v>1</v>
      </c>
      <c r="D137">
        <v>77.055000000000007</v>
      </c>
      <c r="E137">
        <v>180.797</v>
      </c>
      <c r="F137">
        <v>280</v>
      </c>
    </row>
    <row r="138" spans="1:6" x14ac:dyDescent="0.3">
      <c r="A138" t="s">
        <v>33</v>
      </c>
      <c r="B138">
        <v>209</v>
      </c>
      <c r="C138" s="71">
        <v>1</v>
      </c>
      <c r="D138">
        <v>77.051000000000002</v>
      </c>
      <c r="E138">
        <v>180.78899999999999</v>
      </c>
      <c r="F138">
        <v>281</v>
      </c>
    </row>
    <row r="139" spans="1:6" x14ac:dyDescent="0.3">
      <c r="A139" t="s">
        <v>33</v>
      </c>
      <c r="B139">
        <v>209</v>
      </c>
      <c r="C139" s="71">
        <v>1</v>
      </c>
      <c r="D139">
        <v>77.221000000000004</v>
      </c>
      <c r="E139">
        <v>180.91399999999999</v>
      </c>
      <c r="F139">
        <v>267</v>
      </c>
    </row>
    <row r="140" spans="1:6" x14ac:dyDescent="0.3">
      <c r="A140" t="s">
        <v>33</v>
      </c>
      <c r="B140">
        <v>209</v>
      </c>
      <c r="C140" s="71">
        <v>1</v>
      </c>
      <c r="D140">
        <v>76.930999999999997</v>
      </c>
      <c r="E140">
        <v>180.76900000000001</v>
      </c>
      <c r="F140">
        <v>269</v>
      </c>
    </row>
    <row r="141" spans="1:6" x14ac:dyDescent="0.3">
      <c r="A141" t="s">
        <v>33</v>
      </c>
      <c r="B141">
        <v>324</v>
      </c>
      <c r="C141" s="71">
        <v>1</v>
      </c>
      <c r="D141">
        <v>119.197</v>
      </c>
      <c r="E141">
        <v>420.476</v>
      </c>
      <c r="F141">
        <v>237</v>
      </c>
    </row>
    <row r="142" spans="1:6" x14ac:dyDescent="0.3">
      <c r="A142" t="s">
        <v>33</v>
      </c>
      <c r="B142">
        <v>324</v>
      </c>
      <c r="C142" s="71">
        <v>1</v>
      </c>
      <c r="D142">
        <v>119.173</v>
      </c>
      <c r="E142">
        <v>419.55399999999997</v>
      </c>
      <c r="F142">
        <v>235</v>
      </c>
    </row>
    <row r="143" spans="1:6" x14ac:dyDescent="0.3">
      <c r="A143" t="s">
        <v>33</v>
      </c>
      <c r="B143">
        <v>324</v>
      </c>
      <c r="C143" s="71">
        <v>1</v>
      </c>
      <c r="D143">
        <v>119.718</v>
      </c>
      <c r="E143">
        <v>420.06599999999997</v>
      </c>
      <c r="F143">
        <v>242</v>
      </c>
    </row>
    <row r="144" spans="1:6" x14ac:dyDescent="0.3">
      <c r="A144" t="s">
        <v>33</v>
      </c>
      <c r="B144">
        <v>324</v>
      </c>
      <c r="C144" s="71">
        <v>1</v>
      </c>
      <c r="D144">
        <v>119.43</v>
      </c>
      <c r="E144">
        <v>419.995</v>
      </c>
      <c r="F144">
        <v>238</v>
      </c>
    </row>
    <row r="145" spans="1:6" x14ac:dyDescent="0.3">
      <c r="A145" t="s">
        <v>33</v>
      </c>
      <c r="B145">
        <v>324</v>
      </c>
      <c r="C145" s="71">
        <v>1</v>
      </c>
      <c r="D145">
        <v>119.459</v>
      </c>
      <c r="E145">
        <v>419.66699999999997</v>
      </c>
      <c r="F145">
        <v>236</v>
      </c>
    </row>
    <row r="146" spans="1:6" x14ac:dyDescent="0.3">
      <c r="A146" t="s">
        <v>33</v>
      </c>
      <c r="B146">
        <v>324</v>
      </c>
      <c r="C146" s="71">
        <v>1</v>
      </c>
      <c r="D146">
        <v>119.10599999999999</v>
      </c>
      <c r="E146">
        <v>420.45600000000002</v>
      </c>
      <c r="F146">
        <v>241</v>
      </c>
    </row>
    <row r="147" spans="1:6" x14ac:dyDescent="0.3">
      <c r="A147" t="s">
        <v>33</v>
      </c>
      <c r="B147">
        <v>324</v>
      </c>
      <c r="C147" s="71">
        <v>1</v>
      </c>
      <c r="D147">
        <v>119.089</v>
      </c>
      <c r="E147">
        <v>419.53199999999998</v>
      </c>
      <c r="F147">
        <v>236</v>
      </c>
    </row>
    <row r="148" spans="1:6" x14ac:dyDescent="0.3">
      <c r="A148" t="s">
        <v>33</v>
      </c>
      <c r="B148">
        <v>324</v>
      </c>
      <c r="C148" s="71">
        <v>1</v>
      </c>
      <c r="D148">
        <v>119.349</v>
      </c>
      <c r="E148">
        <v>420.31299999999999</v>
      </c>
      <c r="F148">
        <v>236</v>
      </c>
    </row>
    <row r="149" spans="1:6" x14ac:dyDescent="0.3">
      <c r="A149" t="s">
        <v>33</v>
      </c>
      <c r="B149">
        <v>324</v>
      </c>
      <c r="C149" s="71">
        <v>1</v>
      </c>
      <c r="D149">
        <v>119.151</v>
      </c>
      <c r="E149">
        <v>420.08</v>
      </c>
      <c r="F149">
        <v>241</v>
      </c>
    </row>
    <row r="150" spans="1:6" x14ac:dyDescent="0.3">
      <c r="A150" t="s">
        <v>33</v>
      </c>
      <c r="B150">
        <v>324</v>
      </c>
      <c r="C150" s="71">
        <v>1</v>
      </c>
      <c r="D150">
        <v>119.42</v>
      </c>
      <c r="E150">
        <v>420.3</v>
      </c>
      <c r="F150">
        <v>236</v>
      </c>
    </row>
    <row r="151" spans="1:6" x14ac:dyDescent="0.3">
      <c r="A151" t="s">
        <v>34</v>
      </c>
      <c r="B151">
        <v>40</v>
      </c>
      <c r="C151" s="71">
        <v>1</v>
      </c>
      <c r="D151">
        <v>16.515000000000001</v>
      </c>
      <c r="E151">
        <v>11.608000000000001</v>
      </c>
      <c r="F151">
        <v>359</v>
      </c>
    </row>
    <row r="152" spans="1:6" x14ac:dyDescent="0.3">
      <c r="A152" t="s">
        <v>34</v>
      </c>
      <c r="B152">
        <v>40</v>
      </c>
      <c r="C152" s="71">
        <v>1</v>
      </c>
      <c r="D152">
        <v>16.803999999999998</v>
      </c>
      <c r="E152">
        <v>11.621</v>
      </c>
      <c r="F152">
        <v>372</v>
      </c>
    </row>
    <row r="153" spans="1:6" x14ac:dyDescent="0.3">
      <c r="A153" t="s">
        <v>34</v>
      </c>
      <c r="B153">
        <v>40</v>
      </c>
      <c r="C153" s="71">
        <v>1</v>
      </c>
      <c r="D153">
        <v>16.539000000000001</v>
      </c>
      <c r="E153">
        <v>11.634</v>
      </c>
      <c r="F153">
        <v>420</v>
      </c>
    </row>
    <row r="154" spans="1:6" x14ac:dyDescent="0.3">
      <c r="A154" t="s">
        <v>34</v>
      </c>
      <c r="B154">
        <v>40</v>
      </c>
      <c r="C154" s="71">
        <v>1</v>
      </c>
      <c r="D154">
        <v>16.75</v>
      </c>
      <c r="E154">
        <v>11.625</v>
      </c>
      <c r="F154">
        <v>408</v>
      </c>
    </row>
    <row r="155" spans="1:6" x14ac:dyDescent="0.3">
      <c r="A155" t="s">
        <v>34</v>
      </c>
      <c r="B155">
        <v>40</v>
      </c>
      <c r="C155" s="71">
        <v>1</v>
      </c>
      <c r="D155">
        <v>16.689</v>
      </c>
      <c r="E155">
        <v>11.629</v>
      </c>
      <c r="F155">
        <v>367</v>
      </c>
    </row>
    <row r="156" spans="1:6" x14ac:dyDescent="0.3">
      <c r="A156" t="s">
        <v>34</v>
      </c>
      <c r="B156">
        <v>40</v>
      </c>
      <c r="C156" s="71">
        <v>1</v>
      </c>
      <c r="D156">
        <v>16.585000000000001</v>
      </c>
      <c r="E156">
        <v>11.624000000000001</v>
      </c>
      <c r="F156">
        <v>300</v>
      </c>
    </row>
    <row r="157" spans="1:6" x14ac:dyDescent="0.3">
      <c r="A157" t="s">
        <v>34</v>
      </c>
      <c r="B157">
        <v>40</v>
      </c>
      <c r="C157" s="71">
        <v>1</v>
      </c>
      <c r="D157">
        <v>16.655999999999999</v>
      </c>
      <c r="E157">
        <v>11.614000000000001</v>
      </c>
      <c r="F157">
        <v>293</v>
      </c>
    </row>
    <row r="158" spans="1:6" x14ac:dyDescent="0.3">
      <c r="A158" t="s">
        <v>34</v>
      </c>
      <c r="B158">
        <v>40</v>
      </c>
      <c r="C158" s="71">
        <v>1</v>
      </c>
      <c r="D158">
        <v>16.638999999999999</v>
      </c>
      <c r="E158">
        <v>11.608000000000001</v>
      </c>
      <c r="F158">
        <v>313</v>
      </c>
    </row>
    <row r="159" spans="1:6" x14ac:dyDescent="0.3">
      <c r="A159" t="s">
        <v>34</v>
      </c>
      <c r="B159">
        <v>40</v>
      </c>
      <c r="C159" s="71">
        <v>1</v>
      </c>
      <c r="D159">
        <v>16.891999999999999</v>
      </c>
      <c r="E159">
        <v>11.618</v>
      </c>
      <c r="F159">
        <v>328</v>
      </c>
    </row>
    <row r="160" spans="1:6" x14ac:dyDescent="0.3">
      <c r="A160" t="s">
        <v>34</v>
      </c>
      <c r="B160">
        <v>40</v>
      </c>
      <c r="C160" s="71">
        <v>1</v>
      </c>
      <c r="D160">
        <v>16.617999999999999</v>
      </c>
      <c r="E160">
        <v>11.631</v>
      </c>
      <c r="F160">
        <v>292</v>
      </c>
    </row>
    <row r="161" spans="1:6" x14ac:dyDescent="0.3">
      <c r="A161" t="s">
        <v>34</v>
      </c>
      <c r="B161">
        <v>96</v>
      </c>
      <c r="C161" s="71">
        <v>1</v>
      </c>
      <c r="D161">
        <v>35.186999999999998</v>
      </c>
      <c r="E161">
        <v>51.345999999999997</v>
      </c>
      <c r="F161">
        <v>335</v>
      </c>
    </row>
    <row r="162" spans="1:6" x14ac:dyDescent="0.3">
      <c r="A162" t="s">
        <v>34</v>
      </c>
      <c r="B162">
        <v>96</v>
      </c>
      <c r="C162" s="71">
        <v>1</v>
      </c>
      <c r="D162">
        <v>35.15</v>
      </c>
      <c r="E162">
        <v>51.399000000000001</v>
      </c>
      <c r="F162">
        <v>337</v>
      </c>
    </row>
    <row r="163" spans="1:6" x14ac:dyDescent="0.3">
      <c r="A163" t="s">
        <v>34</v>
      </c>
      <c r="B163">
        <v>96</v>
      </c>
      <c r="C163" s="71">
        <v>1</v>
      </c>
      <c r="D163">
        <v>35.154000000000003</v>
      </c>
      <c r="E163">
        <v>51.366999999999997</v>
      </c>
      <c r="F163">
        <v>341</v>
      </c>
    </row>
    <row r="164" spans="1:6" x14ac:dyDescent="0.3">
      <c r="A164" t="s">
        <v>34</v>
      </c>
      <c r="B164">
        <v>96</v>
      </c>
      <c r="C164" s="71">
        <v>1</v>
      </c>
      <c r="D164">
        <v>35.155999999999999</v>
      </c>
      <c r="E164">
        <v>51.362000000000002</v>
      </c>
      <c r="F164">
        <v>338</v>
      </c>
    </row>
    <row r="165" spans="1:6" x14ac:dyDescent="0.3">
      <c r="A165" t="s">
        <v>34</v>
      </c>
      <c r="B165">
        <v>96</v>
      </c>
      <c r="C165" s="71">
        <v>1</v>
      </c>
      <c r="D165">
        <v>35.223999999999997</v>
      </c>
      <c r="E165">
        <v>51.292000000000002</v>
      </c>
      <c r="F165">
        <v>337</v>
      </c>
    </row>
    <row r="166" spans="1:6" x14ac:dyDescent="0.3">
      <c r="A166" t="s">
        <v>34</v>
      </c>
      <c r="B166">
        <v>96</v>
      </c>
      <c r="C166" s="71">
        <v>1</v>
      </c>
      <c r="D166">
        <v>35.137999999999998</v>
      </c>
      <c r="E166">
        <v>51.369</v>
      </c>
      <c r="F166">
        <v>339</v>
      </c>
    </row>
    <row r="167" spans="1:6" x14ac:dyDescent="0.3">
      <c r="A167" t="s">
        <v>34</v>
      </c>
      <c r="B167">
        <v>96</v>
      </c>
      <c r="C167" s="71">
        <v>1</v>
      </c>
      <c r="D167">
        <v>35.082000000000001</v>
      </c>
      <c r="E167">
        <v>51.323</v>
      </c>
      <c r="F167">
        <v>337</v>
      </c>
    </row>
    <row r="168" spans="1:6" x14ac:dyDescent="0.3">
      <c r="A168" t="s">
        <v>34</v>
      </c>
      <c r="B168">
        <v>96</v>
      </c>
      <c r="C168" s="71">
        <v>1</v>
      </c>
      <c r="D168">
        <v>35.271999999999998</v>
      </c>
      <c r="E168">
        <v>51.325000000000003</v>
      </c>
      <c r="F168">
        <v>335</v>
      </c>
    </row>
    <row r="169" spans="1:6" x14ac:dyDescent="0.3">
      <c r="A169" t="s">
        <v>34</v>
      </c>
      <c r="B169">
        <v>96</v>
      </c>
      <c r="C169" s="71">
        <v>1</v>
      </c>
      <c r="D169">
        <v>35.265999999999998</v>
      </c>
      <c r="E169">
        <v>51.27</v>
      </c>
      <c r="F169">
        <v>338</v>
      </c>
    </row>
    <row r="170" spans="1:6" x14ac:dyDescent="0.3">
      <c r="A170" t="s">
        <v>34</v>
      </c>
      <c r="B170">
        <v>96</v>
      </c>
      <c r="C170" s="71">
        <v>1</v>
      </c>
      <c r="D170">
        <v>35.216000000000001</v>
      </c>
      <c r="E170">
        <v>51.378</v>
      </c>
      <c r="F170">
        <v>337</v>
      </c>
    </row>
    <row r="171" spans="1:6" x14ac:dyDescent="0.3">
      <c r="A171" t="s">
        <v>34</v>
      </c>
      <c r="B171">
        <v>224</v>
      </c>
      <c r="C171" s="71">
        <v>1</v>
      </c>
      <c r="D171">
        <v>72.063999999999993</v>
      </c>
      <c r="E171">
        <v>255.47300000000001</v>
      </c>
      <c r="F171">
        <v>328</v>
      </c>
    </row>
    <row r="172" spans="1:6" x14ac:dyDescent="0.3">
      <c r="A172" t="s">
        <v>34</v>
      </c>
      <c r="B172">
        <v>224</v>
      </c>
      <c r="C172" s="71">
        <v>1</v>
      </c>
      <c r="D172">
        <v>72.087999999999994</v>
      </c>
      <c r="E172">
        <v>255.726</v>
      </c>
      <c r="F172">
        <v>323</v>
      </c>
    </row>
    <row r="173" spans="1:6" x14ac:dyDescent="0.3">
      <c r="A173" t="s">
        <v>34</v>
      </c>
      <c r="B173">
        <v>224</v>
      </c>
      <c r="C173" s="71">
        <v>1</v>
      </c>
      <c r="D173">
        <v>72.08</v>
      </c>
      <c r="E173">
        <v>255.751</v>
      </c>
      <c r="F173">
        <v>325</v>
      </c>
    </row>
    <row r="174" spans="1:6" x14ac:dyDescent="0.3">
      <c r="A174" t="s">
        <v>34</v>
      </c>
      <c r="B174">
        <v>224</v>
      </c>
      <c r="C174" s="71">
        <v>1</v>
      </c>
      <c r="D174">
        <v>71.995999999999995</v>
      </c>
      <c r="E174">
        <v>255.453</v>
      </c>
      <c r="F174">
        <v>323</v>
      </c>
    </row>
    <row r="175" spans="1:6" x14ac:dyDescent="0.3">
      <c r="A175" t="s">
        <v>34</v>
      </c>
      <c r="B175">
        <v>224</v>
      </c>
      <c r="C175" s="71">
        <v>1</v>
      </c>
      <c r="D175">
        <v>72.037000000000006</v>
      </c>
      <c r="E175">
        <v>255.42400000000001</v>
      </c>
      <c r="F175">
        <v>327</v>
      </c>
    </row>
    <row r="176" spans="1:6" x14ac:dyDescent="0.3">
      <c r="A176" t="s">
        <v>34</v>
      </c>
      <c r="B176">
        <v>224</v>
      </c>
      <c r="C176" s="71">
        <v>1</v>
      </c>
      <c r="D176">
        <v>72.069999999999993</v>
      </c>
      <c r="E176">
        <v>255.97900000000001</v>
      </c>
      <c r="F176">
        <v>324</v>
      </c>
    </row>
    <row r="177" spans="1:6" x14ac:dyDescent="0.3">
      <c r="A177" t="s">
        <v>34</v>
      </c>
      <c r="B177">
        <v>224</v>
      </c>
      <c r="C177" s="71">
        <v>1</v>
      </c>
      <c r="D177">
        <v>71.998000000000005</v>
      </c>
      <c r="E177">
        <v>255.76499999999999</v>
      </c>
      <c r="F177">
        <v>322</v>
      </c>
    </row>
    <row r="178" spans="1:6" x14ac:dyDescent="0.3">
      <c r="A178" t="s">
        <v>34</v>
      </c>
      <c r="B178">
        <v>224</v>
      </c>
      <c r="C178" s="71">
        <v>1</v>
      </c>
      <c r="D178">
        <v>71.971999999999994</v>
      </c>
      <c r="E178">
        <v>255.75299999999999</v>
      </c>
      <c r="F178">
        <v>321</v>
      </c>
    </row>
    <row r="179" spans="1:6" x14ac:dyDescent="0.3">
      <c r="A179" t="s">
        <v>34</v>
      </c>
      <c r="B179">
        <v>224</v>
      </c>
      <c r="C179" s="71">
        <v>1</v>
      </c>
      <c r="D179">
        <v>72.051000000000002</v>
      </c>
      <c r="E179">
        <v>255.49100000000001</v>
      </c>
      <c r="F179">
        <v>327</v>
      </c>
    </row>
    <row r="180" spans="1:6" x14ac:dyDescent="0.3">
      <c r="A180" t="s">
        <v>34</v>
      </c>
      <c r="B180">
        <v>224</v>
      </c>
      <c r="C180" s="71">
        <v>1</v>
      </c>
      <c r="D180">
        <v>72.123999999999995</v>
      </c>
      <c r="E180">
        <v>255.822</v>
      </c>
      <c r="F180">
        <v>321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80"/>
  <sheetViews>
    <sheetView zoomScale="85" zoomScaleNormal="85" workbookViewId="0"/>
  </sheetViews>
  <sheetFormatPr defaultRowHeight="14" x14ac:dyDescent="0.3"/>
  <cols>
    <col min="1" max="1" width="10.25" customWidth="1"/>
    <col min="2" max="2" width="4.33203125"/>
    <col min="3" max="3" width="2.58203125"/>
    <col min="4" max="4" width="10.5" bestFit="1" customWidth="1"/>
    <col min="5" max="5" width="7.25"/>
    <col min="6" max="6" width="5" customWidth="1"/>
    <col min="7" max="7" width="3"/>
    <col min="8" max="8" width="10.25"/>
    <col min="9" max="9" width="4.33203125"/>
    <col min="10" max="10" width="3.33203125"/>
    <col min="11" max="11" width="2.08203125"/>
    <col min="12" max="21" width="9.5"/>
    <col min="22" max="22" width="3"/>
    <col min="23" max="23" width="9.5"/>
    <col min="24" max="24" width="2.5"/>
    <col min="25" max="25" width="9.5"/>
    <col min="26" max="26" width="2.25"/>
    <col min="27" max="27" width="2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28.587</v>
      </c>
      <c r="E1">
        <v>5.2939999999999996</v>
      </c>
      <c r="F1">
        <v>226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5.2830000000000004</v>
      </c>
      <c r="F2">
        <v>256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28.587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28.504000000000001</v>
      </c>
      <c r="O2" s="35">
        <f t="shared" ref="O2:O13" ca="1" si="3">INDIRECT("D"&amp;1+(ROW(G1)-1)*10+COLUMN(D1)-1)</f>
        <v>28.596</v>
      </c>
      <c r="P2" s="35">
        <f t="shared" ref="P2:P13" ca="1" si="4">INDIRECT("D"&amp;1+(ROW(H1)-1)*10+COLUMN(E1)-1)</f>
        <v>28.504000000000001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28.587</v>
      </c>
      <c r="S2" s="35">
        <f t="shared" ref="S2:S13" ca="1" si="7">INDIRECT("D"&amp;1+(ROW(K1)-1)*10+COLUMN(H1)-1)</f>
        <v>28.504000000000001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28.591999999999999</v>
      </c>
      <c r="W2" s="35">
        <f t="shared" ref="W2:W19" ca="1" si="10">AVERAGE(L2:U2)</f>
        <v>28.551199999999994</v>
      </c>
      <c r="Y2" s="35">
        <f ca="1">Total!E2</f>
        <v>28.504000000000001</v>
      </c>
      <c r="AB2" s="35">
        <f t="shared" ref="AB2:AB19" ca="1" si="11">(L2-$Y2)/$Y2</f>
        <v>2.9118720179623354E-3</v>
      </c>
      <c r="AC2" s="35">
        <f t="shared" ref="AC2:AC19" ca="1" si="12">(M2-$Y2)/$Y2</f>
        <v>1.4734774066796953E-3</v>
      </c>
      <c r="AD2" s="35">
        <f t="shared" ref="AD2:AD19" ca="1" si="13">(N2-$Y2)/$Y2</f>
        <v>0</v>
      </c>
      <c r="AE2" s="35">
        <f t="shared" ref="AE2:AE19" ca="1" si="14">(O2-$Y2)/$Y2</f>
        <v>3.2276171765365826E-3</v>
      </c>
      <c r="AF2" s="35">
        <f t="shared" ref="AF2:AF19" ca="1" si="15">(P2-$Y2)/$Y2</f>
        <v>0</v>
      </c>
      <c r="AG2" s="35">
        <f t="shared" ref="AG2:AG19" ca="1" si="16">(Q2-$Y2)/$Y2</f>
        <v>1.4734774066796953E-3</v>
      </c>
      <c r="AH2" s="35">
        <f t="shared" ref="AH2:AH19" ca="1" si="17">(R2-$Y2)/$Y2</f>
        <v>2.9118720179623354E-3</v>
      </c>
      <c r="AI2" s="35">
        <f t="shared" ref="AI2:AI19" ca="1" si="18">(S2-$Y2)/$Y2</f>
        <v>0</v>
      </c>
      <c r="AJ2" s="35">
        <f t="shared" ref="AJ2:AJ19" ca="1" si="19">(T2-$Y2)/$Y2</f>
        <v>1.4734774066796953E-3</v>
      </c>
      <c r="AK2" s="35">
        <f t="shared" ref="AK2:AK19" ca="1" si="20">(U2-$Y2)/$Y2</f>
        <v>3.0872859949479868E-3</v>
      </c>
      <c r="AM2" s="35">
        <f t="shared" ref="AM2:AM19" ca="1" si="21">SUM(AB2:AK2)</f>
        <v>1.6559079427448328E-2</v>
      </c>
    </row>
    <row r="3" spans="1:39" x14ac:dyDescent="0.3">
      <c r="A3" t="s">
        <v>17</v>
      </c>
      <c r="B3">
        <v>25</v>
      </c>
      <c r="C3">
        <v>1</v>
      </c>
      <c r="D3">
        <v>28.504000000000001</v>
      </c>
      <c r="E3">
        <v>5.2930000000000001</v>
      </c>
      <c r="F3">
        <v>241</v>
      </c>
      <c r="H3" s="35" t="s">
        <v>17</v>
      </c>
      <c r="I3" s="35">
        <v>50</v>
      </c>
      <c r="J3" s="35">
        <v>1</v>
      </c>
      <c r="L3" s="35">
        <f t="shared" ca="1" si="0"/>
        <v>53.366999999999997</v>
      </c>
      <c r="M3" s="35">
        <f t="shared" ca="1" si="1"/>
        <v>52.957999999999998</v>
      </c>
      <c r="N3" s="35">
        <f t="shared" ca="1" si="2"/>
        <v>53.036999999999999</v>
      </c>
      <c r="O3" s="35">
        <f t="shared" ca="1" si="3"/>
        <v>53.091999999999999</v>
      </c>
      <c r="P3" s="35">
        <f t="shared" ca="1" si="4"/>
        <v>53.036999999999999</v>
      </c>
      <c r="Q3" s="35">
        <f t="shared" ca="1" si="5"/>
        <v>53.037999999999997</v>
      </c>
      <c r="R3" s="35">
        <f t="shared" ca="1" si="6"/>
        <v>52.988</v>
      </c>
      <c r="S3" s="35">
        <f t="shared" ca="1" si="7"/>
        <v>52.987000000000002</v>
      </c>
      <c r="T3" s="35">
        <f t="shared" ca="1" si="8"/>
        <v>53.116999999999997</v>
      </c>
      <c r="U3" s="35">
        <f t="shared" ca="1" si="9"/>
        <v>53.017000000000003</v>
      </c>
      <c r="W3" s="35">
        <f t="shared" ca="1" si="10"/>
        <v>53.063800000000001</v>
      </c>
      <c r="Y3" s="35">
        <f ca="1">Total!E3</f>
        <v>52.927</v>
      </c>
      <c r="AB3" s="35">
        <f t="shared" ca="1" si="11"/>
        <v>8.3133372380825993E-3</v>
      </c>
      <c r="AC3" s="35">
        <f t="shared" ca="1" si="12"/>
        <v>5.8571239631943631E-4</v>
      </c>
      <c r="AD3" s="35">
        <f t="shared" ca="1" si="13"/>
        <v>2.0783343095206498E-3</v>
      </c>
      <c r="AE3" s="35">
        <f t="shared" ca="1" si="14"/>
        <v>3.1175014642809747E-3</v>
      </c>
      <c r="AF3" s="35">
        <f t="shared" ca="1" si="15"/>
        <v>2.0783343095206498E-3</v>
      </c>
      <c r="AG3" s="35">
        <f t="shared" ca="1" si="16"/>
        <v>2.0972282577889755E-3</v>
      </c>
      <c r="AH3" s="35">
        <f t="shared" ca="1" si="17"/>
        <v>1.1525308443705471E-3</v>
      </c>
      <c r="AI3" s="35">
        <f t="shared" ca="1" si="18"/>
        <v>1.1336368961022214E-3</v>
      </c>
      <c r="AJ3" s="35">
        <f t="shared" ca="1" si="19"/>
        <v>3.5898501709901889E-3</v>
      </c>
      <c r="AK3" s="35">
        <f t="shared" ca="1" si="20"/>
        <v>1.7004553441533322E-3</v>
      </c>
      <c r="AM3" s="35">
        <f t="shared" ca="1" si="21"/>
        <v>2.5846921231129572E-2</v>
      </c>
    </row>
    <row r="4" spans="1:39" x14ac:dyDescent="0.3">
      <c r="A4" t="s">
        <v>17</v>
      </c>
      <c r="B4">
        <v>25</v>
      </c>
      <c r="C4">
        <v>1</v>
      </c>
      <c r="D4">
        <v>28.596</v>
      </c>
      <c r="E4">
        <v>5.2889999999999997</v>
      </c>
      <c r="F4">
        <v>279</v>
      </c>
      <c r="H4" s="35" t="s">
        <v>17</v>
      </c>
      <c r="I4" s="35">
        <v>100</v>
      </c>
      <c r="J4" s="35">
        <v>1</v>
      </c>
      <c r="L4" s="35">
        <f t="shared" ca="1" si="0"/>
        <v>103.30200000000001</v>
      </c>
      <c r="M4" s="35">
        <f t="shared" ca="1" si="1"/>
        <v>103.291</v>
      </c>
      <c r="N4" s="35">
        <f t="shared" ca="1" si="2"/>
        <v>103.26600000000001</v>
      </c>
      <c r="O4" s="35">
        <f t="shared" ca="1" si="3"/>
        <v>103.27200000000001</v>
      </c>
      <c r="P4" s="35">
        <f t="shared" ca="1" si="4"/>
        <v>103.259</v>
      </c>
      <c r="Q4" s="35">
        <f t="shared" ca="1" si="5"/>
        <v>103.23699999999999</v>
      </c>
      <c r="R4" s="35">
        <f t="shared" ca="1" si="6"/>
        <v>103.285</v>
      </c>
      <c r="S4" s="35">
        <f t="shared" ca="1" si="7"/>
        <v>103.154</v>
      </c>
      <c r="T4" s="35">
        <f t="shared" ca="1" si="8"/>
        <v>103.248</v>
      </c>
      <c r="U4" s="35">
        <f t="shared" ca="1" si="9"/>
        <v>103.29900000000001</v>
      </c>
      <c r="W4" s="35">
        <f t="shared" ca="1" si="10"/>
        <v>103.26130000000001</v>
      </c>
      <c r="Y4" s="35">
        <f ca="1">Total!E4</f>
        <v>102.80200000000001</v>
      </c>
      <c r="AB4" s="35">
        <f t="shared" ca="1" si="11"/>
        <v>4.8637186046964062E-3</v>
      </c>
      <c r="AC4" s="35">
        <f t="shared" ca="1" si="12"/>
        <v>4.7567167953929896E-3</v>
      </c>
      <c r="AD4" s="35">
        <f t="shared" ca="1" si="13"/>
        <v>4.5135308651582514E-3</v>
      </c>
      <c r="AE4" s="35">
        <f t="shared" ca="1" si="14"/>
        <v>4.5718954884146111E-3</v>
      </c>
      <c r="AF4" s="35">
        <f t="shared" ca="1" si="15"/>
        <v>4.4454388046924536E-3</v>
      </c>
      <c r="AG4" s="35">
        <f t="shared" ca="1" si="16"/>
        <v>4.2314351860857575E-3</v>
      </c>
      <c r="AH4" s="35">
        <f t="shared" ca="1" si="17"/>
        <v>4.6983521721366299E-3</v>
      </c>
      <c r="AI4" s="35">
        <f t="shared" ca="1" si="18"/>
        <v>3.4240578977061693E-3</v>
      </c>
      <c r="AJ4" s="35">
        <f t="shared" ca="1" si="19"/>
        <v>4.3384369953891749E-3</v>
      </c>
      <c r="AK4" s="35">
        <f t="shared" ca="1" si="20"/>
        <v>4.8345362930682272E-3</v>
      </c>
      <c r="AM4" s="35">
        <f t="shared" ca="1" si="21"/>
        <v>4.4678119102740672E-2</v>
      </c>
    </row>
    <row r="5" spans="1:39" x14ac:dyDescent="0.3">
      <c r="A5" t="s">
        <v>17</v>
      </c>
      <c r="B5">
        <v>25</v>
      </c>
      <c r="C5">
        <v>1</v>
      </c>
      <c r="D5">
        <v>28.504000000000001</v>
      </c>
      <c r="E5">
        <v>5.29</v>
      </c>
      <c r="F5">
        <v>240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5.2809999999999997</v>
      </c>
      <c r="F6">
        <v>245</v>
      </c>
      <c r="H6" s="35" t="s">
        <v>18</v>
      </c>
      <c r="I6" s="35">
        <v>50</v>
      </c>
      <c r="J6" s="35">
        <v>1</v>
      </c>
      <c r="L6" s="35">
        <f t="shared" ca="1" si="0"/>
        <v>180.25</v>
      </c>
      <c r="M6" s="35">
        <f t="shared" ca="1" si="1"/>
        <v>181.89</v>
      </c>
      <c r="N6" s="35">
        <f t="shared" ca="1" si="2"/>
        <v>180.87100000000001</v>
      </c>
      <c r="O6" s="35">
        <f t="shared" ca="1" si="3"/>
        <v>181.351</v>
      </c>
      <c r="P6" s="35">
        <f t="shared" ca="1" si="4"/>
        <v>181.59700000000001</v>
      </c>
      <c r="Q6" s="35">
        <f t="shared" ca="1" si="5"/>
        <v>181.89</v>
      </c>
      <c r="R6" s="35">
        <f t="shared" ca="1" si="6"/>
        <v>181.71700000000001</v>
      </c>
      <c r="S6" s="35">
        <f t="shared" ca="1" si="7"/>
        <v>179.94300000000001</v>
      </c>
      <c r="T6" s="35">
        <f t="shared" ca="1" si="8"/>
        <v>180.87100000000001</v>
      </c>
      <c r="U6" s="35">
        <f t="shared" ca="1" si="9"/>
        <v>179.93799999999999</v>
      </c>
      <c r="W6" s="35">
        <f t="shared" ca="1" si="10"/>
        <v>181.03180000000003</v>
      </c>
      <c r="Y6" s="35">
        <f ca="1">Total!E6</f>
        <v>179.673</v>
      </c>
      <c r="AB6" s="35">
        <f t="shared" ca="1" si="11"/>
        <v>3.2113895799591378E-3</v>
      </c>
      <c r="AC6" s="35">
        <f t="shared" ca="1" si="12"/>
        <v>1.2339082666844681E-2</v>
      </c>
      <c r="AD6" s="35">
        <f t="shared" ca="1" si="13"/>
        <v>6.667668486639659E-3</v>
      </c>
      <c r="AE6" s="35">
        <f t="shared" ca="1" si="14"/>
        <v>9.3391884145085646E-3</v>
      </c>
      <c r="AF6" s="35">
        <f t="shared" ca="1" si="15"/>
        <v>1.0708342377541459E-2</v>
      </c>
      <c r="AG6" s="35">
        <f t="shared" ca="1" si="16"/>
        <v>1.2339082666844681E-2</v>
      </c>
      <c r="AH6" s="35">
        <f t="shared" ca="1" si="17"/>
        <v>1.1376222359508725E-2</v>
      </c>
      <c r="AI6" s="35">
        <f t="shared" ca="1" si="18"/>
        <v>1.502729959426348E-3</v>
      </c>
      <c r="AJ6" s="35">
        <f t="shared" ca="1" si="19"/>
        <v>6.667668486639659E-3</v>
      </c>
      <c r="AK6" s="35">
        <f t="shared" ca="1" si="20"/>
        <v>1.4749016268442469E-3</v>
      </c>
      <c r="AM6" s="35">
        <f t="shared" ca="1" si="21"/>
        <v>7.5626276624757155E-2</v>
      </c>
    </row>
    <row r="7" spans="1:39" x14ac:dyDescent="0.3">
      <c r="A7" t="s">
        <v>17</v>
      </c>
      <c r="B7">
        <v>25</v>
      </c>
      <c r="C7">
        <v>1</v>
      </c>
      <c r="D7">
        <v>28.587</v>
      </c>
      <c r="E7">
        <v>5.2839999999999998</v>
      </c>
      <c r="F7">
        <v>216</v>
      </c>
      <c r="H7" s="35" t="s">
        <v>18</v>
      </c>
      <c r="I7" s="35">
        <v>100</v>
      </c>
      <c r="J7" s="35">
        <v>1</v>
      </c>
      <c r="L7" s="35">
        <f t="shared" ca="1" si="0"/>
        <v>239.67400000000001</v>
      </c>
      <c r="M7" s="35">
        <f t="shared" ca="1" si="1"/>
        <v>239.25899999999999</v>
      </c>
      <c r="N7" s="35">
        <f t="shared" ca="1" si="2"/>
        <v>239.25299999999999</v>
      </c>
      <c r="O7" s="35">
        <f t="shared" ca="1" si="3"/>
        <v>239.65299999999999</v>
      </c>
      <c r="P7" s="35">
        <f t="shared" ca="1" si="4"/>
        <v>239.613</v>
      </c>
      <c r="Q7" s="35">
        <f t="shared" ca="1" si="5"/>
        <v>239.48</v>
      </c>
      <c r="R7" s="35">
        <f t="shared" ca="1" si="6"/>
        <v>239.23</v>
      </c>
      <c r="S7" s="35">
        <f t="shared" ca="1" si="7"/>
        <v>239.39699999999999</v>
      </c>
      <c r="T7" s="35">
        <f t="shared" ca="1" si="8"/>
        <v>239.55600000000001</v>
      </c>
      <c r="U7" s="35">
        <f t="shared" ca="1" si="9"/>
        <v>239.21799999999999</v>
      </c>
      <c r="W7" s="35">
        <f t="shared" ca="1" si="10"/>
        <v>239.43329999999997</v>
      </c>
      <c r="Y7" s="35">
        <f ca="1">Total!E7</f>
        <v>238.86699999999999</v>
      </c>
      <c r="AB7" s="35">
        <f t="shared" ca="1" si="11"/>
        <v>3.3784490951032013E-3</v>
      </c>
      <c r="AC7" s="35">
        <f t="shared" ca="1" si="12"/>
        <v>1.6410806013388032E-3</v>
      </c>
      <c r="AD7" s="35">
        <f t="shared" ca="1" si="13"/>
        <v>1.6159620207060652E-3</v>
      </c>
      <c r="AE7" s="35">
        <f t="shared" ca="1" si="14"/>
        <v>3.2905340628885589E-3</v>
      </c>
      <c r="AF7" s="35">
        <f t="shared" ca="1" si="15"/>
        <v>3.1230768586703451E-3</v>
      </c>
      <c r="AG7" s="35">
        <f t="shared" ca="1" si="16"/>
        <v>2.5662816546446329E-3</v>
      </c>
      <c r="AH7" s="35">
        <f t="shared" ca="1" si="17"/>
        <v>1.5196741282805894E-3</v>
      </c>
      <c r="AI7" s="35">
        <f t="shared" ca="1" si="18"/>
        <v>2.2188079558917773E-3</v>
      </c>
      <c r="AJ7" s="35">
        <f t="shared" ca="1" si="19"/>
        <v>2.8844503426593937E-3</v>
      </c>
      <c r="AK7" s="35">
        <f t="shared" ca="1" si="20"/>
        <v>1.4694369670151133E-3</v>
      </c>
      <c r="AM7" s="35">
        <f t="shared" ca="1" si="21"/>
        <v>2.3707753687198484E-2</v>
      </c>
    </row>
    <row r="8" spans="1:39" x14ac:dyDescent="0.3">
      <c r="A8" t="s">
        <v>17</v>
      </c>
      <c r="B8">
        <v>25</v>
      </c>
      <c r="C8">
        <v>1</v>
      </c>
      <c r="D8">
        <v>28.504000000000001</v>
      </c>
      <c r="E8">
        <v>5.2990000000000004</v>
      </c>
      <c r="F8">
        <v>248</v>
      </c>
      <c r="H8" s="35" t="s">
        <v>19</v>
      </c>
      <c r="I8" s="35">
        <v>24</v>
      </c>
      <c r="J8" s="35">
        <v>1</v>
      </c>
      <c r="L8" s="35">
        <f t="shared" ca="1" si="0"/>
        <v>2328.248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2328.248</v>
      </c>
      <c r="W8" s="35">
        <f t="shared" ca="1" si="10"/>
        <v>2322.3759999999997</v>
      </c>
      <c r="Y8" s="35">
        <f ca="1">Total!E8</f>
        <v>2320.9079999999999</v>
      </c>
      <c r="AB8" s="35">
        <f t="shared" ca="1" si="11"/>
        <v>3.1625553447185953E-3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3.1625553447185953E-3</v>
      </c>
      <c r="AM8" s="35">
        <f t="shared" ca="1" si="21"/>
        <v>6.3251106894371906E-3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5.2910000000000004</v>
      </c>
      <c r="F9">
        <v>233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4318.4880000000003</v>
      </c>
      <c r="P9" s="35">
        <f t="shared" ca="1" si="4"/>
        <v>4318.4880000000003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4314.5856000000003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1.130839366563183E-3</v>
      </c>
      <c r="AF9" s="35">
        <f t="shared" ca="1" si="15"/>
        <v>1.130839366563183E-3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2.2616787331263661E-3</v>
      </c>
    </row>
    <row r="10" spans="1:39" x14ac:dyDescent="0.3">
      <c r="A10" t="s">
        <v>17</v>
      </c>
      <c r="B10">
        <v>25</v>
      </c>
      <c r="C10">
        <v>1</v>
      </c>
      <c r="D10">
        <v>28.591999999999999</v>
      </c>
      <c r="E10">
        <v>5.2779999999999996</v>
      </c>
      <c r="F10">
        <v>284</v>
      </c>
      <c r="H10" s="35" t="s">
        <v>19</v>
      </c>
      <c r="I10" s="35">
        <v>100</v>
      </c>
      <c r="J10" s="35">
        <v>1</v>
      </c>
      <c r="L10" s="35">
        <f t="shared" ca="1" si="0"/>
        <v>35272.826999999997</v>
      </c>
      <c r="M10" s="35">
        <f t="shared" ca="1" si="1"/>
        <v>35272.953000000001</v>
      </c>
      <c r="N10" s="35">
        <f t="shared" ca="1" si="2"/>
        <v>35217.663999999997</v>
      </c>
      <c r="O10" s="35">
        <f t="shared" ca="1" si="3"/>
        <v>35224.894999999997</v>
      </c>
      <c r="P10" s="35">
        <f t="shared" ca="1" si="4"/>
        <v>35210.383000000002</v>
      </c>
      <c r="Q10" s="35">
        <f t="shared" ca="1" si="5"/>
        <v>35272.953000000001</v>
      </c>
      <c r="R10" s="35">
        <f t="shared" ca="1" si="6"/>
        <v>35272.953000000001</v>
      </c>
      <c r="S10" s="35">
        <f t="shared" ca="1" si="7"/>
        <v>35246.271000000001</v>
      </c>
      <c r="T10" s="35">
        <f t="shared" ca="1" si="8"/>
        <v>35235.462</v>
      </c>
      <c r="U10" s="35">
        <f t="shared" ca="1" si="9"/>
        <v>35272.953000000001</v>
      </c>
      <c r="W10" s="35">
        <f t="shared" ca="1" si="10"/>
        <v>35249.931399999994</v>
      </c>
      <c r="Y10" s="35">
        <f ca="1">Total!E10</f>
        <v>35210.383000000002</v>
      </c>
      <c r="AB10" s="35">
        <f t="shared" ca="1" si="11"/>
        <v>1.773454154133906E-3</v>
      </c>
      <c r="AC10" s="35">
        <f t="shared" ca="1" si="12"/>
        <v>1.7770326440357013E-3</v>
      </c>
      <c r="AD10" s="35">
        <f t="shared" ca="1" si="13"/>
        <v>2.0678559503301629E-4</v>
      </c>
      <c r="AE10" s="35">
        <f t="shared" ca="1" si="14"/>
        <v>4.1215115439088428E-4</v>
      </c>
      <c r="AF10" s="35">
        <f t="shared" ca="1" si="15"/>
        <v>0</v>
      </c>
      <c r="AG10" s="35">
        <f t="shared" ca="1" si="16"/>
        <v>1.7770326440357013E-3</v>
      </c>
      <c r="AH10" s="35">
        <f t="shared" ca="1" si="17"/>
        <v>1.7770326440357013E-3</v>
      </c>
      <c r="AI10" s="35">
        <f t="shared" ca="1" si="18"/>
        <v>1.0192448062833911E-3</v>
      </c>
      <c r="AJ10" s="35">
        <f t="shared" ca="1" si="19"/>
        <v>7.1226149400300197E-4</v>
      </c>
      <c r="AK10" s="35">
        <f t="shared" ca="1" si="20"/>
        <v>1.7770326440357013E-3</v>
      </c>
      <c r="AM10" s="35">
        <f t="shared" ca="1" si="21"/>
        <v>1.1232027779987004E-2</v>
      </c>
    </row>
    <row r="11" spans="1:39" x14ac:dyDescent="0.3">
      <c r="A11" t="s">
        <v>17</v>
      </c>
      <c r="B11">
        <v>50</v>
      </c>
      <c r="C11">
        <v>1</v>
      </c>
      <c r="D11">
        <v>53.366999999999997</v>
      </c>
      <c r="E11">
        <v>19.577999999999999</v>
      </c>
      <c r="F11">
        <v>366</v>
      </c>
      <c r="H11" s="35" t="s">
        <v>20</v>
      </c>
      <c r="I11" s="35">
        <v>30</v>
      </c>
      <c r="J11" s="35">
        <v>1</v>
      </c>
      <c r="L11" s="35">
        <f t="shared" ca="1" si="0"/>
        <v>658.23299999999995</v>
      </c>
      <c r="M11" s="35">
        <f t="shared" ca="1" si="1"/>
        <v>658.23299999999995</v>
      </c>
      <c r="N11" s="35">
        <f t="shared" ca="1" si="2"/>
        <v>658.23299999999995</v>
      </c>
      <c r="O11" s="35">
        <f t="shared" ca="1" si="3"/>
        <v>658.23299999999995</v>
      </c>
      <c r="P11" s="35">
        <f t="shared" ca="1" si="4"/>
        <v>658.23299999999995</v>
      </c>
      <c r="Q11" s="35">
        <f t="shared" ca="1" si="5"/>
        <v>658.23299999999995</v>
      </c>
      <c r="R11" s="35">
        <f t="shared" ca="1" si="6"/>
        <v>657.35599999999999</v>
      </c>
      <c r="S11" s="35">
        <f t="shared" ca="1" si="7"/>
        <v>657.35599999999999</v>
      </c>
      <c r="T11" s="35">
        <f t="shared" ca="1" si="8"/>
        <v>658.23299999999995</v>
      </c>
      <c r="U11" s="35">
        <f t="shared" ca="1" si="9"/>
        <v>658.23299999999995</v>
      </c>
      <c r="W11" s="35">
        <f t="shared" ca="1" si="10"/>
        <v>658.05759999999998</v>
      </c>
      <c r="Y11" s="35">
        <f ca="1">Total!E11</f>
        <v>655.46500000000003</v>
      </c>
      <c r="AB11" s="35">
        <f t="shared" ca="1" si="11"/>
        <v>4.2229562219186613E-3</v>
      </c>
      <c r="AC11" s="35">
        <f t="shared" ca="1" si="12"/>
        <v>4.2229562219186613E-3</v>
      </c>
      <c r="AD11" s="35">
        <f t="shared" ca="1" si="13"/>
        <v>4.2229562219186613E-3</v>
      </c>
      <c r="AE11" s="35">
        <f t="shared" ca="1" si="14"/>
        <v>4.2229562219186613E-3</v>
      </c>
      <c r="AF11" s="35">
        <f t="shared" ca="1" si="15"/>
        <v>4.2229562219186613E-3</v>
      </c>
      <c r="AG11" s="35">
        <f t="shared" ca="1" si="16"/>
        <v>4.2229562219186613E-3</v>
      </c>
      <c r="AH11" s="35">
        <f t="shared" ca="1" si="17"/>
        <v>2.8849747888902728E-3</v>
      </c>
      <c r="AI11" s="35">
        <f t="shared" ca="1" si="18"/>
        <v>2.8849747888902728E-3</v>
      </c>
      <c r="AJ11" s="35">
        <f t="shared" ca="1" si="19"/>
        <v>4.2229562219186613E-3</v>
      </c>
      <c r="AK11" s="35">
        <f t="shared" ca="1" si="20"/>
        <v>4.2229562219186613E-3</v>
      </c>
      <c r="AM11" s="35">
        <f t="shared" ca="1" si="21"/>
        <v>3.955359935312984E-2</v>
      </c>
    </row>
    <row r="12" spans="1:39" x14ac:dyDescent="0.3">
      <c r="A12" t="s">
        <v>17</v>
      </c>
      <c r="B12">
        <v>50</v>
      </c>
      <c r="C12">
        <v>1</v>
      </c>
      <c r="D12">
        <v>52.957999999999998</v>
      </c>
      <c r="E12">
        <v>19.553000000000001</v>
      </c>
      <c r="F12">
        <v>371</v>
      </c>
      <c r="H12" s="35" t="s">
        <v>20</v>
      </c>
      <c r="I12" s="35">
        <v>50</v>
      </c>
      <c r="J12" s="35">
        <v>1</v>
      </c>
      <c r="L12" s="35">
        <f t="shared" ca="1" si="0"/>
        <v>996.56600000000003</v>
      </c>
      <c r="M12" s="35">
        <f t="shared" ca="1" si="1"/>
        <v>994.471</v>
      </c>
      <c r="N12" s="35">
        <f t="shared" ca="1" si="2"/>
        <v>990.79200000000003</v>
      </c>
      <c r="O12" s="35">
        <f t="shared" ca="1" si="3"/>
        <v>996.14</v>
      </c>
      <c r="P12" s="35">
        <f t="shared" ca="1" si="4"/>
        <v>996.25300000000004</v>
      </c>
      <c r="Q12" s="35">
        <f t="shared" ca="1" si="5"/>
        <v>995.471</v>
      </c>
      <c r="R12" s="35">
        <f t="shared" ca="1" si="6"/>
        <v>992.18200000000002</v>
      </c>
      <c r="S12" s="35">
        <f t="shared" ca="1" si="7"/>
        <v>993.00800000000004</v>
      </c>
      <c r="T12" s="35">
        <f t="shared" ca="1" si="8"/>
        <v>996.86500000000001</v>
      </c>
      <c r="U12" s="35">
        <f t="shared" ca="1" si="9"/>
        <v>992.125</v>
      </c>
      <c r="W12" s="35">
        <f t="shared" ca="1" si="10"/>
        <v>994.38729999999998</v>
      </c>
      <c r="Y12" s="35">
        <f ca="1">Total!E12</f>
        <v>990.096</v>
      </c>
      <c r="AB12" s="35">
        <f t="shared" ca="1" si="11"/>
        <v>6.534719865548419E-3</v>
      </c>
      <c r="AC12" s="35">
        <f t="shared" ca="1" si="12"/>
        <v>4.4187634330408367E-3</v>
      </c>
      <c r="AD12" s="35">
        <f t="shared" ca="1" si="13"/>
        <v>7.0296213700492315E-4</v>
      </c>
      <c r="AE12" s="35">
        <f t="shared" ca="1" si="14"/>
        <v>6.1044585575539979E-3</v>
      </c>
      <c r="AF12" s="35">
        <f t="shared" ca="1" si="15"/>
        <v>6.2185889045103093E-3</v>
      </c>
      <c r="AG12" s="35">
        <f t="shared" ca="1" si="16"/>
        <v>5.4287665034501702E-3</v>
      </c>
      <c r="AH12" s="35">
        <f t="shared" ca="1" si="17"/>
        <v>2.1068664048738838E-3</v>
      </c>
      <c r="AI12" s="35">
        <f t="shared" ca="1" si="18"/>
        <v>2.9411289410320157E-3</v>
      </c>
      <c r="AJ12" s="35">
        <f t="shared" ca="1" si="19"/>
        <v>6.8367107836007877E-3</v>
      </c>
      <c r="AK12" s="35">
        <f t="shared" ca="1" si="20"/>
        <v>2.049296229860535E-3</v>
      </c>
      <c r="AM12" s="35">
        <f t="shared" ca="1" si="21"/>
        <v>4.3342261760475877E-2</v>
      </c>
    </row>
    <row r="13" spans="1:39" x14ac:dyDescent="0.3">
      <c r="A13" t="s">
        <v>17</v>
      </c>
      <c r="B13">
        <v>50</v>
      </c>
      <c r="C13">
        <v>1</v>
      </c>
      <c r="D13">
        <v>53.036999999999999</v>
      </c>
      <c r="E13">
        <v>19.588000000000001</v>
      </c>
      <c r="F13">
        <v>368</v>
      </c>
      <c r="H13" s="35" t="s">
        <v>20</v>
      </c>
      <c r="I13" s="35">
        <v>100</v>
      </c>
      <c r="J13" s="35">
        <v>1</v>
      </c>
      <c r="L13" s="35">
        <f t="shared" ca="1" si="0"/>
        <v>1756.92</v>
      </c>
      <c r="M13" s="35">
        <f t="shared" ca="1" si="1"/>
        <v>1754.423</v>
      </c>
      <c r="N13" s="35">
        <f t="shared" ca="1" si="2"/>
        <v>1755.087</v>
      </c>
      <c r="O13" s="35">
        <f t="shared" ca="1" si="3"/>
        <v>1757.307</v>
      </c>
      <c r="P13" s="35">
        <f t="shared" ca="1" si="4"/>
        <v>1758.03</v>
      </c>
      <c r="Q13" s="35">
        <f t="shared" ca="1" si="5"/>
        <v>1755.8879999999999</v>
      </c>
      <c r="R13" s="35">
        <f t="shared" ca="1" si="6"/>
        <v>1758.6869999999999</v>
      </c>
      <c r="S13" s="35">
        <f t="shared" ca="1" si="7"/>
        <v>1755.2090000000001</v>
      </c>
      <c r="T13" s="35">
        <f t="shared" ca="1" si="8"/>
        <v>1755.683</v>
      </c>
      <c r="U13" s="35">
        <f t="shared" ca="1" si="9"/>
        <v>1755.2529999999999</v>
      </c>
      <c r="W13" s="35">
        <f t="shared" ca="1" si="10"/>
        <v>1756.2487000000001</v>
      </c>
      <c r="Y13" s="35">
        <f ca="1">Total!E13</f>
        <v>1753.79</v>
      </c>
      <c r="AB13" s="35">
        <f t="shared" ca="1" si="11"/>
        <v>1.7847062647181871E-3</v>
      </c>
      <c r="AC13" s="35">
        <f t="shared" ca="1" si="12"/>
        <v>3.6093260880723358E-4</v>
      </c>
      <c r="AD13" s="35">
        <f t="shared" ca="1" si="13"/>
        <v>7.3954122215317999E-4</v>
      </c>
      <c r="AE13" s="35">
        <f t="shared" ca="1" si="14"/>
        <v>2.0053712246050283E-3</v>
      </c>
      <c r="AF13" s="35">
        <f t="shared" ca="1" si="15"/>
        <v>2.4176212659440463E-3</v>
      </c>
      <c r="AG13" s="35">
        <f t="shared" ca="1" si="16"/>
        <v>1.1962663716864369E-3</v>
      </c>
      <c r="AH13" s="35">
        <f t="shared" ca="1" si="17"/>
        <v>2.7922385234263707E-3</v>
      </c>
      <c r="AI13" s="35">
        <f t="shared" ca="1" si="18"/>
        <v>8.0910485291859138E-4</v>
      </c>
      <c r="AJ13" s="35">
        <f t="shared" ca="1" si="19"/>
        <v>1.0793766642528634E-3</v>
      </c>
      <c r="AK13" s="35">
        <f t="shared" ca="1" si="20"/>
        <v>8.3419337548963418E-4</v>
      </c>
      <c r="AM13" s="35">
        <f t="shared" ca="1" si="21"/>
        <v>1.4019352374001572E-2</v>
      </c>
    </row>
    <row r="14" spans="1:39" x14ac:dyDescent="0.3">
      <c r="A14" t="s">
        <v>17</v>
      </c>
      <c r="B14">
        <v>50</v>
      </c>
      <c r="C14">
        <v>1</v>
      </c>
      <c r="D14">
        <v>53.091999999999999</v>
      </c>
      <c r="E14">
        <v>19.565000000000001</v>
      </c>
      <c r="F14">
        <v>439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53.036999999999999</v>
      </c>
      <c r="E15">
        <v>19.574000000000002</v>
      </c>
      <c r="F15">
        <v>476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76.587999999999994</v>
      </c>
      <c r="M15" s="35">
        <f t="shared" ca="1" si="1"/>
        <v>76.638000000000005</v>
      </c>
      <c r="N15" s="35">
        <f t="shared" ca="1" si="1"/>
        <v>76.400000000000006</v>
      </c>
      <c r="O15" s="35">
        <f t="shared" ca="1" si="1"/>
        <v>76.876000000000005</v>
      </c>
      <c r="P15" s="35">
        <f t="shared" ca="1" si="1"/>
        <v>76.820999999999998</v>
      </c>
      <c r="Q15" s="35">
        <f t="shared" ca="1" si="1"/>
        <v>76.658000000000001</v>
      </c>
      <c r="R15" s="35">
        <f t="shared" ca="1" si="1"/>
        <v>76.733000000000004</v>
      </c>
      <c r="S15" s="35">
        <f t="shared" ca="1" si="1"/>
        <v>77.003</v>
      </c>
      <c r="T15" s="35">
        <f t="shared" ca="1" si="1"/>
        <v>76.593000000000004</v>
      </c>
      <c r="U15" s="35">
        <f t="shared" ca="1" si="1"/>
        <v>76.584999999999994</v>
      </c>
      <c r="W15" s="35">
        <f t="shared" ca="1" si="10"/>
        <v>76.689499999999995</v>
      </c>
      <c r="Y15" s="35">
        <f ca="1">Total!E15</f>
        <v>75.998000000000005</v>
      </c>
      <c r="AB15" s="35">
        <f t="shared" ca="1" si="11"/>
        <v>7.763362193741798E-3</v>
      </c>
      <c r="AC15" s="35">
        <f t="shared" ca="1" si="12"/>
        <v>8.4212742440590606E-3</v>
      </c>
      <c r="AD15" s="35">
        <f t="shared" ca="1" si="13"/>
        <v>5.2896128845496063E-3</v>
      </c>
      <c r="AE15" s="35">
        <f t="shared" ca="1" si="14"/>
        <v>1.1552935603568515E-2</v>
      </c>
      <c r="AF15" s="35">
        <f t="shared" ca="1" si="15"/>
        <v>1.0829232348219602E-2</v>
      </c>
      <c r="AG15" s="35">
        <f t="shared" ca="1" si="16"/>
        <v>8.6844390641858549E-3</v>
      </c>
      <c r="AH15" s="35">
        <f t="shared" ca="1" si="17"/>
        <v>9.6713071396615623E-3</v>
      </c>
      <c r="AI15" s="35">
        <f t="shared" ca="1" si="18"/>
        <v>1.3224032211373924E-2</v>
      </c>
      <c r="AJ15" s="35">
        <f t="shared" ca="1" si="19"/>
        <v>7.8291533987736358E-3</v>
      </c>
      <c r="AK15" s="35">
        <f t="shared" ca="1" si="20"/>
        <v>7.7238874707227694E-3</v>
      </c>
      <c r="AM15" s="35">
        <f t="shared" ca="1" si="21"/>
        <v>9.0989236558856323E-2</v>
      </c>
    </row>
    <row r="16" spans="1:39" x14ac:dyDescent="0.3">
      <c r="A16" t="s">
        <v>17</v>
      </c>
      <c r="B16">
        <v>50</v>
      </c>
      <c r="C16">
        <v>1</v>
      </c>
      <c r="D16">
        <v>53.037999999999997</v>
      </c>
      <c r="E16">
        <v>19.559000000000001</v>
      </c>
      <c r="F16">
        <v>518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119.249</v>
      </c>
      <c r="M16" s="35">
        <f t="shared" ca="1" si="1"/>
        <v>119.532</v>
      </c>
      <c r="N16" s="35">
        <f t="shared" ca="1" si="1"/>
        <v>118.587</v>
      </c>
      <c r="O16" s="35">
        <f t="shared" ca="1" si="1"/>
        <v>119.10899999999999</v>
      </c>
      <c r="P16" s="35">
        <f t="shared" ca="1" si="1"/>
        <v>118.565</v>
      </c>
      <c r="Q16" s="35">
        <f t="shared" ca="1" si="1"/>
        <v>119.27</v>
      </c>
      <c r="R16" s="35">
        <f t="shared" ca="1" si="1"/>
        <v>119.304</v>
      </c>
      <c r="S16" s="35">
        <f t="shared" ca="1" si="1"/>
        <v>118.998</v>
      </c>
      <c r="T16" s="35">
        <f t="shared" ca="1" si="1"/>
        <v>118.76300000000001</v>
      </c>
      <c r="U16" s="35">
        <f t="shared" ca="1" si="1"/>
        <v>119.346</v>
      </c>
      <c r="W16" s="35">
        <f t="shared" ca="1" si="10"/>
        <v>119.0723</v>
      </c>
      <c r="Y16" s="35">
        <f ca="1">Total!E16</f>
        <v>118.01</v>
      </c>
      <c r="AB16" s="35">
        <f t="shared" ca="1" si="11"/>
        <v>1.0499110244894416E-2</v>
      </c>
      <c r="AC16" s="35">
        <f t="shared" ca="1" si="12"/>
        <v>1.2897212100669362E-2</v>
      </c>
      <c r="AD16" s="35">
        <f t="shared" ca="1" si="13"/>
        <v>4.8894161511736142E-3</v>
      </c>
      <c r="AE16" s="35">
        <f t="shared" ca="1" si="14"/>
        <v>9.312770104228367E-3</v>
      </c>
      <c r="AF16" s="35">
        <f t="shared" ca="1" si="15"/>
        <v>4.7029912719260452E-3</v>
      </c>
      <c r="AG16" s="35">
        <f t="shared" ca="1" si="16"/>
        <v>1.0677061265994331E-2</v>
      </c>
      <c r="AH16" s="35">
        <f t="shared" ca="1" si="17"/>
        <v>1.0965172443013278E-2</v>
      </c>
      <c r="AI16" s="35">
        <f t="shared" ca="1" si="18"/>
        <v>8.3721718498432299E-3</v>
      </c>
      <c r="AJ16" s="35">
        <f t="shared" ca="1" si="19"/>
        <v>6.3808151851538009E-3</v>
      </c>
      <c r="AK16" s="35">
        <f t="shared" ca="1" si="20"/>
        <v>1.1321074485213104E-2</v>
      </c>
      <c r="AM16" s="35">
        <f t="shared" ca="1" si="21"/>
        <v>9.0017795102109568E-2</v>
      </c>
    </row>
    <row r="17" spans="1:39" x14ac:dyDescent="0.3">
      <c r="A17" t="s">
        <v>17</v>
      </c>
      <c r="B17">
        <v>50</v>
      </c>
      <c r="C17">
        <v>1</v>
      </c>
      <c r="D17">
        <v>52.988</v>
      </c>
      <c r="E17">
        <v>19.548999999999999</v>
      </c>
      <c r="F17">
        <v>394</v>
      </c>
      <c r="H17" s="35" t="s">
        <v>34</v>
      </c>
      <c r="I17" s="35">
        <v>40</v>
      </c>
      <c r="J17" s="35">
        <v>1</v>
      </c>
      <c r="L17" s="35">
        <f t="shared" ca="1" si="22"/>
        <v>16.792999999999999</v>
      </c>
      <c r="M17" s="35">
        <f t="shared" ca="1" si="1"/>
        <v>16.672999999999998</v>
      </c>
      <c r="N17" s="35">
        <f t="shared" ca="1" si="1"/>
        <v>16.641999999999999</v>
      </c>
      <c r="O17" s="35">
        <f t="shared" ca="1" si="1"/>
        <v>16.669</v>
      </c>
      <c r="P17" s="35">
        <f t="shared" ca="1" si="1"/>
        <v>16.73</v>
      </c>
      <c r="Q17" s="35">
        <f t="shared" ca="1" si="1"/>
        <v>16.75</v>
      </c>
      <c r="R17" s="35">
        <f t="shared" ca="1" si="1"/>
        <v>16.515000000000001</v>
      </c>
      <c r="S17" s="35">
        <f t="shared" ca="1" si="1"/>
        <v>16.859000000000002</v>
      </c>
      <c r="T17" s="35">
        <f t="shared" ca="1" si="1"/>
        <v>16.78</v>
      </c>
      <c r="U17" s="35">
        <f t="shared" ca="1" si="1"/>
        <v>16.596</v>
      </c>
      <c r="W17" s="35">
        <f t="shared" ca="1" si="10"/>
        <v>16.700700000000001</v>
      </c>
      <c r="Y17" s="35">
        <f ca="1">Total!E17</f>
        <v>16.481999999999999</v>
      </c>
      <c r="AB17" s="35">
        <f t="shared" ca="1" si="11"/>
        <v>1.8869069287707801E-2</v>
      </c>
      <c r="AC17" s="35">
        <f t="shared" ca="1" si="12"/>
        <v>1.158839946608415E-2</v>
      </c>
      <c r="AD17" s="35">
        <f t="shared" ca="1" si="13"/>
        <v>9.7075597621647941E-3</v>
      </c>
      <c r="AE17" s="35">
        <f t="shared" ca="1" si="14"/>
        <v>1.1345710472030165E-2</v>
      </c>
      <c r="AF17" s="35">
        <f t="shared" ca="1" si="15"/>
        <v>1.5046717631355486E-2</v>
      </c>
      <c r="AG17" s="35">
        <f t="shared" ca="1" si="16"/>
        <v>1.626016260162606E-2</v>
      </c>
      <c r="AH17" s="35">
        <f t="shared" ca="1" si="17"/>
        <v>2.0021842009465629E-3</v>
      </c>
      <c r="AI17" s="35">
        <f t="shared" ca="1" si="18"/>
        <v>2.2873437689600925E-2</v>
      </c>
      <c r="AJ17" s="35">
        <f t="shared" ca="1" si="19"/>
        <v>1.8080330057032024E-2</v>
      </c>
      <c r="AK17" s="35">
        <f t="shared" ca="1" si="20"/>
        <v>6.9166363305424566E-3</v>
      </c>
      <c r="AM17" s="35">
        <f t="shared" ca="1" si="21"/>
        <v>0.13269020749909044</v>
      </c>
    </row>
    <row r="18" spans="1:39" x14ac:dyDescent="0.3">
      <c r="A18" t="s">
        <v>17</v>
      </c>
      <c r="B18">
        <v>50</v>
      </c>
      <c r="C18">
        <v>1</v>
      </c>
      <c r="D18">
        <v>52.987000000000002</v>
      </c>
      <c r="E18">
        <v>19.573</v>
      </c>
      <c r="F18">
        <v>375</v>
      </c>
      <c r="H18" s="35" t="s">
        <v>34</v>
      </c>
      <c r="I18" s="35">
        <v>96</v>
      </c>
      <c r="J18" s="35">
        <v>1</v>
      </c>
      <c r="L18" s="35">
        <f t="shared" ca="1" si="22"/>
        <v>35.122999999999998</v>
      </c>
      <c r="M18" s="35">
        <f t="shared" ca="1" si="22"/>
        <v>35.186</v>
      </c>
      <c r="N18" s="35">
        <f t="shared" ca="1" si="22"/>
        <v>35.209000000000003</v>
      </c>
      <c r="O18" s="35">
        <f t="shared" ca="1" si="22"/>
        <v>35.156999999999996</v>
      </c>
      <c r="P18" s="35">
        <f t="shared" ca="1" si="22"/>
        <v>35.134</v>
      </c>
      <c r="Q18" s="35">
        <f t="shared" ca="1" si="22"/>
        <v>35.204999999999998</v>
      </c>
      <c r="R18" s="35">
        <f t="shared" ca="1" si="22"/>
        <v>35.206000000000003</v>
      </c>
      <c r="S18" s="35">
        <f t="shared" ca="1" si="22"/>
        <v>35.128</v>
      </c>
      <c r="T18" s="35">
        <f t="shared" ca="1" si="22"/>
        <v>35.100999999999999</v>
      </c>
      <c r="U18" s="35">
        <f t="shared" ca="1" si="22"/>
        <v>35.215000000000003</v>
      </c>
      <c r="W18" s="35">
        <f t="shared" ca="1" si="10"/>
        <v>35.166399999999996</v>
      </c>
      <c r="Y18" s="35">
        <f ca="1">Total!E18</f>
        <v>35.069000000000003</v>
      </c>
      <c r="AB18" s="35">
        <f t="shared" ca="1" si="11"/>
        <v>1.5398214947673142E-3</v>
      </c>
      <c r="AC18" s="35">
        <f t="shared" ca="1" si="12"/>
        <v>3.3362799053294171E-3</v>
      </c>
      <c r="AD18" s="35">
        <f t="shared" ca="1" si="13"/>
        <v>3.9921298012489826E-3</v>
      </c>
      <c r="AE18" s="35">
        <f t="shared" ca="1" si="14"/>
        <v>2.5093387322134607E-3</v>
      </c>
      <c r="AF18" s="35">
        <f t="shared" ca="1" si="15"/>
        <v>1.8534888362940979E-3</v>
      </c>
      <c r="AG18" s="35">
        <f t="shared" ca="1" si="16"/>
        <v>3.8780689497845866E-3</v>
      </c>
      <c r="AH18" s="35">
        <f t="shared" ca="1" si="17"/>
        <v>3.9065841626507872E-3</v>
      </c>
      <c r="AI18" s="35">
        <f t="shared" ca="1" si="18"/>
        <v>1.6823975590977071E-3</v>
      </c>
      <c r="AJ18" s="35">
        <f t="shared" ca="1" si="19"/>
        <v>9.1248681171394888E-4</v>
      </c>
      <c r="AK18" s="35">
        <f t="shared" ca="1" si="20"/>
        <v>4.1632210784453734E-3</v>
      </c>
      <c r="AM18" s="35">
        <f t="shared" ca="1" si="21"/>
        <v>2.7773817331545679E-2</v>
      </c>
    </row>
    <row r="19" spans="1:39" x14ac:dyDescent="0.3">
      <c r="A19" t="s">
        <v>17</v>
      </c>
      <c r="B19">
        <v>50</v>
      </c>
      <c r="C19">
        <v>1</v>
      </c>
      <c r="D19">
        <v>53.116999999999997</v>
      </c>
      <c r="E19">
        <v>19.562999999999999</v>
      </c>
      <c r="F19">
        <v>360</v>
      </c>
      <c r="H19" s="35" t="s">
        <v>34</v>
      </c>
      <c r="I19" s="35">
        <v>224</v>
      </c>
      <c r="J19" s="35">
        <v>1</v>
      </c>
      <c r="L19" s="35">
        <f t="shared" ca="1" si="22"/>
        <v>71.974999999999994</v>
      </c>
      <c r="M19" s="35">
        <f t="shared" ca="1" si="22"/>
        <v>71.918000000000006</v>
      </c>
      <c r="N19" s="35">
        <f t="shared" ca="1" si="22"/>
        <v>71.912000000000006</v>
      </c>
      <c r="O19" s="35">
        <f t="shared" ca="1" si="22"/>
        <v>71.983999999999995</v>
      </c>
      <c r="P19" s="35">
        <f t="shared" ca="1" si="22"/>
        <v>72.009</v>
      </c>
      <c r="Q19" s="35">
        <f t="shared" ca="1" si="22"/>
        <v>71.918999999999997</v>
      </c>
      <c r="R19" s="35">
        <f t="shared" ca="1" si="22"/>
        <v>71.936000000000007</v>
      </c>
      <c r="S19" s="35">
        <f t="shared" ca="1" si="22"/>
        <v>71.92</v>
      </c>
      <c r="T19" s="35">
        <f t="shared" ca="1" si="22"/>
        <v>71.977000000000004</v>
      </c>
      <c r="U19" s="35">
        <f t="shared" ca="1" si="22"/>
        <v>71.933000000000007</v>
      </c>
      <c r="W19" s="35">
        <f t="shared" ca="1" si="10"/>
        <v>71.948299999999989</v>
      </c>
      <c r="Y19" s="35">
        <f ca="1">Total!E19</f>
        <v>71.908000000000001</v>
      </c>
      <c r="AB19" s="35">
        <f t="shared" ca="1" si="11"/>
        <v>9.3174612004217976E-4</v>
      </c>
      <c r="AC19" s="35">
        <f t="shared" ca="1" si="12"/>
        <v>1.3906658508100789E-4</v>
      </c>
      <c r="AD19" s="35">
        <f t="shared" ca="1" si="13"/>
        <v>5.5626634032442683E-5</v>
      </c>
      <c r="AE19" s="35">
        <f t="shared" ca="1" si="14"/>
        <v>1.0569060466150276E-3</v>
      </c>
      <c r="AF19" s="35">
        <f t="shared" ca="1" si="15"/>
        <v>1.4045725093174484E-3</v>
      </c>
      <c r="AG19" s="35">
        <f t="shared" ca="1" si="16"/>
        <v>1.5297324358897035E-4</v>
      </c>
      <c r="AH19" s="35">
        <f t="shared" ca="1" si="17"/>
        <v>3.8938643822670354E-4</v>
      </c>
      <c r="AI19" s="35">
        <f t="shared" ca="1" si="18"/>
        <v>1.6687990209713043E-4</v>
      </c>
      <c r="AJ19" s="35">
        <f t="shared" ca="1" si="19"/>
        <v>9.5955943705849998E-4</v>
      </c>
      <c r="AK19" s="35">
        <f t="shared" ca="1" si="20"/>
        <v>3.4766646270242092E-4</v>
      </c>
      <c r="AM19" s="35">
        <f t="shared" ca="1" si="21"/>
        <v>5.6043833787618319E-3</v>
      </c>
    </row>
    <row r="20" spans="1:39" x14ac:dyDescent="0.3">
      <c r="A20" t="s">
        <v>17</v>
      </c>
      <c r="B20">
        <v>50</v>
      </c>
      <c r="C20">
        <v>1</v>
      </c>
      <c r="D20">
        <v>53.017000000000003</v>
      </c>
      <c r="E20">
        <v>19.568000000000001</v>
      </c>
      <c r="F20">
        <v>366</v>
      </c>
    </row>
    <row r="21" spans="1:39" x14ac:dyDescent="0.3">
      <c r="A21" t="s">
        <v>17</v>
      </c>
      <c r="B21">
        <v>100</v>
      </c>
      <c r="C21">
        <v>1</v>
      </c>
      <c r="D21">
        <v>103.30200000000001</v>
      </c>
      <c r="E21">
        <v>102.01600000000001</v>
      </c>
      <c r="F21">
        <v>638</v>
      </c>
    </row>
    <row r="22" spans="1:39" x14ac:dyDescent="0.3">
      <c r="A22" t="s">
        <v>17</v>
      </c>
      <c r="B22">
        <v>100</v>
      </c>
      <c r="C22">
        <v>1</v>
      </c>
      <c r="D22">
        <v>103.291</v>
      </c>
      <c r="E22">
        <v>102.008</v>
      </c>
      <c r="F22">
        <v>589</v>
      </c>
    </row>
    <row r="23" spans="1:39" x14ac:dyDescent="0.3">
      <c r="A23" t="s">
        <v>17</v>
      </c>
      <c r="B23">
        <v>100</v>
      </c>
      <c r="C23">
        <v>1</v>
      </c>
      <c r="D23">
        <v>103.26600000000001</v>
      </c>
      <c r="E23">
        <v>102</v>
      </c>
      <c r="F23">
        <v>625</v>
      </c>
    </row>
    <row r="24" spans="1:39" x14ac:dyDescent="0.3">
      <c r="A24" t="s">
        <v>17</v>
      </c>
      <c r="B24">
        <v>100</v>
      </c>
      <c r="C24">
        <v>1</v>
      </c>
      <c r="D24">
        <v>103.27200000000001</v>
      </c>
      <c r="E24">
        <v>102.006</v>
      </c>
      <c r="F24">
        <v>588</v>
      </c>
    </row>
    <row r="25" spans="1:39" x14ac:dyDescent="0.3">
      <c r="A25" t="s">
        <v>17</v>
      </c>
      <c r="B25">
        <v>100</v>
      </c>
      <c r="C25">
        <v>1</v>
      </c>
      <c r="D25">
        <v>103.259</v>
      </c>
      <c r="E25">
        <v>102.154</v>
      </c>
      <c r="F25">
        <v>626</v>
      </c>
    </row>
    <row r="26" spans="1:39" x14ac:dyDescent="0.3">
      <c r="A26" t="s">
        <v>17</v>
      </c>
      <c r="B26">
        <v>100</v>
      </c>
      <c r="C26">
        <v>1</v>
      </c>
      <c r="D26">
        <v>103.23699999999999</v>
      </c>
      <c r="E26">
        <v>102.078</v>
      </c>
      <c r="F26">
        <v>621</v>
      </c>
    </row>
    <row r="27" spans="1:39" x14ac:dyDescent="0.3">
      <c r="A27" t="s">
        <v>17</v>
      </c>
      <c r="B27">
        <v>100</v>
      </c>
      <c r="C27">
        <v>1</v>
      </c>
      <c r="D27">
        <v>103.285</v>
      </c>
      <c r="E27">
        <v>102.004</v>
      </c>
      <c r="F27">
        <v>585</v>
      </c>
    </row>
    <row r="28" spans="1:39" x14ac:dyDescent="0.3">
      <c r="A28" t="s">
        <v>17</v>
      </c>
      <c r="B28">
        <v>100</v>
      </c>
      <c r="C28">
        <v>1</v>
      </c>
      <c r="D28">
        <v>103.154</v>
      </c>
      <c r="E28">
        <v>102.08199999999999</v>
      </c>
      <c r="F28">
        <v>623</v>
      </c>
    </row>
    <row r="29" spans="1:39" x14ac:dyDescent="0.3">
      <c r="A29" t="s">
        <v>17</v>
      </c>
      <c r="B29">
        <v>100</v>
      </c>
      <c r="C29">
        <v>1</v>
      </c>
      <c r="D29">
        <v>103.248</v>
      </c>
      <c r="E29">
        <v>102.056</v>
      </c>
      <c r="F29">
        <v>571</v>
      </c>
    </row>
    <row r="30" spans="1:39" x14ac:dyDescent="0.3">
      <c r="A30" t="s">
        <v>17</v>
      </c>
      <c r="B30">
        <v>100</v>
      </c>
      <c r="C30">
        <v>1</v>
      </c>
      <c r="D30">
        <v>103.29900000000001</v>
      </c>
      <c r="E30">
        <v>102.11799999999999</v>
      </c>
      <c r="F30">
        <v>648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8.0310000000000006</v>
      </c>
      <c r="F31">
        <v>275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8.0109999999999992</v>
      </c>
      <c r="F32">
        <v>348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8.0009999999999994</v>
      </c>
      <c r="F33">
        <v>321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7.9969999999999999</v>
      </c>
      <c r="F34">
        <v>322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8.0020000000000007</v>
      </c>
      <c r="F35">
        <v>311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8.0169999999999995</v>
      </c>
      <c r="F36">
        <v>297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8.0109999999999992</v>
      </c>
      <c r="F37">
        <v>322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8.0120000000000005</v>
      </c>
      <c r="F38">
        <v>342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8.0120000000000005</v>
      </c>
      <c r="F39">
        <v>277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8.0050000000000008</v>
      </c>
      <c r="F40">
        <v>337</v>
      </c>
    </row>
    <row r="41" spans="1:6" x14ac:dyDescent="0.3">
      <c r="A41" t="s">
        <v>18</v>
      </c>
      <c r="B41">
        <v>50</v>
      </c>
      <c r="C41">
        <v>1</v>
      </c>
      <c r="D41">
        <v>180.25</v>
      </c>
      <c r="E41">
        <v>22.437999999999999</v>
      </c>
      <c r="F41">
        <v>381</v>
      </c>
    </row>
    <row r="42" spans="1:6" x14ac:dyDescent="0.3">
      <c r="A42" t="s">
        <v>18</v>
      </c>
      <c r="B42">
        <v>50</v>
      </c>
      <c r="C42">
        <v>1</v>
      </c>
      <c r="D42">
        <v>181.89</v>
      </c>
      <c r="E42">
        <v>22.437999999999999</v>
      </c>
      <c r="F42">
        <v>379</v>
      </c>
    </row>
    <row r="43" spans="1:6" x14ac:dyDescent="0.3">
      <c r="A43" t="s">
        <v>18</v>
      </c>
      <c r="B43">
        <v>50</v>
      </c>
      <c r="C43">
        <v>1</v>
      </c>
      <c r="D43">
        <v>180.87100000000001</v>
      </c>
      <c r="E43">
        <v>22.446000000000002</v>
      </c>
      <c r="F43">
        <v>374</v>
      </c>
    </row>
    <row r="44" spans="1:6" x14ac:dyDescent="0.3">
      <c r="A44" t="s">
        <v>18</v>
      </c>
      <c r="B44">
        <v>50</v>
      </c>
      <c r="C44">
        <v>1</v>
      </c>
      <c r="D44">
        <v>181.351</v>
      </c>
      <c r="E44">
        <v>22.428000000000001</v>
      </c>
      <c r="F44">
        <v>372</v>
      </c>
    </row>
    <row r="45" spans="1:6" x14ac:dyDescent="0.3">
      <c r="A45" t="s">
        <v>18</v>
      </c>
      <c r="B45">
        <v>50</v>
      </c>
      <c r="C45">
        <v>1</v>
      </c>
      <c r="D45">
        <v>181.59700000000001</v>
      </c>
      <c r="E45">
        <v>22.402000000000001</v>
      </c>
      <c r="F45">
        <v>370</v>
      </c>
    </row>
    <row r="46" spans="1:6" x14ac:dyDescent="0.3">
      <c r="A46" t="s">
        <v>18</v>
      </c>
      <c r="B46">
        <v>50</v>
      </c>
      <c r="C46">
        <v>1</v>
      </c>
      <c r="D46">
        <v>181.89</v>
      </c>
      <c r="E46">
        <v>22.436</v>
      </c>
      <c r="F46">
        <v>373</v>
      </c>
    </row>
    <row r="47" spans="1:6" x14ac:dyDescent="0.3">
      <c r="A47" t="s">
        <v>18</v>
      </c>
      <c r="B47">
        <v>50</v>
      </c>
      <c r="C47">
        <v>1</v>
      </c>
      <c r="D47">
        <v>181.71700000000001</v>
      </c>
      <c r="E47">
        <v>22.411000000000001</v>
      </c>
      <c r="F47">
        <v>362</v>
      </c>
    </row>
    <row r="48" spans="1:6" x14ac:dyDescent="0.3">
      <c r="A48" t="s">
        <v>18</v>
      </c>
      <c r="B48">
        <v>50</v>
      </c>
      <c r="C48">
        <v>1</v>
      </c>
      <c r="D48">
        <v>179.94300000000001</v>
      </c>
      <c r="E48">
        <v>22.404</v>
      </c>
      <c r="F48">
        <v>376</v>
      </c>
    </row>
    <row r="49" spans="1:6" x14ac:dyDescent="0.3">
      <c r="A49" t="s">
        <v>18</v>
      </c>
      <c r="B49">
        <v>50</v>
      </c>
      <c r="C49">
        <v>1</v>
      </c>
      <c r="D49">
        <v>180.87100000000001</v>
      </c>
      <c r="E49">
        <v>22.446999999999999</v>
      </c>
      <c r="F49">
        <v>377</v>
      </c>
    </row>
    <row r="50" spans="1:6" x14ac:dyDescent="0.3">
      <c r="A50" t="s">
        <v>18</v>
      </c>
      <c r="B50">
        <v>50</v>
      </c>
      <c r="C50">
        <v>1</v>
      </c>
      <c r="D50">
        <v>179.93799999999999</v>
      </c>
      <c r="E50">
        <v>22.405000000000001</v>
      </c>
      <c r="F50">
        <v>374</v>
      </c>
    </row>
    <row r="51" spans="1:6" x14ac:dyDescent="0.3">
      <c r="A51" t="s">
        <v>18</v>
      </c>
      <c r="B51">
        <v>100</v>
      </c>
      <c r="C51">
        <v>1</v>
      </c>
      <c r="D51">
        <v>239.67400000000001</v>
      </c>
      <c r="E51">
        <v>138.565</v>
      </c>
      <c r="F51">
        <v>670</v>
      </c>
    </row>
    <row r="52" spans="1:6" x14ac:dyDescent="0.3">
      <c r="A52" t="s">
        <v>18</v>
      </c>
      <c r="B52">
        <v>100</v>
      </c>
      <c r="C52">
        <v>1</v>
      </c>
      <c r="D52">
        <v>239.25899999999999</v>
      </c>
      <c r="E52">
        <v>138.578</v>
      </c>
      <c r="F52">
        <v>671</v>
      </c>
    </row>
    <row r="53" spans="1:6" x14ac:dyDescent="0.3">
      <c r="A53" t="s">
        <v>18</v>
      </c>
      <c r="B53">
        <v>100</v>
      </c>
      <c r="C53">
        <v>1</v>
      </c>
      <c r="D53">
        <v>239.25299999999999</v>
      </c>
      <c r="E53">
        <v>138.53399999999999</v>
      </c>
      <c r="F53">
        <v>669</v>
      </c>
    </row>
    <row r="54" spans="1:6" x14ac:dyDescent="0.3">
      <c r="A54" t="s">
        <v>18</v>
      </c>
      <c r="B54">
        <v>100</v>
      </c>
      <c r="C54">
        <v>1</v>
      </c>
      <c r="D54">
        <v>239.65299999999999</v>
      </c>
      <c r="E54">
        <v>138.51</v>
      </c>
      <c r="F54">
        <v>700</v>
      </c>
    </row>
    <row r="55" spans="1:6" x14ac:dyDescent="0.3">
      <c r="A55" t="s">
        <v>18</v>
      </c>
      <c r="B55">
        <v>100</v>
      </c>
      <c r="C55">
        <v>1</v>
      </c>
      <c r="D55">
        <v>239.613</v>
      </c>
      <c r="E55">
        <v>138.46100000000001</v>
      </c>
      <c r="F55">
        <v>769</v>
      </c>
    </row>
    <row r="56" spans="1:6" x14ac:dyDescent="0.3">
      <c r="A56" t="s">
        <v>18</v>
      </c>
      <c r="B56">
        <v>100</v>
      </c>
      <c r="C56">
        <v>1</v>
      </c>
      <c r="D56">
        <v>239.48</v>
      </c>
      <c r="E56">
        <v>138.61600000000001</v>
      </c>
      <c r="F56">
        <v>735</v>
      </c>
    </row>
    <row r="57" spans="1:6" x14ac:dyDescent="0.3">
      <c r="A57" t="s">
        <v>18</v>
      </c>
      <c r="B57">
        <v>100</v>
      </c>
      <c r="C57">
        <v>1</v>
      </c>
      <c r="D57">
        <v>239.23</v>
      </c>
      <c r="E57">
        <v>138.51300000000001</v>
      </c>
      <c r="F57">
        <v>668</v>
      </c>
    </row>
    <row r="58" spans="1:6" x14ac:dyDescent="0.3">
      <c r="A58" t="s">
        <v>18</v>
      </c>
      <c r="B58">
        <v>100</v>
      </c>
      <c r="C58">
        <v>1</v>
      </c>
      <c r="D58">
        <v>239.39699999999999</v>
      </c>
      <c r="E58">
        <v>138.535</v>
      </c>
      <c r="F58">
        <v>664</v>
      </c>
    </row>
    <row r="59" spans="1:6" x14ac:dyDescent="0.3">
      <c r="A59" t="s">
        <v>18</v>
      </c>
      <c r="B59">
        <v>100</v>
      </c>
      <c r="C59">
        <v>1</v>
      </c>
      <c r="D59">
        <v>239.55600000000001</v>
      </c>
      <c r="E59">
        <v>138.53899999999999</v>
      </c>
      <c r="F59">
        <v>655</v>
      </c>
    </row>
    <row r="60" spans="1:6" x14ac:dyDescent="0.3">
      <c r="A60" t="s">
        <v>18</v>
      </c>
      <c r="B60">
        <v>100</v>
      </c>
      <c r="C60">
        <v>1</v>
      </c>
      <c r="D60">
        <v>239.21799999999999</v>
      </c>
      <c r="E60">
        <v>138.553</v>
      </c>
      <c r="F60">
        <v>667</v>
      </c>
    </row>
    <row r="61" spans="1:6" x14ac:dyDescent="0.3">
      <c r="A61" t="s">
        <v>19</v>
      </c>
      <c r="B61">
        <v>24</v>
      </c>
      <c r="C61">
        <v>1</v>
      </c>
      <c r="D61">
        <v>2328.248</v>
      </c>
      <c r="E61">
        <v>4.33</v>
      </c>
      <c r="F61">
        <v>264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4.3259999999999996</v>
      </c>
      <c r="F62">
        <v>264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4.3310000000000004</v>
      </c>
      <c r="F63">
        <v>214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4.3109999999999999</v>
      </c>
      <c r="F64">
        <v>226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4.359</v>
      </c>
      <c r="F65">
        <v>217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4.3140000000000001</v>
      </c>
      <c r="F66">
        <v>236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4.3280000000000003</v>
      </c>
      <c r="F67">
        <v>250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4.3150000000000004</v>
      </c>
      <c r="F68">
        <v>248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4.3310000000000004</v>
      </c>
      <c r="F69">
        <v>236</v>
      </c>
    </row>
    <row r="70" spans="1:6" x14ac:dyDescent="0.3">
      <c r="A70" t="s">
        <v>19</v>
      </c>
      <c r="B70">
        <v>24</v>
      </c>
      <c r="C70">
        <v>1</v>
      </c>
      <c r="D70">
        <v>2328.248</v>
      </c>
      <c r="E70">
        <v>4.3140000000000001</v>
      </c>
      <c r="F70">
        <v>207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13.193</v>
      </c>
      <c r="F71">
        <v>293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13.234999999999999</v>
      </c>
      <c r="F72">
        <v>281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13.202999999999999</v>
      </c>
      <c r="F73">
        <v>283</v>
      </c>
    </row>
    <row r="74" spans="1:6" x14ac:dyDescent="0.3">
      <c r="A74" t="s">
        <v>19</v>
      </c>
      <c r="B74">
        <v>47</v>
      </c>
      <c r="C74">
        <v>1</v>
      </c>
      <c r="D74">
        <v>4318.4880000000003</v>
      </c>
      <c r="E74">
        <v>13.215999999999999</v>
      </c>
      <c r="F74">
        <v>296</v>
      </c>
    </row>
    <row r="75" spans="1:6" x14ac:dyDescent="0.3">
      <c r="A75" t="s">
        <v>19</v>
      </c>
      <c r="B75">
        <v>47</v>
      </c>
      <c r="C75">
        <v>1</v>
      </c>
      <c r="D75">
        <v>4318.4880000000003</v>
      </c>
      <c r="E75">
        <v>13.21</v>
      </c>
      <c r="F75">
        <v>292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13.227</v>
      </c>
      <c r="F76">
        <v>290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13.225</v>
      </c>
      <c r="F77">
        <v>296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13.222</v>
      </c>
      <c r="F78">
        <v>290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13.195</v>
      </c>
      <c r="F79">
        <v>343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13.202</v>
      </c>
      <c r="F80">
        <v>377</v>
      </c>
    </row>
    <row r="81" spans="1:6" x14ac:dyDescent="0.3">
      <c r="A81" t="s">
        <v>19</v>
      </c>
      <c r="B81">
        <v>100</v>
      </c>
      <c r="C81">
        <v>1</v>
      </c>
      <c r="D81">
        <v>35272.826999999997</v>
      </c>
      <c r="E81">
        <v>54.811999999999998</v>
      </c>
      <c r="F81">
        <v>329</v>
      </c>
    </row>
    <row r="82" spans="1:6" x14ac:dyDescent="0.3">
      <c r="A82" t="s">
        <v>19</v>
      </c>
      <c r="B82">
        <v>100</v>
      </c>
      <c r="C82">
        <v>1</v>
      </c>
      <c r="D82">
        <v>35272.953000000001</v>
      </c>
      <c r="E82">
        <v>54.899000000000001</v>
      </c>
      <c r="F82">
        <v>326</v>
      </c>
    </row>
    <row r="83" spans="1:6" x14ac:dyDescent="0.3">
      <c r="A83" t="s">
        <v>19</v>
      </c>
      <c r="B83">
        <v>100</v>
      </c>
      <c r="C83">
        <v>1</v>
      </c>
      <c r="D83">
        <v>35217.663999999997</v>
      </c>
      <c r="E83">
        <v>54.881</v>
      </c>
      <c r="F83">
        <v>319</v>
      </c>
    </row>
    <row r="84" spans="1:6" x14ac:dyDescent="0.3">
      <c r="A84" t="s">
        <v>19</v>
      </c>
      <c r="B84">
        <v>100</v>
      </c>
      <c r="C84">
        <v>1</v>
      </c>
      <c r="D84">
        <v>35224.894999999997</v>
      </c>
      <c r="E84">
        <v>54.901000000000003</v>
      </c>
      <c r="F84">
        <v>322</v>
      </c>
    </row>
    <row r="85" spans="1:6" x14ac:dyDescent="0.3">
      <c r="A85" t="s">
        <v>19</v>
      </c>
      <c r="B85">
        <v>100</v>
      </c>
      <c r="C85">
        <v>1</v>
      </c>
      <c r="D85">
        <v>35210.383000000002</v>
      </c>
      <c r="E85">
        <v>54.911999999999999</v>
      </c>
      <c r="F85">
        <v>317</v>
      </c>
    </row>
    <row r="86" spans="1:6" x14ac:dyDescent="0.3">
      <c r="A86" t="s">
        <v>19</v>
      </c>
      <c r="B86">
        <v>100</v>
      </c>
      <c r="C86">
        <v>1</v>
      </c>
      <c r="D86">
        <v>35272.953000000001</v>
      </c>
      <c r="E86">
        <v>54.905000000000001</v>
      </c>
      <c r="F86">
        <v>332</v>
      </c>
    </row>
    <row r="87" spans="1:6" x14ac:dyDescent="0.3">
      <c r="A87" t="s">
        <v>19</v>
      </c>
      <c r="B87">
        <v>100</v>
      </c>
      <c r="C87">
        <v>1</v>
      </c>
      <c r="D87">
        <v>35272.953000000001</v>
      </c>
      <c r="E87">
        <v>54.826000000000001</v>
      </c>
      <c r="F87">
        <v>366</v>
      </c>
    </row>
    <row r="88" spans="1:6" x14ac:dyDescent="0.3">
      <c r="A88" t="s">
        <v>19</v>
      </c>
      <c r="B88">
        <v>100</v>
      </c>
      <c r="C88">
        <v>1</v>
      </c>
      <c r="D88">
        <v>35246.271000000001</v>
      </c>
      <c r="E88">
        <v>54.890999999999998</v>
      </c>
      <c r="F88">
        <v>389</v>
      </c>
    </row>
    <row r="89" spans="1:6" x14ac:dyDescent="0.3">
      <c r="A89" t="s">
        <v>19</v>
      </c>
      <c r="B89">
        <v>100</v>
      </c>
      <c r="C89">
        <v>1</v>
      </c>
      <c r="D89">
        <v>35235.462</v>
      </c>
      <c r="E89">
        <v>54.860999999999997</v>
      </c>
      <c r="F89">
        <v>398</v>
      </c>
    </row>
    <row r="90" spans="1:6" x14ac:dyDescent="0.3">
      <c r="A90" t="s">
        <v>19</v>
      </c>
      <c r="B90">
        <v>100</v>
      </c>
      <c r="C90">
        <v>1</v>
      </c>
      <c r="D90">
        <v>35272.953000000001</v>
      </c>
      <c r="E90">
        <v>54.905999999999999</v>
      </c>
      <c r="F90">
        <v>403</v>
      </c>
    </row>
    <row r="91" spans="1:6" x14ac:dyDescent="0.3">
      <c r="A91" t="s">
        <v>20</v>
      </c>
      <c r="B91">
        <v>30</v>
      </c>
      <c r="C91">
        <v>1</v>
      </c>
      <c r="D91">
        <v>658.23299999999995</v>
      </c>
      <c r="E91">
        <v>6.4960000000000004</v>
      </c>
      <c r="F91">
        <v>292</v>
      </c>
    </row>
    <row r="92" spans="1:6" x14ac:dyDescent="0.3">
      <c r="A92" t="s">
        <v>20</v>
      </c>
      <c r="B92">
        <v>30</v>
      </c>
      <c r="C92">
        <v>1</v>
      </c>
      <c r="D92">
        <v>658.23299999999995</v>
      </c>
      <c r="E92">
        <v>6.476</v>
      </c>
      <c r="F92">
        <v>293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6.47</v>
      </c>
      <c r="F93">
        <v>309</v>
      </c>
    </row>
    <row r="94" spans="1:6" x14ac:dyDescent="0.3">
      <c r="A94" t="s">
        <v>20</v>
      </c>
      <c r="B94">
        <v>30</v>
      </c>
      <c r="C94">
        <v>1</v>
      </c>
      <c r="D94">
        <v>658.23299999999995</v>
      </c>
      <c r="E94">
        <v>6.4669999999999996</v>
      </c>
      <c r="F94">
        <v>272</v>
      </c>
    </row>
    <row r="95" spans="1:6" x14ac:dyDescent="0.3">
      <c r="A95" t="s">
        <v>20</v>
      </c>
      <c r="B95">
        <v>30</v>
      </c>
      <c r="C95">
        <v>1</v>
      </c>
      <c r="D95">
        <v>658.23299999999995</v>
      </c>
      <c r="E95">
        <v>6.4720000000000004</v>
      </c>
      <c r="F95">
        <v>247</v>
      </c>
    </row>
    <row r="96" spans="1:6" x14ac:dyDescent="0.3">
      <c r="A96" t="s">
        <v>20</v>
      </c>
      <c r="B96">
        <v>30</v>
      </c>
      <c r="C96">
        <v>1</v>
      </c>
      <c r="D96">
        <v>658.23299999999995</v>
      </c>
      <c r="E96">
        <v>6.468</v>
      </c>
      <c r="F96">
        <v>286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6.476</v>
      </c>
      <c r="F97">
        <v>272</v>
      </c>
    </row>
    <row r="98" spans="1:6" x14ac:dyDescent="0.3">
      <c r="A98" t="s">
        <v>20</v>
      </c>
      <c r="B98">
        <v>30</v>
      </c>
      <c r="C98">
        <v>1</v>
      </c>
      <c r="D98">
        <v>657.35599999999999</v>
      </c>
      <c r="E98">
        <v>6.4690000000000003</v>
      </c>
      <c r="F98">
        <v>267</v>
      </c>
    </row>
    <row r="99" spans="1:6" x14ac:dyDescent="0.3">
      <c r="A99" t="s">
        <v>20</v>
      </c>
      <c r="B99">
        <v>30</v>
      </c>
      <c r="C99">
        <v>1</v>
      </c>
      <c r="D99">
        <v>658.23299999999995</v>
      </c>
      <c r="E99">
        <v>6.47</v>
      </c>
      <c r="F99">
        <v>266</v>
      </c>
    </row>
    <row r="100" spans="1:6" x14ac:dyDescent="0.3">
      <c r="A100" t="s">
        <v>20</v>
      </c>
      <c r="B100">
        <v>30</v>
      </c>
      <c r="C100">
        <v>1</v>
      </c>
      <c r="D100">
        <v>658.23299999999995</v>
      </c>
      <c r="E100">
        <v>6.4749999999999996</v>
      </c>
      <c r="F100">
        <v>215</v>
      </c>
    </row>
    <row r="101" spans="1:6" x14ac:dyDescent="0.3">
      <c r="A101" t="s">
        <v>20</v>
      </c>
      <c r="B101">
        <v>50</v>
      </c>
      <c r="C101">
        <v>1</v>
      </c>
      <c r="D101">
        <v>996.56600000000003</v>
      </c>
      <c r="E101">
        <v>14.717000000000001</v>
      </c>
      <c r="F101">
        <v>302</v>
      </c>
    </row>
    <row r="102" spans="1:6" x14ac:dyDescent="0.3">
      <c r="A102" t="s">
        <v>20</v>
      </c>
      <c r="B102">
        <v>50</v>
      </c>
      <c r="C102">
        <v>1</v>
      </c>
      <c r="D102">
        <v>994.471</v>
      </c>
      <c r="E102">
        <v>14.712999999999999</v>
      </c>
      <c r="F102">
        <v>291</v>
      </c>
    </row>
    <row r="103" spans="1:6" x14ac:dyDescent="0.3">
      <c r="A103" t="s">
        <v>20</v>
      </c>
      <c r="B103">
        <v>50</v>
      </c>
      <c r="C103">
        <v>1</v>
      </c>
      <c r="D103">
        <v>990.79200000000003</v>
      </c>
      <c r="E103">
        <v>14.708</v>
      </c>
      <c r="F103">
        <v>302</v>
      </c>
    </row>
    <row r="104" spans="1:6" x14ac:dyDescent="0.3">
      <c r="A104" t="s">
        <v>20</v>
      </c>
      <c r="B104">
        <v>50</v>
      </c>
      <c r="C104">
        <v>1</v>
      </c>
      <c r="D104">
        <v>996.14</v>
      </c>
      <c r="E104">
        <v>14.682</v>
      </c>
      <c r="F104">
        <v>276</v>
      </c>
    </row>
    <row r="105" spans="1:6" x14ac:dyDescent="0.3">
      <c r="A105" t="s">
        <v>20</v>
      </c>
      <c r="B105">
        <v>50</v>
      </c>
      <c r="C105">
        <v>1</v>
      </c>
      <c r="D105">
        <v>996.25300000000004</v>
      </c>
      <c r="E105">
        <v>14.689</v>
      </c>
      <c r="F105">
        <v>303</v>
      </c>
    </row>
    <row r="106" spans="1:6" x14ac:dyDescent="0.3">
      <c r="A106" t="s">
        <v>20</v>
      </c>
      <c r="B106">
        <v>50</v>
      </c>
      <c r="C106">
        <v>1</v>
      </c>
      <c r="D106">
        <v>995.471</v>
      </c>
      <c r="E106">
        <v>14.696</v>
      </c>
      <c r="F106">
        <v>287</v>
      </c>
    </row>
    <row r="107" spans="1:6" x14ac:dyDescent="0.3">
      <c r="A107" t="s">
        <v>20</v>
      </c>
      <c r="B107">
        <v>50</v>
      </c>
      <c r="C107">
        <v>1</v>
      </c>
      <c r="D107">
        <v>992.18200000000002</v>
      </c>
      <c r="E107">
        <v>14.715</v>
      </c>
      <c r="F107">
        <v>355</v>
      </c>
    </row>
    <row r="108" spans="1:6" x14ac:dyDescent="0.3">
      <c r="A108" t="s">
        <v>20</v>
      </c>
      <c r="B108">
        <v>50</v>
      </c>
      <c r="C108">
        <v>1</v>
      </c>
      <c r="D108">
        <v>993.00800000000004</v>
      </c>
      <c r="E108">
        <v>14.696999999999999</v>
      </c>
      <c r="F108">
        <v>408</v>
      </c>
    </row>
    <row r="109" spans="1:6" x14ac:dyDescent="0.3">
      <c r="A109" t="s">
        <v>20</v>
      </c>
      <c r="B109">
        <v>50</v>
      </c>
      <c r="C109">
        <v>1</v>
      </c>
      <c r="D109">
        <v>996.86500000000001</v>
      </c>
      <c r="E109">
        <v>14.705</v>
      </c>
      <c r="F109">
        <v>378</v>
      </c>
    </row>
    <row r="110" spans="1:6" x14ac:dyDescent="0.3">
      <c r="A110" t="s">
        <v>20</v>
      </c>
      <c r="B110">
        <v>50</v>
      </c>
      <c r="C110">
        <v>1</v>
      </c>
      <c r="D110">
        <v>992.125</v>
      </c>
      <c r="E110">
        <v>14.69</v>
      </c>
      <c r="F110">
        <v>375</v>
      </c>
    </row>
    <row r="111" spans="1:6" x14ac:dyDescent="0.3">
      <c r="A111" t="s">
        <v>20</v>
      </c>
      <c r="B111">
        <v>100</v>
      </c>
      <c r="C111">
        <v>1</v>
      </c>
      <c r="D111">
        <v>1756.92</v>
      </c>
      <c r="E111">
        <v>32.533999999999999</v>
      </c>
      <c r="F111">
        <v>213</v>
      </c>
    </row>
    <row r="112" spans="1:6" x14ac:dyDescent="0.3">
      <c r="A112" t="s">
        <v>20</v>
      </c>
      <c r="B112">
        <v>100</v>
      </c>
      <c r="C112">
        <v>1</v>
      </c>
      <c r="D112">
        <v>1754.423</v>
      </c>
      <c r="E112">
        <v>32.468000000000004</v>
      </c>
      <c r="F112">
        <v>209</v>
      </c>
    </row>
    <row r="113" spans="1:6" x14ac:dyDescent="0.3">
      <c r="A113" t="s">
        <v>20</v>
      </c>
      <c r="B113">
        <v>100</v>
      </c>
      <c r="C113">
        <v>1</v>
      </c>
      <c r="D113">
        <v>1755.087</v>
      </c>
      <c r="E113">
        <v>32.600999999999999</v>
      </c>
      <c r="F113">
        <v>211</v>
      </c>
    </row>
    <row r="114" spans="1:6" x14ac:dyDescent="0.3">
      <c r="A114" t="s">
        <v>20</v>
      </c>
      <c r="B114">
        <v>100</v>
      </c>
      <c r="C114">
        <v>1</v>
      </c>
      <c r="D114">
        <v>1757.307</v>
      </c>
      <c r="E114">
        <v>32.46</v>
      </c>
      <c r="F114">
        <v>208</v>
      </c>
    </row>
    <row r="115" spans="1:6" x14ac:dyDescent="0.3">
      <c r="A115" t="s">
        <v>20</v>
      </c>
      <c r="B115">
        <v>100</v>
      </c>
      <c r="C115">
        <v>1</v>
      </c>
      <c r="D115">
        <v>1758.03</v>
      </c>
      <c r="E115">
        <v>32.518000000000001</v>
      </c>
      <c r="F115">
        <v>207</v>
      </c>
    </row>
    <row r="116" spans="1:6" x14ac:dyDescent="0.3">
      <c r="A116" t="s">
        <v>20</v>
      </c>
      <c r="B116">
        <v>100</v>
      </c>
      <c r="C116">
        <v>1</v>
      </c>
      <c r="D116">
        <v>1755.8879999999999</v>
      </c>
      <c r="E116">
        <v>32.459000000000003</v>
      </c>
      <c r="F116">
        <v>207</v>
      </c>
    </row>
    <row r="117" spans="1:6" x14ac:dyDescent="0.3">
      <c r="A117" t="s">
        <v>20</v>
      </c>
      <c r="B117">
        <v>100</v>
      </c>
      <c r="C117">
        <v>1</v>
      </c>
      <c r="D117">
        <v>1758.6869999999999</v>
      </c>
      <c r="E117">
        <v>32.466000000000001</v>
      </c>
      <c r="F117">
        <v>209</v>
      </c>
    </row>
    <row r="118" spans="1:6" x14ac:dyDescent="0.3">
      <c r="A118" t="s">
        <v>20</v>
      </c>
      <c r="B118">
        <v>100</v>
      </c>
      <c r="C118">
        <v>1</v>
      </c>
      <c r="D118">
        <v>1755.2090000000001</v>
      </c>
      <c r="E118">
        <v>32.552999999999997</v>
      </c>
      <c r="F118">
        <v>254</v>
      </c>
    </row>
    <row r="119" spans="1:6" x14ac:dyDescent="0.3">
      <c r="A119" t="s">
        <v>20</v>
      </c>
      <c r="B119">
        <v>100</v>
      </c>
      <c r="C119">
        <v>1</v>
      </c>
      <c r="D119">
        <v>1755.683</v>
      </c>
      <c r="E119">
        <v>32.517000000000003</v>
      </c>
      <c r="F119">
        <v>262</v>
      </c>
    </row>
    <row r="120" spans="1:6" x14ac:dyDescent="0.3">
      <c r="A120" t="s">
        <v>20</v>
      </c>
      <c r="B120">
        <v>100</v>
      </c>
      <c r="C120">
        <v>1</v>
      </c>
      <c r="D120">
        <v>1755.2529999999999</v>
      </c>
      <c r="E120">
        <v>32.512999999999998</v>
      </c>
      <c r="F120">
        <v>266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1.381</v>
      </c>
      <c r="F121">
        <v>103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1.3740000000000001</v>
      </c>
      <c r="F122">
        <v>72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1.365</v>
      </c>
      <c r="F123">
        <v>104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1.3779999999999999</v>
      </c>
      <c r="F124">
        <v>129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1.3859999999999999</v>
      </c>
      <c r="F125">
        <v>171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1.3759999999999999</v>
      </c>
      <c r="F126">
        <v>445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1.37</v>
      </c>
      <c r="F127">
        <v>84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1.38</v>
      </c>
      <c r="F128">
        <v>133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1.373</v>
      </c>
      <c r="F129">
        <v>127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1.379</v>
      </c>
      <c r="F130">
        <v>296</v>
      </c>
    </row>
    <row r="131" spans="1:6" x14ac:dyDescent="0.3">
      <c r="A131" t="s">
        <v>33</v>
      </c>
      <c r="B131">
        <v>209</v>
      </c>
      <c r="C131">
        <v>1</v>
      </c>
      <c r="D131">
        <v>76.587999999999994</v>
      </c>
      <c r="E131">
        <v>180.874</v>
      </c>
      <c r="F131">
        <v>277</v>
      </c>
    </row>
    <row r="132" spans="1:6" x14ac:dyDescent="0.3">
      <c r="A132" t="s">
        <v>33</v>
      </c>
      <c r="B132">
        <v>209</v>
      </c>
      <c r="C132">
        <v>1</v>
      </c>
      <c r="D132">
        <v>76.638000000000005</v>
      </c>
      <c r="E132">
        <v>181.14599999999999</v>
      </c>
      <c r="F132">
        <v>292</v>
      </c>
    </row>
    <row r="133" spans="1:6" x14ac:dyDescent="0.3">
      <c r="A133" t="s">
        <v>33</v>
      </c>
      <c r="B133">
        <v>209</v>
      </c>
      <c r="C133">
        <v>1</v>
      </c>
      <c r="D133">
        <v>76.400000000000006</v>
      </c>
      <c r="E133">
        <v>181.148</v>
      </c>
      <c r="F133">
        <v>292</v>
      </c>
    </row>
    <row r="134" spans="1:6" x14ac:dyDescent="0.3">
      <c r="A134" t="s">
        <v>33</v>
      </c>
      <c r="B134">
        <v>209</v>
      </c>
      <c r="C134">
        <v>1</v>
      </c>
      <c r="D134">
        <v>76.876000000000005</v>
      </c>
      <c r="E134">
        <v>180.851</v>
      </c>
      <c r="F134">
        <v>276</v>
      </c>
    </row>
    <row r="135" spans="1:6" x14ac:dyDescent="0.3">
      <c r="A135" t="s">
        <v>33</v>
      </c>
      <c r="B135">
        <v>209</v>
      </c>
      <c r="C135">
        <v>1</v>
      </c>
      <c r="D135">
        <v>76.820999999999998</v>
      </c>
      <c r="E135">
        <v>180.98</v>
      </c>
      <c r="F135">
        <v>273</v>
      </c>
    </row>
    <row r="136" spans="1:6" x14ac:dyDescent="0.3">
      <c r="A136" t="s">
        <v>33</v>
      </c>
      <c r="B136">
        <v>209</v>
      </c>
      <c r="C136">
        <v>1</v>
      </c>
      <c r="D136">
        <v>76.658000000000001</v>
      </c>
      <c r="E136">
        <v>180.73500000000001</v>
      </c>
      <c r="F136">
        <v>276</v>
      </c>
    </row>
    <row r="137" spans="1:6" x14ac:dyDescent="0.3">
      <c r="A137" t="s">
        <v>33</v>
      </c>
      <c r="B137">
        <v>209</v>
      </c>
      <c r="C137">
        <v>1</v>
      </c>
      <c r="D137">
        <v>76.733000000000004</v>
      </c>
      <c r="E137">
        <v>181.21799999999999</v>
      </c>
      <c r="F137">
        <v>282</v>
      </c>
    </row>
    <row r="138" spans="1:6" x14ac:dyDescent="0.3">
      <c r="A138" t="s">
        <v>33</v>
      </c>
      <c r="B138">
        <v>209</v>
      </c>
      <c r="C138">
        <v>1</v>
      </c>
      <c r="D138">
        <v>77.003</v>
      </c>
      <c r="E138">
        <v>180.739</v>
      </c>
      <c r="F138">
        <v>282</v>
      </c>
    </row>
    <row r="139" spans="1:6" x14ac:dyDescent="0.3">
      <c r="A139" t="s">
        <v>33</v>
      </c>
      <c r="B139">
        <v>209</v>
      </c>
      <c r="C139">
        <v>1</v>
      </c>
      <c r="D139">
        <v>76.593000000000004</v>
      </c>
      <c r="E139">
        <v>181.07900000000001</v>
      </c>
      <c r="F139">
        <v>276</v>
      </c>
    </row>
    <row r="140" spans="1:6" x14ac:dyDescent="0.3">
      <c r="A140" t="s">
        <v>33</v>
      </c>
      <c r="B140">
        <v>209</v>
      </c>
      <c r="C140">
        <v>1</v>
      </c>
      <c r="D140">
        <v>76.584999999999994</v>
      </c>
      <c r="E140">
        <v>180.79900000000001</v>
      </c>
      <c r="F140">
        <v>282</v>
      </c>
    </row>
    <row r="141" spans="1:6" x14ac:dyDescent="0.3">
      <c r="A141" t="s">
        <v>33</v>
      </c>
      <c r="B141">
        <v>324</v>
      </c>
      <c r="C141">
        <v>1</v>
      </c>
      <c r="D141">
        <v>119.249</v>
      </c>
      <c r="E141">
        <v>419.74299999999999</v>
      </c>
      <c r="F141">
        <v>234</v>
      </c>
    </row>
    <row r="142" spans="1:6" x14ac:dyDescent="0.3">
      <c r="A142" t="s">
        <v>33</v>
      </c>
      <c r="B142">
        <v>324</v>
      </c>
      <c r="C142">
        <v>1</v>
      </c>
      <c r="D142">
        <v>119.532</v>
      </c>
      <c r="E142">
        <v>419.625</v>
      </c>
      <c r="F142">
        <v>245</v>
      </c>
    </row>
    <row r="143" spans="1:6" x14ac:dyDescent="0.3">
      <c r="A143" t="s">
        <v>33</v>
      </c>
      <c r="B143">
        <v>324</v>
      </c>
      <c r="C143">
        <v>1</v>
      </c>
      <c r="D143">
        <v>118.587</v>
      </c>
      <c r="E143">
        <v>419.96199999999999</v>
      </c>
      <c r="F143">
        <v>243</v>
      </c>
    </row>
    <row r="144" spans="1:6" x14ac:dyDescent="0.3">
      <c r="A144" t="s">
        <v>33</v>
      </c>
      <c r="B144">
        <v>324</v>
      </c>
      <c r="C144">
        <v>1</v>
      </c>
      <c r="D144">
        <v>119.10899999999999</v>
      </c>
      <c r="E144">
        <v>420.18799999999999</v>
      </c>
      <c r="F144">
        <v>246</v>
      </c>
    </row>
    <row r="145" spans="1:6" x14ac:dyDescent="0.3">
      <c r="A145" t="s">
        <v>33</v>
      </c>
      <c r="B145">
        <v>324</v>
      </c>
      <c r="C145">
        <v>1</v>
      </c>
      <c r="D145">
        <v>118.565</v>
      </c>
      <c r="E145">
        <v>420.666</v>
      </c>
      <c r="F145">
        <v>250</v>
      </c>
    </row>
    <row r="146" spans="1:6" x14ac:dyDescent="0.3">
      <c r="A146" t="s">
        <v>33</v>
      </c>
      <c r="B146">
        <v>324</v>
      </c>
      <c r="C146">
        <v>1</v>
      </c>
      <c r="D146">
        <v>119.27</v>
      </c>
      <c r="E146">
        <v>420.005</v>
      </c>
      <c r="F146">
        <v>239</v>
      </c>
    </row>
    <row r="147" spans="1:6" x14ac:dyDescent="0.3">
      <c r="A147" t="s">
        <v>33</v>
      </c>
      <c r="B147">
        <v>324</v>
      </c>
      <c r="C147">
        <v>1</v>
      </c>
      <c r="D147">
        <v>119.304</v>
      </c>
      <c r="E147">
        <v>420.517</v>
      </c>
      <c r="F147">
        <v>237</v>
      </c>
    </row>
    <row r="148" spans="1:6" x14ac:dyDescent="0.3">
      <c r="A148" t="s">
        <v>33</v>
      </c>
      <c r="B148">
        <v>324</v>
      </c>
      <c r="C148">
        <v>1</v>
      </c>
      <c r="D148">
        <v>118.998</v>
      </c>
      <c r="E148">
        <v>419.96100000000001</v>
      </c>
      <c r="F148">
        <v>248</v>
      </c>
    </row>
    <row r="149" spans="1:6" x14ac:dyDescent="0.3">
      <c r="A149" t="s">
        <v>33</v>
      </c>
      <c r="B149">
        <v>324</v>
      </c>
      <c r="C149">
        <v>1</v>
      </c>
      <c r="D149">
        <v>118.76300000000001</v>
      </c>
      <c r="E149">
        <v>420.27300000000002</v>
      </c>
      <c r="F149">
        <v>242</v>
      </c>
    </row>
    <row r="150" spans="1:6" x14ac:dyDescent="0.3">
      <c r="A150" t="s">
        <v>33</v>
      </c>
      <c r="B150">
        <v>324</v>
      </c>
      <c r="C150">
        <v>1</v>
      </c>
      <c r="D150">
        <v>119.346</v>
      </c>
      <c r="E150">
        <v>419.97899999999998</v>
      </c>
      <c r="F150">
        <v>240</v>
      </c>
    </row>
    <row r="151" spans="1:6" x14ac:dyDescent="0.3">
      <c r="A151" t="s">
        <v>34</v>
      </c>
      <c r="B151">
        <v>40</v>
      </c>
      <c r="C151">
        <v>1</v>
      </c>
      <c r="D151">
        <v>16.792999999999999</v>
      </c>
      <c r="E151">
        <v>11.622999999999999</v>
      </c>
      <c r="F151">
        <v>323</v>
      </c>
    </row>
    <row r="152" spans="1:6" x14ac:dyDescent="0.3">
      <c r="A152" t="s">
        <v>34</v>
      </c>
      <c r="B152">
        <v>40</v>
      </c>
      <c r="C152">
        <v>1</v>
      </c>
      <c r="D152">
        <v>16.672999999999998</v>
      </c>
      <c r="E152">
        <v>11.635999999999999</v>
      </c>
      <c r="F152">
        <v>289</v>
      </c>
    </row>
    <row r="153" spans="1:6" x14ac:dyDescent="0.3">
      <c r="A153" t="s">
        <v>34</v>
      </c>
      <c r="B153">
        <v>40</v>
      </c>
      <c r="C153">
        <v>1</v>
      </c>
      <c r="D153">
        <v>16.641999999999999</v>
      </c>
      <c r="E153">
        <v>11.609</v>
      </c>
      <c r="F153">
        <v>308</v>
      </c>
    </row>
    <row r="154" spans="1:6" x14ac:dyDescent="0.3">
      <c r="A154" t="s">
        <v>34</v>
      </c>
      <c r="B154">
        <v>40</v>
      </c>
      <c r="C154">
        <v>1</v>
      </c>
      <c r="D154">
        <v>16.669</v>
      </c>
      <c r="E154">
        <v>11.611000000000001</v>
      </c>
      <c r="F154">
        <v>301</v>
      </c>
    </row>
    <row r="155" spans="1:6" x14ac:dyDescent="0.3">
      <c r="A155" t="s">
        <v>34</v>
      </c>
      <c r="B155">
        <v>40</v>
      </c>
      <c r="C155">
        <v>1</v>
      </c>
      <c r="D155">
        <v>16.73</v>
      </c>
      <c r="E155">
        <v>11.608000000000001</v>
      </c>
      <c r="F155">
        <v>308</v>
      </c>
    </row>
    <row r="156" spans="1:6" x14ac:dyDescent="0.3">
      <c r="A156" t="s">
        <v>34</v>
      </c>
      <c r="B156">
        <v>40</v>
      </c>
      <c r="C156">
        <v>1</v>
      </c>
      <c r="D156">
        <v>16.75</v>
      </c>
      <c r="E156">
        <v>11.611000000000001</v>
      </c>
      <c r="F156">
        <v>317</v>
      </c>
    </row>
    <row r="157" spans="1:6" x14ac:dyDescent="0.3">
      <c r="A157" t="s">
        <v>34</v>
      </c>
      <c r="B157">
        <v>40</v>
      </c>
      <c r="C157">
        <v>1</v>
      </c>
      <c r="D157">
        <v>16.515000000000001</v>
      </c>
      <c r="E157">
        <v>11.615</v>
      </c>
      <c r="F157">
        <v>296</v>
      </c>
    </row>
    <row r="158" spans="1:6" x14ac:dyDescent="0.3">
      <c r="A158" t="s">
        <v>34</v>
      </c>
      <c r="B158">
        <v>40</v>
      </c>
      <c r="C158">
        <v>1</v>
      </c>
      <c r="D158">
        <v>16.859000000000002</v>
      </c>
      <c r="E158">
        <v>11.643000000000001</v>
      </c>
      <c r="F158">
        <v>307</v>
      </c>
    </row>
    <row r="159" spans="1:6" x14ac:dyDescent="0.3">
      <c r="A159" t="s">
        <v>34</v>
      </c>
      <c r="B159">
        <v>40</v>
      </c>
      <c r="C159">
        <v>1</v>
      </c>
      <c r="D159">
        <v>16.78</v>
      </c>
      <c r="E159">
        <v>11.617000000000001</v>
      </c>
      <c r="F159">
        <v>323</v>
      </c>
    </row>
    <row r="160" spans="1:6" x14ac:dyDescent="0.3">
      <c r="A160" t="s">
        <v>34</v>
      </c>
      <c r="B160">
        <v>40</v>
      </c>
      <c r="C160">
        <v>1</v>
      </c>
      <c r="D160">
        <v>16.596</v>
      </c>
      <c r="E160">
        <v>11.622</v>
      </c>
      <c r="F160">
        <v>320</v>
      </c>
    </row>
    <row r="161" spans="1:6" x14ac:dyDescent="0.3">
      <c r="A161" t="s">
        <v>34</v>
      </c>
      <c r="B161">
        <v>96</v>
      </c>
      <c r="C161">
        <v>1</v>
      </c>
      <c r="D161">
        <v>35.122999999999998</v>
      </c>
      <c r="E161">
        <v>51.268999999999998</v>
      </c>
      <c r="F161">
        <v>342</v>
      </c>
    </row>
    <row r="162" spans="1:6" x14ac:dyDescent="0.3">
      <c r="A162" t="s">
        <v>34</v>
      </c>
      <c r="B162">
        <v>96</v>
      </c>
      <c r="C162">
        <v>1</v>
      </c>
      <c r="D162">
        <v>35.186</v>
      </c>
      <c r="E162">
        <v>51.280999999999999</v>
      </c>
      <c r="F162">
        <v>343</v>
      </c>
    </row>
    <row r="163" spans="1:6" x14ac:dyDescent="0.3">
      <c r="A163" t="s">
        <v>34</v>
      </c>
      <c r="B163">
        <v>96</v>
      </c>
      <c r="C163">
        <v>1</v>
      </c>
      <c r="D163">
        <v>35.209000000000003</v>
      </c>
      <c r="E163">
        <v>51.37</v>
      </c>
      <c r="F163">
        <v>346</v>
      </c>
    </row>
    <row r="164" spans="1:6" x14ac:dyDescent="0.3">
      <c r="A164" t="s">
        <v>34</v>
      </c>
      <c r="B164">
        <v>96</v>
      </c>
      <c r="C164">
        <v>1</v>
      </c>
      <c r="D164">
        <v>35.156999999999996</v>
      </c>
      <c r="E164">
        <v>51.302999999999997</v>
      </c>
      <c r="F164">
        <v>340</v>
      </c>
    </row>
    <row r="165" spans="1:6" x14ac:dyDescent="0.3">
      <c r="A165" t="s">
        <v>34</v>
      </c>
      <c r="B165">
        <v>96</v>
      </c>
      <c r="C165">
        <v>1</v>
      </c>
      <c r="D165">
        <v>35.134</v>
      </c>
      <c r="E165">
        <v>51.325000000000003</v>
      </c>
      <c r="F165">
        <v>341</v>
      </c>
    </row>
    <row r="166" spans="1:6" x14ac:dyDescent="0.3">
      <c r="A166" t="s">
        <v>34</v>
      </c>
      <c r="B166">
        <v>96</v>
      </c>
      <c r="C166">
        <v>1</v>
      </c>
      <c r="D166">
        <v>35.204999999999998</v>
      </c>
      <c r="E166">
        <v>51.401000000000003</v>
      </c>
      <c r="F166">
        <v>342</v>
      </c>
    </row>
    <row r="167" spans="1:6" x14ac:dyDescent="0.3">
      <c r="A167" t="s">
        <v>34</v>
      </c>
      <c r="B167">
        <v>96</v>
      </c>
      <c r="C167">
        <v>1</v>
      </c>
      <c r="D167">
        <v>35.206000000000003</v>
      </c>
      <c r="E167">
        <v>51.317</v>
      </c>
      <c r="F167">
        <v>384</v>
      </c>
    </row>
    <row r="168" spans="1:6" x14ac:dyDescent="0.3">
      <c r="A168" t="s">
        <v>34</v>
      </c>
      <c r="B168">
        <v>96</v>
      </c>
      <c r="C168">
        <v>1</v>
      </c>
      <c r="D168">
        <v>35.128</v>
      </c>
      <c r="E168">
        <v>51.338999999999999</v>
      </c>
      <c r="F168">
        <v>442</v>
      </c>
    </row>
    <row r="169" spans="1:6" x14ac:dyDescent="0.3">
      <c r="A169" t="s">
        <v>34</v>
      </c>
      <c r="B169">
        <v>96</v>
      </c>
      <c r="C169">
        <v>1</v>
      </c>
      <c r="D169">
        <v>35.100999999999999</v>
      </c>
      <c r="E169">
        <v>51.290999999999997</v>
      </c>
      <c r="F169">
        <v>433</v>
      </c>
    </row>
    <row r="170" spans="1:6" x14ac:dyDescent="0.3">
      <c r="A170" t="s">
        <v>34</v>
      </c>
      <c r="B170">
        <v>96</v>
      </c>
      <c r="C170">
        <v>1</v>
      </c>
      <c r="D170">
        <v>35.215000000000003</v>
      </c>
      <c r="E170">
        <v>51.287999999999997</v>
      </c>
      <c r="F170">
        <v>440</v>
      </c>
    </row>
    <row r="171" spans="1:6" x14ac:dyDescent="0.3">
      <c r="A171" t="s">
        <v>34</v>
      </c>
      <c r="B171">
        <v>224</v>
      </c>
      <c r="C171">
        <v>1</v>
      </c>
      <c r="D171">
        <v>71.974999999999994</v>
      </c>
      <c r="E171">
        <v>255.98099999999999</v>
      </c>
      <c r="F171">
        <v>334</v>
      </c>
    </row>
    <row r="172" spans="1:6" x14ac:dyDescent="0.3">
      <c r="A172" t="s">
        <v>34</v>
      </c>
      <c r="B172">
        <v>224</v>
      </c>
      <c r="C172">
        <v>1</v>
      </c>
      <c r="D172">
        <v>71.918000000000006</v>
      </c>
      <c r="E172">
        <v>255.571</v>
      </c>
      <c r="F172">
        <v>331</v>
      </c>
    </row>
    <row r="173" spans="1:6" x14ac:dyDescent="0.3">
      <c r="A173" t="s">
        <v>34</v>
      </c>
      <c r="B173">
        <v>224</v>
      </c>
      <c r="C173">
        <v>1</v>
      </c>
      <c r="D173">
        <v>71.912000000000006</v>
      </c>
      <c r="E173">
        <v>255.55199999999999</v>
      </c>
      <c r="F173">
        <v>334</v>
      </c>
    </row>
    <row r="174" spans="1:6" x14ac:dyDescent="0.3">
      <c r="A174" t="s">
        <v>34</v>
      </c>
      <c r="B174">
        <v>224</v>
      </c>
      <c r="C174">
        <v>1</v>
      </c>
      <c r="D174">
        <v>71.983999999999995</v>
      </c>
      <c r="E174">
        <v>255.70400000000001</v>
      </c>
      <c r="F174">
        <v>335</v>
      </c>
    </row>
    <row r="175" spans="1:6" x14ac:dyDescent="0.3">
      <c r="A175" t="s">
        <v>34</v>
      </c>
      <c r="B175">
        <v>224</v>
      </c>
      <c r="C175">
        <v>1</v>
      </c>
      <c r="D175">
        <v>72.009</v>
      </c>
      <c r="E175">
        <v>255.947</v>
      </c>
      <c r="F175">
        <v>332</v>
      </c>
    </row>
    <row r="176" spans="1:6" x14ac:dyDescent="0.3">
      <c r="A176" t="s">
        <v>34</v>
      </c>
      <c r="B176">
        <v>224</v>
      </c>
      <c r="C176">
        <v>1</v>
      </c>
      <c r="D176">
        <v>71.918999999999997</v>
      </c>
      <c r="E176">
        <v>255.53100000000001</v>
      </c>
      <c r="F176">
        <v>338</v>
      </c>
    </row>
    <row r="177" spans="1:6" x14ac:dyDescent="0.3">
      <c r="A177" t="s">
        <v>34</v>
      </c>
      <c r="B177">
        <v>224</v>
      </c>
      <c r="C177">
        <v>1</v>
      </c>
      <c r="D177">
        <v>71.936000000000007</v>
      </c>
      <c r="E177">
        <v>255.74100000000001</v>
      </c>
      <c r="F177">
        <v>331</v>
      </c>
    </row>
    <row r="178" spans="1:6" x14ac:dyDescent="0.3">
      <c r="A178" t="s">
        <v>34</v>
      </c>
      <c r="B178">
        <v>224</v>
      </c>
      <c r="C178">
        <v>1</v>
      </c>
      <c r="D178">
        <v>71.92</v>
      </c>
      <c r="E178">
        <v>256.02699999999999</v>
      </c>
      <c r="F178">
        <v>338</v>
      </c>
    </row>
    <row r="179" spans="1:6" x14ac:dyDescent="0.3">
      <c r="A179" t="s">
        <v>34</v>
      </c>
      <c r="B179">
        <v>224</v>
      </c>
      <c r="C179">
        <v>1</v>
      </c>
      <c r="D179">
        <v>71.977000000000004</v>
      </c>
      <c r="E179">
        <v>255.798</v>
      </c>
      <c r="F179">
        <v>331</v>
      </c>
    </row>
    <row r="180" spans="1:6" x14ac:dyDescent="0.3">
      <c r="A180" t="s">
        <v>34</v>
      </c>
      <c r="B180">
        <v>224</v>
      </c>
      <c r="C180">
        <v>1</v>
      </c>
      <c r="D180">
        <v>71.933000000000007</v>
      </c>
      <c r="E180">
        <v>255.93799999999999</v>
      </c>
      <c r="F180">
        <v>336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80"/>
  <sheetViews>
    <sheetView zoomScale="85" zoomScaleNormal="85" workbookViewId="0">
      <selection activeCell="C4" sqref="C4"/>
    </sheetView>
  </sheetViews>
  <sheetFormatPr defaultRowHeight="14" x14ac:dyDescent="0.3"/>
  <cols>
    <col min="1" max="1" width="10.25"/>
    <col min="2" max="2" width="4.33203125"/>
    <col min="3" max="3" width="2.58203125"/>
    <col min="4" max="4" width="10.5" bestFit="1" customWidth="1"/>
    <col min="5" max="5" width="7.25"/>
    <col min="6" max="6" width="6.4140625" customWidth="1"/>
    <col min="7" max="7" width="3.33203125"/>
    <col min="8" max="8" width="10.25"/>
    <col min="9" max="9" width="4.33203125"/>
    <col min="10" max="10" width="3.33203125"/>
    <col min="11" max="11" width="3.08203125"/>
    <col min="12" max="21" width="9.5"/>
    <col min="22" max="22" width="3.5"/>
    <col min="23" max="23" width="9.5"/>
    <col min="24" max="24" width="2.25"/>
    <col min="25" max="25" width="9.5"/>
    <col min="26" max="26" width="2.5"/>
    <col min="27" max="27" width="2.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28.504000000000001</v>
      </c>
      <c r="E1">
        <v>5.2910000000000004</v>
      </c>
      <c r="F1">
        <v>267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28.504000000000001</v>
      </c>
      <c r="E2">
        <v>5.2880000000000003</v>
      </c>
      <c r="F2">
        <v>264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28.504000000000001</v>
      </c>
      <c r="M2" s="35">
        <f t="shared" ref="M2:U17" ca="1" si="1">INDIRECT("D"&amp;1+(ROW(E1)-1)*10+COLUMN(B1)-1)</f>
        <v>28.504000000000001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28.504000000000001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28.591999999999999</v>
      </c>
      <c r="S2" s="35">
        <f t="shared" ref="S2:S13" ca="1" si="7">INDIRECT("D"&amp;1+(ROW(K1)-1)*10+COLUMN(H1)-1)</f>
        <v>28.504000000000001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28.529599999999999</v>
      </c>
      <c r="Y2" s="35">
        <f ca="1">Total!E2</f>
        <v>28.504000000000001</v>
      </c>
      <c r="AB2" s="35">
        <f t="shared" ref="AB2:AB19" ca="1" si="11">(L2-$Y2)/$Y2</f>
        <v>0</v>
      </c>
      <c r="AC2" s="35">
        <f t="shared" ref="AC2:AC19" ca="1" si="12">(M2-$Y2)/$Y2</f>
        <v>0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0</v>
      </c>
      <c r="AG2" s="35">
        <f t="shared" ref="AG2:AG19" ca="1" si="16">(Q2-$Y2)/$Y2</f>
        <v>0</v>
      </c>
      <c r="AH2" s="35">
        <f t="shared" ref="AH2:AH19" ca="1" si="17">(R2-$Y2)/$Y2</f>
        <v>3.0872859949479868E-3</v>
      </c>
      <c r="AI2" s="35">
        <f t="shared" ref="AI2:AI19" ca="1" si="18">(S2-$Y2)/$Y2</f>
        <v>0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8.9811956216667675E-3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5.2850000000000001</v>
      </c>
      <c r="F3">
        <v>283</v>
      </c>
      <c r="H3" s="35" t="s">
        <v>17</v>
      </c>
      <c r="I3" s="35">
        <v>50</v>
      </c>
      <c r="J3" s="35">
        <v>1</v>
      </c>
      <c r="L3" s="35">
        <f t="shared" ca="1" si="0"/>
        <v>53.148000000000003</v>
      </c>
      <c r="M3" s="35">
        <f t="shared" ca="1" si="1"/>
        <v>53.186999999999998</v>
      </c>
      <c r="N3" s="35">
        <f t="shared" ca="1" si="2"/>
        <v>52.957999999999998</v>
      </c>
      <c r="O3" s="35">
        <f t="shared" ca="1" si="3"/>
        <v>53.058</v>
      </c>
      <c r="P3" s="35">
        <f t="shared" ca="1" si="4"/>
        <v>52.987000000000002</v>
      </c>
      <c r="Q3" s="35">
        <f t="shared" ca="1" si="5"/>
        <v>53.095999999999997</v>
      </c>
      <c r="R3" s="35">
        <f t="shared" ca="1" si="6"/>
        <v>53.048000000000002</v>
      </c>
      <c r="S3" s="35">
        <f t="shared" ca="1" si="7"/>
        <v>52.957999999999998</v>
      </c>
      <c r="T3" s="35">
        <f t="shared" ca="1" si="8"/>
        <v>53.113999999999997</v>
      </c>
      <c r="U3" s="35">
        <f t="shared" ca="1" si="9"/>
        <v>53.067</v>
      </c>
      <c r="W3" s="35">
        <f t="shared" ca="1" si="10"/>
        <v>53.062100000000001</v>
      </c>
      <c r="Y3" s="35">
        <f ca="1">Total!E3</f>
        <v>52.927</v>
      </c>
      <c r="AB3" s="35">
        <f t="shared" ca="1" si="11"/>
        <v>4.1755625673097598E-3</v>
      </c>
      <c r="AC3" s="35">
        <f t="shared" ca="1" si="12"/>
        <v>4.9124265497760694E-3</v>
      </c>
      <c r="AD3" s="35">
        <f t="shared" ca="1" si="13"/>
        <v>5.8571239631943631E-4</v>
      </c>
      <c r="AE3" s="35">
        <f t="shared" ca="1" si="14"/>
        <v>2.4751072231564272E-3</v>
      </c>
      <c r="AF3" s="35">
        <f t="shared" ca="1" si="15"/>
        <v>1.1336368961022214E-3</v>
      </c>
      <c r="AG3" s="35">
        <f t="shared" ca="1" si="16"/>
        <v>3.1930772573544115E-3</v>
      </c>
      <c r="AH3" s="35">
        <f t="shared" ca="1" si="17"/>
        <v>2.2861677404727686E-3</v>
      </c>
      <c r="AI3" s="35">
        <f t="shared" ca="1" si="18"/>
        <v>5.8571239631943631E-4</v>
      </c>
      <c r="AJ3" s="35">
        <f t="shared" ca="1" si="19"/>
        <v>3.5331683261850778E-3</v>
      </c>
      <c r="AK3" s="35">
        <f t="shared" ca="1" si="20"/>
        <v>2.6451527575717605E-3</v>
      </c>
      <c r="AM3" s="35">
        <f t="shared" ca="1" si="21"/>
        <v>2.5525724110567367E-2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5.2830000000000004</v>
      </c>
      <c r="F4">
        <v>333</v>
      </c>
      <c r="H4" s="35" t="s">
        <v>17</v>
      </c>
      <c r="I4" s="35">
        <v>100</v>
      </c>
      <c r="J4" s="35">
        <v>1</v>
      </c>
      <c r="L4" s="35">
        <f t="shared" ca="1" si="0"/>
        <v>103.303</v>
      </c>
      <c r="M4" s="35">
        <f t="shared" ca="1" si="1"/>
        <v>103.348</v>
      </c>
      <c r="N4" s="35">
        <f t="shared" ca="1" si="2"/>
        <v>103.276</v>
      </c>
      <c r="O4" s="35">
        <f t="shared" ca="1" si="3"/>
        <v>103.342</v>
      </c>
      <c r="P4" s="35">
        <f t="shared" ca="1" si="4"/>
        <v>103.30200000000001</v>
      </c>
      <c r="Q4" s="35">
        <f t="shared" ca="1" si="5"/>
        <v>103.282</v>
      </c>
      <c r="R4" s="35">
        <f t="shared" ca="1" si="6"/>
        <v>103.245</v>
      </c>
      <c r="S4" s="35">
        <f t="shared" ca="1" si="7"/>
        <v>103.58799999999999</v>
      </c>
      <c r="T4" s="35">
        <f t="shared" ca="1" si="8"/>
        <v>103.54600000000001</v>
      </c>
      <c r="U4" s="35">
        <f t="shared" ca="1" si="9"/>
        <v>103.242</v>
      </c>
      <c r="W4" s="35">
        <f t="shared" ca="1" si="10"/>
        <v>103.34740000000002</v>
      </c>
      <c r="Y4" s="35">
        <f ca="1">Total!E4</f>
        <v>102.80200000000001</v>
      </c>
      <c r="AB4" s="35">
        <f t="shared" ca="1" si="11"/>
        <v>4.8734460419057072E-3</v>
      </c>
      <c r="AC4" s="35">
        <f t="shared" ca="1" si="12"/>
        <v>5.3111807163284007E-3</v>
      </c>
      <c r="AD4" s="35">
        <f t="shared" ca="1" si="13"/>
        <v>4.6108052372520912E-3</v>
      </c>
      <c r="AE4" s="35">
        <f t="shared" ca="1" si="14"/>
        <v>5.2528160930720418E-3</v>
      </c>
      <c r="AF4" s="35">
        <f t="shared" ca="1" si="15"/>
        <v>4.8637186046964062E-3</v>
      </c>
      <c r="AG4" s="35">
        <f t="shared" ca="1" si="16"/>
        <v>4.6691698605084509E-3</v>
      </c>
      <c r="AH4" s="35">
        <f t="shared" ca="1" si="17"/>
        <v>4.3092546837609951E-3</v>
      </c>
      <c r="AI4" s="35">
        <f t="shared" ca="1" si="18"/>
        <v>7.6457656465826257E-3</v>
      </c>
      <c r="AJ4" s="35">
        <f t="shared" ca="1" si="19"/>
        <v>7.2372132837882509E-3</v>
      </c>
      <c r="AK4" s="35">
        <f t="shared" ca="1" si="20"/>
        <v>4.2800723721328152E-3</v>
      </c>
      <c r="AM4" s="35">
        <f t="shared" ca="1" si="21"/>
        <v>5.3053442540027786E-2</v>
      </c>
    </row>
    <row r="5" spans="1:39" x14ac:dyDescent="0.3">
      <c r="A5" t="s">
        <v>17</v>
      </c>
      <c r="B5">
        <v>25</v>
      </c>
      <c r="C5">
        <v>1</v>
      </c>
      <c r="D5">
        <v>28.504000000000001</v>
      </c>
      <c r="E5">
        <v>5.28</v>
      </c>
      <c r="F5">
        <v>276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28.504000000000001</v>
      </c>
      <c r="E6">
        <v>5.2939999999999996</v>
      </c>
      <c r="F6">
        <v>303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179.953</v>
      </c>
      <c r="N6" s="35">
        <f t="shared" ca="1" si="2"/>
        <v>180.053</v>
      </c>
      <c r="O6" s="35">
        <f t="shared" ca="1" si="3"/>
        <v>179.93799999999999</v>
      </c>
      <c r="P6" s="35">
        <f t="shared" ca="1" si="4"/>
        <v>181.40799999999999</v>
      </c>
      <c r="Q6" s="35">
        <f t="shared" ca="1" si="5"/>
        <v>180.87100000000001</v>
      </c>
      <c r="R6" s="35">
        <f t="shared" ca="1" si="6"/>
        <v>179.93799999999999</v>
      </c>
      <c r="S6" s="35">
        <f t="shared" ca="1" si="7"/>
        <v>182.077</v>
      </c>
      <c r="T6" s="35">
        <f t="shared" ca="1" si="8"/>
        <v>179.93799999999999</v>
      </c>
      <c r="U6" s="35">
        <f t="shared" ca="1" si="9"/>
        <v>179.93799999999999</v>
      </c>
      <c r="W6" s="35">
        <f t="shared" ca="1" si="10"/>
        <v>180.40520000000001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1.5583866245902341E-3</v>
      </c>
      <c r="AD6" s="35">
        <f t="shared" ca="1" si="13"/>
        <v>2.1149532762295697E-3</v>
      </c>
      <c r="AE6" s="35">
        <f t="shared" ca="1" si="14"/>
        <v>1.4749016268442469E-3</v>
      </c>
      <c r="AF6" s="35">
        <f t="shared" ca="1" si="15"/>
        <v>9.6564314059429356E-3</v>
      </c>
      <c r="AG6" s="35">
        <f t="shared" ca="1" si="16"/>
        <v>6.667668486639659E-3</v>
      </c>
      <c r="AH6" s="35">
        <f t="shared" ca="1" si="17"/>
        <v>1.4749016268442469E-3</v>
      </c>
      <c r="AI6" s="35">
        <f t="shared" ca="1" si="18"/>
        <v>1.3379862305410365E-2</v>
      </c>
      <c r="AJ6" s="35">
        <f t="shared" ca="1" si="19"/>
        <v>1.4749016268442469E-3</v>
      </c>
      <c r="AK6" s="35">
        <f t="shared" ca="1" si="20"/>
        <v>1.4749016268442469E-3</v>
      </c>
      <c r="AM6" s="35">
        <f t="shared" ca="1" si="21"/>
        <v>4.0751810233033994E-2</v>
      </c>
    </row>
    <row r="7" spans="1:39" x14ac:dyDescent="0.3">
      <c r="A7" t="s">
        <v>17</v>
      </c>
      <c r="B7">
        <v>25</v>
      </c>
      <c r="C7">
        <v>1</v>
      </c>
      <c r="D7">
        <v>28.591999999999999</v>
      </c>
      <c r="E7">
        <v>5.2910000000000004</v>
      </c>
      <c r="F7">
        <v>302</v>
      </c>
      <c r="H7" s="35" t="s">
        <v>18</v>
      </c>
      <c r="I7" s="35">
        <v>100</v>
      </c>
      <c r="J7" s="35">
        <v>1</v>
      </c>
      <c r="L7" s="35">
        <f t="shared" ca="1" si="0"/>
        <v>239.25</v>
      </c>
      <c r="M7" s="35">
        <f t="shared" ca="1" si="1"/>
        <v>239.46299999999999</v>
      </c>
      <c r="N7" s="35">
        <f t="shared" ca="1" si="2"/>
        <v>239.13</v>
      </c>
      <c r="O7" s="35">
        <f t="shared" ca="1" si="3"/>
        <v>239.32300000000001</v>
      </c>
      <c r="P7" s="35">
        <f t="shared" ca="1" si="4"/>
        <v>239.477</v>
      </c>
      <c r="Q7" s="35">
        <f t="shared" ca="1" si="5"/>
        <v>239.489</v>
      </c>
      <c r="R7" s="35">
        <f t="shared" ca="1" si="6"/>
        <v>239.51</v>
      </c>
      <c r="S7" s="35">
        <f t="shared" ca="1" si="7"/>
        <v>239.54</v>
      </c>
      <c r="T7" s="35">
        <f t="shared" ca="1" si="8"/>
        <v>239.072</v>
      </c>
      <c r="U7" s="35">
        <f t="shared" ca="1" si="9"/>
        <v>239.96299999999999</v>
      </c>
      <c r="W7" s="35">
        <f t="shared" ca="1" si="10"/>
        <v>239.42170000000002</v>
      </c>
      <c r="Y7" s="35">
        <f ca="1">Total!E7</f>
        <v>238.86699999999999</v>
      </c>
      <c r="AB7" s="35">
        <f t="shared" ca="1" si="11"/>
        <v>1.6034027303897557E-3</v>
      </c>
      <c r="AC7" s="35">
        <f t="shared" ca="1" si="12"/>
        <v>2.4951123428518952E-3</v>
      </c>
      <c r="AD7" s="35">
        <f t="shared" ca="1" si="13"/>
        <v>1.1010311177349957E-3</v>
      </c>
      <c r="AE7" s="35">
        <f t="shared" ca="1" si="14"/>
        <v>1.909012128088088E-3</v>
      </c>
      <c r="AF7" s="35">
        <f t="shared" ca="1" si="15"/>
        <v>2.5537223643283236E-3</v>
      </c>
      <c r="AG7" s="35">
        <f t="shared" ca="1" si="16"/>
        <v>2.6039595255937997E-3</v>
      </c>
      <c r="AH7" s="35">
        <f t="shared" ca="1" si="17"/>
        <v>2.6918745578083229E-3</v>
      </c>
      <c r="AI7" s="35">
        <f t="shared" ca="1" si="18"/>
        <v>2.8174674609720129E-3</v>
      </c>
      <c r="AJ7" s="35">
        <f t="shared" ca="1" si="19"/>
        <v>8.582181716185681E-4</v>
      </c>
      <c r="AK7" s="35">
        <f t="shared" ca="1" si="20"/>
        <v>4.5883273955799825E-3</v>
      </c>
      <c r="AM7" s="35">
        <f t="shared" ca="1" si="21"/>
        <v>2.3222127794965741E-2</v>
      </c>
    </row>
    <row r="8" spans="1:39" x14ac:dyDescent="0.3">
      <c r="A8" t="s">
        <v>17</v>
      </c>
      <c r="B8">
        <v>25</v>
      </c>
      <c r="C8">
        <v>1</v>
      </c>
      <c r="D8">
        <v>28.504000000000001</v>
      </c>
      <c r="E8">
        <v>5.327</v>
      </c>
      <c r="F8">
        <v>208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5.29</v>
      </c>
      <c r="F9">
        <v>312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4318.4880000000003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4314.0978000000005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1.130839366563183E-3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1.130839366563183E-3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5.2919999999999998</v>
      </c>
      <c r="F10">
        <v>201</v>
      </c>
      <c r="H10" s="35" t="s">
        <v>19</v>
      </c>
      <c r="I10" s="35">
        <v>100</v>
      </c>
      <c r="J10" s="35">
        <v>1</v>
      </c>
      <c r="L10" s="35">
        <f t="shared" ca="1" si="0"/>
        <v>35262.898000000001</v>
      </c>
      <c r="M10" s="35">
        <f t="shared" ca="1" si="1"/>
        <v>35247.68</v>
      </c>
      <c r="N10" s="35">
        <f t="shared" ca="1" si="2"/>
        <v>35224.557999999997</v>
      </c>
      <c r="O10" s="35">
        <f t="shared" ca="1" si="3"/>
        <v>35243.292999999998</v>
      </c>
      <c r="P10" s="35">
        <f t="shared" ca="1" si="4"/>
        <v>35240.696000000004</v>
      </c>
      <c r="Q10" s="35">
        <f t="shared" ca="1" si="5"/>
        <v>35273.574000000001</v>
      </c>
      <c r="R10" s="35">
        <f t="shared" ca="1" si="6"/>
        <v>35256.341999999997</v>
      </c>
      <c r="S10" s="35">
        <f t="shared" ca="1" si="7"/>
        <v>35242.508999999998</v>
      </c>
      <c r="T10" s="35">
        <f t="shared" ca="1" si="8"/>
        <v>35282.985999999997</v>
      </c>
      <c r="U10" s="35">
        <f t="shared" ca="1" si="9"/>
        <v>35272.953000000001</v>
      </c>
      <c r="W10" s="35">
        <f t="shared" ca="1" si="10"/>
        <v>35254.748899999991</v>
      </c>
      <c r="Y10" s="35">
        <f ca="1">Total!E10</f>
        <v>35210.383000000002</v>
      </c>
      <c r="AB10" s="35">
        <f t="shared" ca="1" si="11"/>
        <v>1.491463469738441E-3</v>
      </c>
      <c r="AC10" s="35">
        <f t="shared" ca="1" si="12"/>
        <v>1.0592614116125536E-3</v>
      </c>
      <c r="AD10" s="35">
        <f t="shared" ca="1" si="13"/>
        <v>4.0258011393956247E-4</v>
      </c>
      <c r="AE10" s="35">
        <f t="shared" ca="1" si="14"/>
        <v>9.3466748146409583E-4</v>
      </c>
      <c r="AF10" s="35">
        <f t="shared" ca="1" si="15"/>
        <v>8.6091082849061649E-4</v>
      </c>
      <c r="AG10" s="35">
        <f t="shared" ca="1" si="16"/>
        <v>1.7946694871225596E-3</v>
      </c>
      <c r="AH10" s="35">
        <f t="shared" ca="1" si="17"/>
        <v>1.3052683919966244E-3</v>
      </c>
      <c r="AI10" s="35">
        <f t="shared" ca="1" si="18"/>
        <v>9.1240132207583667E-4</v>
      </c>
      <c r="AJ10" s="35">
        <f t="shared" ca="1" si="19"/>
        <v>2.0619770026357146E-3</v>
      </c>
      <c r="AK10" s="35">
        <f t="shared" ca="1" si="20"/>
        <v>1.7770326440357013E-3</v>
      </c>
      <c r="AM10" s="35">
        <f t="shared" ca="1" si="21"/>
        <v>1.2600232153111705E-2</v>
      </c>
    </row>
    <row r="11" spans="1:39" x14ac:dyDescent="0.3">
      <c r="A11" t="s">
        <v>17</v>
      </c>
      <c r="B11">
        <v>50</v>
      </c>
      <c r="C11">
        <v>1</v>
      </c>
      <c r="D11">
        <v>53.148000000000003</v>
      </c>
      <c r="E11">
        <v>19.597999999999999</v>
      </c>
      <c r="F11">
        <v>362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658.23299999999995</v>
      </c>
      <c r="N11" s="35">
        <f t="shared" ca="1" si="2"/>
        <v>658.23299999999995</v>
      </c>
      <c r="O11" s="35">
        <f t="shared" ca="1" si="3"/>
        <v>659.84500000000003</v>
      </c>
      <c r="P11" s="35">
        <f t="shared" ca="1" si="4"/>
        <v>657.35599999999999</v>
      </c>
      <c r="Q11" s="35">
        <f t="shared" ca="1" si="5"/>
        <v>657.35599999999999</v>
      </c>
      <c r="R11" s="35">
        <f t="shared" ca="1" si="6"/>
        <v>657.98</v>
      </c>
      <c r="S11" s="35">
        <f t="shared" ca="1" si="7"/>
        <v>658.23299999999995</v>
      </c>
      <c r="T11" s="35">
        <f t="shared" ca="1" si="8"/>
        <v>657.35599999999999</v>
      </c>
      <c r="U11" s="35">
        <f t="shared" ca="1" si="9"/>
        <v>658.23299999999995</v>
      </c>
      <c r="W11" s="35">
        <f t="shared" ca="1" si="10"/>
        <v>658.0181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4.2229562219186613E-3</v>
      </c>
      <c r="AD11" s="35">
        <f t="shared" ca="1" si="13"/>
        <v>4.2229562219186613E-3</v>
      </c>
      <c r="AE11" s="35">
        <f t="shared" ca="1" si="14"/>
        <v>6.6822789927761138E-3</v>
      </c>
      <c r="AF11" s="35">
        <f t="shared" ca="1" si="15"/>
        <v>2.8849747888902728E-3</v>
      </c>
      <c r="AG11" s="35">
        <f t="shared" ca="1" si="16"/>
        <v>2.8849747888902728E-3</v>
      </c>
      <c r="AH11" s="35">
        <f t="shared" ca="1" si="17"/>
        <v>3.8369707001899207E-3</v>
      </c>
      <c r="AI11" s="35">
        <f t="shared" ca="1" si="18"/>
        <v>4.2229562219186613E-3</v>
      </c>
      <c r="AJ11" s="35">
        <f t="shared" ca="1" si="19"/>
        <v>2.8849747888902728E-3</v>
      </c>
      <c r="AK11" s="35">
        <f t="shared" ca="1" si="20"/>
        <v>4.2229562219186613E-3</v>
      </c>
      <c r="AM11" s="35">
        <f t="shared" ca="1" si="21"/>
        <v>3.8950973736201773E-2</v>
      </c>
    </row>
    <row r="12" spans="1:39" x14ac:dyDescent="0.3">
      <c r="A12" t="s">
        <v>17</v>
      </c>
      <c r="B12">
        <v>50</v>
      </c>
      <c r="C12">
        <v>1</v>
      </c>
      <c r="D12">
        <v>53.186999999999998</v>
      </c>
      <c r="E12">
        <v>19.597999999999999</v>
      </c>
      <c r="F12">
        <v>372</v>
      </c>
      <c r="H12" s="35" t="s">
        <v>20</v>
      </c>
      <c r="I12" s="35">
        <v>50</v>
      </c>
      <c r="J12" s="35">
        <v>1</v>
      </c>
      <c r="L12" s="35">
        <f t="shared" ca="1" si="0"/>
        <v>996.11099999999999</v>
      </c>
      <c r="M12" s="35">
        <f t="shared" ca="1" si="1"/>
        <v>998.42600000000004</v>
      </c>
      <c r="N12" s="35">
        <f t="shared" ca="1" si="2"/>
        <v>996.39</v>
      </c>
      <c r="O12" s="35">
        <f t="shared" ca="1" si="3"/>
        <v>992.54499999999996</v>
      </c>
      <c r="P12" s="35">
        <f t="shared" ca="1" si="4"/>
        <v>994.65</v>
      </c>
      <c r="Q12" s="35">
        <f t="shared" ca="1" si="5"/>
        <v>997.56600000000003</v>
      </c>
      <c r="R12" s="35">
        <f t="shared" ca="1" si="6"/>
        <v>997.59500000000003</v>
      </c>
      <c r="S12" s="35">
        <f t="shared" ca="1" si="7"/>
        <v>992.93100000000004</v>
      </c>
      <c r="T12" s="35">
        <f t="shared" ca="1" si="8"/>
        <v>993.18200000000002</v>
      </c>
      <c r="U12" s="35">
        <f t="shared" ca="1" si="9"/>
        <v>991.72500000000002</v>
      </c>
      <c r="W12" s="35">
        <f t="shared" ca="1" si="10"/>
        <v>995.11210000000005</v>
      </c>
      <c r="Y12" s="35">
        <f ca="1">Total!E12</f>
        <v>990.096</v>
      </c>
      <c r="AB12" s="35">
        <f t="shared" ca="1" si="11"/>
        <v>6.0751684685121307E-3</v>
      </c>
      <c r="AC12" s="35">
        <f t="shared" ca="1" si="12"/>
        <v>8.413325576509794E-3</v>
      </c>
      <c r="AD12" s="35">
        <f t="shared" ca="1" si="13"/>
        <v>6.3569593251563312E-3</v>
      </c>
      <c r="AE12" s="35">
        <f t="shared" ca="1" si="14"/>
        <v>2.473497519432414E-3</v>
      </c>
      <c r="AF12" s="35">
        <f t="shared" ca="1" si="15"/>
        <v>4.5995539826440808E-3</v>
      </c>
      <c r="AG12" s="35">
        <f t="shared" ca="1" si="16"/>
        <v>7.5447229359577525E-3</v>
      </c>
      <c r="AH12" s="35">
        <f t="shared" ca="1" si="17"/>
        <v>7.5740130249996197E-3</v>
      </c>
      <c r="AI12" s="35">
        <f t="shared" ca="1" si="18"/>
        <v>2.8633587046104987E-3</v>
      </c>
      <c r="AJ12" s="35">
        <f t="shared" ca="1" si="19"/>
        <v>3.1168694752832177E-3</v>
      </c>
      <c r="AK12" s="35">
        <f t="shared" ca="1" si="20"/>
        <v>1.6452950016968245E-3</v>
      </c>
      <c r="AM12" s="35">
        <f t="shared" ca="1" si="21"/>
        <v>5.0662764014802658E-2</v>
      </c>
    </row>
    <row r="13" spans="1:39" x14ac:dyDescent="0.3">
      <c r="A13" t="s">
        <v>17</v>
      </c>
      <c r="B13">
        <v>50</v>
      </c>
      <c r="C13">
        <v>1</v>
      </c>
      <c r="D13">
        <v>52.957999999999998</v>
      </c>
      <c r="E13">
        <v>19.594999999999999</v>
      </c>
      <c r="F13">
        <v>367</v>
      </c>
      <c r="H13" s="35" t="s">
        <v>20</v>
      </c>
      <c r="I13" s="35">
        <v>100</v>
      </c>
      <c r="J13" s="35">
        <v>1</v>
      </c>
      <c r="L13" s="35">
        <f t="shared" ca="1" si="0"/>
        <v>1754.8030000000001</v>
      </c>
      <c r="M13" s="35">
        <f t="shared" ca="1" si="1"/>
        <v>1755.2629999999999</v>
      </c>
      <c r="N13" s="35">
        <f t="shared" ca="1" si="2"/>
        <v>1757.741</v>
      </c>
      <c r="O13" s="35">
        <f t="shared" ca="1" si="3"/>
        <v>1754.75</v>
      </c>
      <c r="P13" s="35">
        <f t="shared" ca="1" si="4"/>
        <v>1756.261</v>
      </c>
      <c r="Q13" s="35">
        <f t="shared" ca="1" si="5"/>
        <v>1756.27</v>
      </c>
      <c r="R13" s="35">
        <f t="shared" ca="1" si="6"/>
        <v>1754.627</v>
      </c>
      <c r="S13" s="35">
        <f t="shared" ca="1" si="7"/>
        <v>1760.8810000000001</v>
      </c>
      <c r="T13" s="35">
        <f t="shared" ca="1" si="8"/>
        <v>1756.413</v>
      </c>
      <c r="U13" s="35">
        <f t="shared" ca="1" si="9"/>
        <v>1757.817</v>
      </c>
      <c r="W13" s="35">
        <f t="shared" ca="1" si="10"/>
        <v>1756.4826</v>
      </c>
      <c r="Y13" s="35">
        <f ca="1">Total!E13</f>
        <v>1753.79</v>
      </c>
      <c r="AB13" s="35">
        <f t="shared" ca="1" si="11"/>
        <v>5.7760621283058252E-4</v>
      </c>
      <c r="AC13" s="35">
        <f t="shared" ca="1" si="12"/>
        <v>8.3989531243761019E-4</v>
      </c>
      <c r="AD13" s="35">
        <f t="shared" ca="1" si="13"/>
        <v>2.252835288147396E-3</v>
      </c>
      <c r="AE13" s="35">
        <f t="shared" ca="1" si="14"/>
        <v>5.4738594700621873E-4</v>
      </c>
      <c r="AF13" s="35">
        <f t="shared" ca="1" si="15"/>
        <v>1.4089486198461639E-3</v>
      </c>
      <c r="AG13" s="35">
        <f t="shared" ca="1" si="16"/>
        <v>1.4140803630993553E-3</v>
      </c>
      <c r="AH13" s="35">
        <f t="shared" ca="1" si="17"/>
        <v>4.7725212254602265E-4</v>
      </c>
      <c r="AI13" s="35">
        <f t="shared" ca="1" si="18"/>
        <v>4.0432434898135588E-3</v>
      </c>
      <c r="AJ13" s="35">
        <f t="shared" ca="1" si="19"/>
        <v>1.4956180614555034E-3</v>
      </c>
      <c r="AK13" s="35">
        <f t="shared" ca="1" si="20"/>
        <v>2.2961700089520658E-3</v>
      </c>
      <c r="AM13" s="35">
        <f t="shared" ca="1" si="21"/>
        <v>1.5353035426134476E-2</v>
      </c>
    </row>
    <row r="14" spans="1:39" x14ac:dyDescent="0.3">
      <c r="A14" t="s">
        <v>17</v>
      </c>
      <c r="B14">
        <v>50</v>
      </c>
      <c r="C14">
        <v>1</v>
      </c>
      <c r="D14">
        <v>53.058</v>
      </c>
      <c r="E14">
        <v>19.556999999999999</v>
      </c>
      <c r="F14">
        <v>405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52.987000000000002</v>
      </c>
      <c r="E15">
        <v>19.562000000000001</v>
      </c>
      <c r="F15">
        <v>451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76.236999999999995</v>
      </c>
      <c r="M15" s="35">
        <f t="shared" ca="1" si="1"/>
        <v>76.491</v>
      </c>
      <c r="N15" s="35">
        <f t="shared" ca="1" si="1"/>
        <v>76.835999999999999</v>
      </c>
      <c r="O15" s="35">
        <f t="shared" ca="1" si="1"/>
        <v>76.27</v>
      </c>
      <c r="P15" s="35">
        <f t="shared" ca="1" si="1"/>
        <v>76.569000000000003</v>
      </c>
      <c r="Q15" s="35">
        <f t="shared" ca="1" si="1"/>
        <v>76.844999999999999</v>
      </c>
      <c r="R15" s="35">
        <f t="shared" ca="1" si="1"/>
        <v>76.673000000000002</v>
      </c>
      <c r="S15" s="35">
        <f t="shared" ca="1" si="1"/>
        <v>76.244</v>
      </c>
      <c r="T15" s="35">
        <f t="shared" ca="1" si="1"/>
        <v>76.177999999999997</v>
      </c>
      <c r="U15" s="35">
        <f t="shared" ca="1" si="1"/>
        <v>76.561000000000007</v>
      </c>
      <c r="W15" s="35">
        <f t="shared" ca="1" si="10"/>
        <v>76.490400000000008</v>
      </c>
      <c r="Y15" s="35">
        <f ca="1">Total!E15</f>
        <v>75.998000000000005</v>
      </c>
      <c r="AB15" s="35">
        <f t="shared" ca="1" si="11"/>
        <v>3.1448196005156729E-3</v>
      </c>
      <c r="AC15" s="35">
        <f t="shared" ca="1" si="12"/>
        <v>6.4870128161266744E-3</v>
      </c>
      <c r="AD15" s="35">
        <f t="shared" ca="1" si="13"/>
        <v>1.1026605963314742E-2</v>
      </c>
      <c r="AE15" s="35">
        <f t="shared" ca="1" si="14"/>
        <v>3.5790415537249841E-3</v>
      </c>
      <c r="AF15" s="35">
        <f t="shared" ca="1" si="15"/>
        <v>7.5133556146214104E-3</v>
      </c>
      <c r="AG15" s="35">
        <f t="shared" ca="1" si="16"/>
        <v>1.1145030132371827E-2</v>
      </c>
      <c r="AH15" s="35">
        <f t="shared" ca="1" si="17"/>
        <v>8.8818126792809954E-3</v>
      </c>
      <c r="AI15" s="35">
        <f t="shared" ca="1" si="18"/>
        <v>3.2369272875601342E-3</v>
      </c>
      <c r="AJ15" s="35">
        <f t="shared" ca="1" si="19"/>
        <v>2.3684833811415118E-3</v>
      </c>
      <c r="AK15" s="35">
        <f t="shared" ca="1" si="20"/>
        <v>7.4080896865707305E-3</v>
      </c>
      <c r="AM15" s="35">
        <f t="shared" ca="1" si="21"/>
        <v>6.4791178715228687E-2</v>
      </c>
    </row>
    <row r="16" spans="1:39" x14ac:dyDescent="0.3">
      <c r="A16" t="s">
        <v>17</v>
      </c>
      <c r="B16">
        <v>50</v>
      </c>
      <c r="C16">
        <v>1</v>
      </c>
      <c r="D16">
        <v>53.095999999999997</v>
      </c>
      <c r="E16">
        <v>19.579000000000001</v>
      </c>
      <c r="F16">
        <v>477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119.11</v>
      </c>
      <c r="M16" s="35">
        <f t="shared" ca="1" si="1"/>
        <v>118.849</v>
      </c>
      <c r="N16" s="35">
        <f t="shared" ca="1" si="1"/>
        <v>118.815</v>
      </c>
      <c r="O16" s="35">
        <f t="shared" ca="1" si="1"/>
        <v>118.883</v>
      </c>
      <c r="P16" s="35">
        <f t="shared" ca="1" si="1"/>
        <v>118.191</v>
      </c>
      <c r="Q16" s="35">
        <f t="shared" ca="1" si="1"/>
        <v>118.858</v>
      </c>
      <c r="R16" s="35">
        <f t="shared" ca="1" si="1"/>
        <v>119.429</v>
      </c>
      <c r="S16" s="35">
        <f t="shared" ca="1" si="1"/>
        <v>119.062</v>
      </c>
      <c r="T16" s="35">
        <f t="shared" ca="1" si="1"/>
        <v>118.605</v>
      </c>
      <c r="U16" s="35">
        <f t="shared" ca="1" si="1"/>
        <v>118.864</v>
      </c>
      <c r="W16" s="35">
        <f t="shared" ca="1" si="10"/>
        <v>118.86659999999999</v>
      </c>
      <c r="Y16" s="35">
        <f ca="1">Total!E16</f>
        <v>118.01</v>
      </c>
      <c r="AB16" s="35">
        <f t="shared" ca="1" si="11"/>
        <v>9.3212439623760208E-3</v>
      </c>
      <c r="AC16" s="35">
        <f t="shared" ca="1" si="12"/>
        <v>7.1095669858486452E-3</v>
      </c>
      <c r="AD16" s="35">
        <f t="shared" ca="1" si="13"/>
        <v>6.8214558088296974E-3</v>
      </c>
      <c r="AE16" s="35">
        <f t="shared" ca="1" si="14"/>
        <v>7.3976781628674725E-3</v>
      </c>
      <c r="AF16" s="35">
        <f t="shared" ca="1" si="15"/>
        <v>1.533768324718222E-3</v>
      </c>
      <c r="AG16" s="35">
        <f t="shared" ca="1" si="16"/>
        <v>7.1858317091771798E-3</v>
      </c>
      <c r="AH16" s="35">
        <f t="shared" ca="1" si="17"/>
        <v>1.2024404711465103E-2</v>
      </c>
      <c r="AI16" s="35">
        <f t="shared" ca="1" si="18"/>
        <v>8.9144987712905053E-3</v>
      </c>
      <c r="AJ16" s="35">
        <f t="shared" ca="1" si="19"/>
        <v>5.0419455978306825E-3</v>
      </c>
      <c r="AK16" s="35">
        <f t="shared" ca="1" si="20"/>
        <v>7.2366748580628693E-3</v>
      </c>
      <c r="AM16" s="35">
        <f t="shared" ca="1" si="21"/>
        <v>7.2587068892466397E-2</v>
      </c>
    </row>
    <row r="17" spans="1:39" x14ac:dyDescent="0.3">
      <c r="A17" t="s">
        <v>17</v>
      </c>
      <c r="B17">
        <v>50</v>
      </c>
      <c r="C17">
        <v>1</v>
      </c>
      <c r="D17">
        <v>53.048000000000002</v>
      </c>
      <c r="E17">
        <v>19.597999999999999</v>
      </c>
      <c r="F17">
        <v>402</v>
      </c>
      <c r="H17" s="35" t="s">
        <v>34</v>
      </c>
      <c r="I17" s="35">
        <v>40</v>
      </c>
      <c r="J17" s="35">
        <v>1</v>
      </c>
      <c r="L17" s="35">
        <f t="shared" ca="1" si="22"/>
        <v>16.78</v>
      </c>
      <c r="M17" s="35">
        <f t="shared" ca="1" si="1"/>
        <v>16.792999999999999</v>
      </c>
      <c r="N17" s="35">
        <f t="shared" ca="1" si="1"/>
        <v>16.753</v>
      </c>
      <c r="O17" s="35">
        <f t="shared" ca="1" si="1"/>
        <v>16.762</v>
      </c>
      <c r="P17" s="35">
        <f t="shared" ca="1" si="1"/>
        <v>16.763000000000002</v>
      </c>
      <c r="Q17" s="35">
        <f t="shared" ca="1" si="1"/>
        <v>16.718</v>
      </c>
      <c r="R17" s="35">
        <f t="shared" ca="1" si="1"/>
        <v>16.616</v>
      </c>
      <c r="S17" s="35">
        <f t="shared" ca="1" si="1"/>
        <v>16.864000000000001</v>
      </c>
      <c r="T17" s="35">
        <f t="shared" ca="1" si="1"/>
        <v>16.616</v>
      </c>
      <c r="U17" s="35">
        <f t="shared" ca="1" si="1"/>
        <v>16.78</v>
      </c>
      <c r="W17" s="35">
        <f t="shared" ca="1" si="10"/>
        <v>16.744500000000002</v>
      </c>
      <c r="Y17" s="35">
        <f ca="1">Total!E17</f>
        <v>16.481999999999999</v>
      </c>
      <c r="AB17" s="35">
        <f t="shared" ca="1" si="11"/>
        <v>1.8080330057032024E-2</v>
      </c>
      <c r="AC17" s="35">
        <f t="shared" ca="1" si="12"/>
        <v>1.8869069287707801E-2</v>
      </c>
      <c r="AD17" s="35">
        <f t="shared" ca="1" si="13"/>
        <v>1.6442179347166654E-2</v>
      </c>
      <c r="AE17" s="35">
        <f t="shared" ca="1" si="14"/>
        <v>1.6988229583788445E-2</v>
      </c>
      <c r="AF17" s="35">
        <f t="shared" ca="1" si="15"/>
        <v>1.7048901832302048E-2</v>
      </c>
      <c r="AG17" s="35">
        <f t="shared" ca="1" si="16"/>
        <v>1.4318650649193099E-2</v>
      </c>
      <c r="AH17" s="35">
        <f t="shared" ca="1" si="17"/>
        <v>8.1300813008130298E-3</v>
      </c>
      <c r="AI17" s="35">
        <f t="shared" ca="1" si="18"/>
        <v>2.3176798932168514E-2</v>
      </c>
      <c r="AJ17" s="35">
        <f t="shared" ca="1" si="19"/>
        <v>8.1300813008130298E-3</v>
      </c>
      <c r="AK17" s="35">
        <f t="shared" ca="1" si="20"/>
        <v>1.8080330057032024E-2</v>
      </c>
      <c r="AM17" s="35">
        <f t="shared" ca="1" si="21"/>
        <v>0.15926465234801668</v>
      </c>
    </row>
    <row r="18" spans="1:39" x14ac:dyDescent="0.3">
      <c r="A18" t="s">
        <v>17</v>
      </c>
      <c r="B18">
        <v>50</v>
      </c>
      <c r="C18">
        <v>1</v>
      </c>
      <c r="D18">
        <v>52.957999999999998</v>
      </c>
      <c r="E18">
        <v>19.574999999999999</v>
      </c>
      <c r="F18">
        <v>360</v>
      </c>
      <c r="H18" s="35" t="s">
        <v>34</v>
      </c>
      <c r="I18" s="35">
        <v>96</v>
      </c>
      <c r="J18" s="35">
        <v>1</v>
      </c>
      <c r="L18" s="35">
        <f t="shared" ca="1" si="22"/>
        <v>35.231999999999999</v>
      </c>
      <c r="M18" s="35">
        <f t="shared" ca="1" si="22"/>
        <v>35.201000000000001</v>
      </c>
      <c r="N18" s="35">
        <f t="shared" ca="1" si="22"/>
        <v>35.21</v>
      </c>
      <c r="O18" s="35">
        <f t="shared" ca="1" si="22"/>
        <v>35.161999999999999</v>
      </c>
      <c r="P18" s="35">
        <f t="shared" ca="1" si="22"/>
        <v>35.234000000000002</v>
      </c>
      <c r="Q18" s="35">
        <f t="shared" ca="1" si="22"/>
        <v>35.127000000000002</v>
      </c>
      <c r="R18" s="35">
        <f t="shared" ca="1" si="22"/>
        <v>35.225000000000001</v>
      </c>
      <c r="S18" s="35">
        <f t="shared" ca="1" si="22"/>
        <v>35.182000000000002</v>
      </c>
      <c r="T18" s="35">
        <f t="shared" ca="1" si="22"/>
        <v>35.167000000000002</v>
      </c>
      <c r="U18" s="35">
        <f t="shared" ca="1" si="22"/>
        <v>35.146000000000001</v>
      </c>
      <c r="W18" s="35">
        <f t="shared" ca="1" si="10"/>
        <v>35.188600000000001</v>
      </c>
      <c r="Y18" s="35">
        <f ca="1">Total!E18</f>
        <v>35.069000000000003</v>
      </c>
      <c r="AB18" s="35">
        <f t="shared" ca="1" si="11"/>
        <v>4.6479796971683448E-3</v>
      </c>
      <c r="AC18" s="35">
        <f t="shared" ca="1" si="12"/>
        <v>3.7640080983203936E-3</v>
      </c>
      <c r="AD18" s="35">
        <f t="shared" ca="1" si="13"/>
        <v>4.0206450141149798E-3</v>
      </c>
      <c r="AE18" s="35">
        <f t="shared" ca="1" si="14"/>
        <v>2.6519147965438539E-3</v>
      </c>
      <c r="AF18" s="35">
        <f t="shared" ca="1" si="15"/>
        <v>4.705010122900543E-3</v>
      </c>
      <c r="AG18" s="35">
        <f t="shared" ca="1" si="16"/>
        <v>1.6538823462317097E-3</v>
      </c>
      <c r="AH18" s="35">
        <f t="shared" ca="1" si="17"/>
        <v>4.4483732071059568E-3</v>
      </c>
      <c r="AI18" s="35">
        <f t="shared" ca="1" si="18"/>
        <v>3.222219053865224E-3</v>
      </c>
      <c r="AJ18" s="35">
        <f t="shared" ca="1" si="19"/>
        <v>2.7944908608742471E-3</v>
      </c>
      <c r="AK18" s="35">
        <f t="shared" ca="1" si="20"/>
        <v>2.1956713906868793E-3</v>
      </c>
      <c r="AM18" s="35">
        <f t="shared" ca="1" si="21"/>
        <v>3.410419458781213E-2</v>
      </c>
    </row>
    <row r="19" spans="1:39" x14ac:dyDescent="0.3">
      <c r="A19" t="s">
        <v>17</v>
      </c>
      <c r="B19">
        <v>50</v>
      </c>
      <c r="C19">
        <v>1</v>
      </c>
      <c r="D19">
        <v>53.113999999999997</v>
      </c>
      <c r="E19">
        <v>19.582000000000001</v>
      </c>
      <c r="F19">
        <v>372</v>
      </c>
      <c r="H19" s="35" t="s">
        <v>34</v>
      </c>
      <c r="I19" s="35">
        <v>224</v>
      </c>
      <c r="J19" s="35">
        <v>1</v>
      </c>
      <c r="L19" s="35">
        <f t="shared" ca="1" si="22"/>
        <v>71.941000000000003</v>
      </c>
      <c r="M19" s="35">
        <f t="shared" ca="1" si="22"/>
        <v>71.912999999999997</v>
      </c>
      <c r="N19" s="35">
        <f t="shared" ca="1" si="22"/>
        <v>71.94</v>
      </c>
      <c r="O19" s="35">
        <f t="shared" ca="1" si="22"/>
        <v>71.960999999999999</v>
      </c>
      <c r="P19" s="35">
        <f t="shared" ca="1" si="22"/>
        <v>71.927999999999997</v>
      </c>
      <c r="Q19" s="35">
        <f t="shared" ca="1" si="22"/>
        <v>71.935000000000002</v>
      </c>
      <c r="R19" s="35">
        <f t="shared" ca="1" si="22"/>
        <v>71.997</v>
      </c>
      <c r="S19" s="35">
        <f t="shared" ca="1" si="22"/>
        <v>71.92</v>
      </c>
      <c r="T19" s="35">
        <f t="shared" ca="1" si="22"/>
        <v>72.001999999999995</v>
      </c>
      <c r="U19" s="35">
        <f t="shared" ca="1" si="22"/>
        <v>71.974000000000004</v>
      </c>
      <c r="W19" s="35">
        <f t="shared" ca="1" si="10"/>
        <v>71.951099999999997</v>
      </c>
      <c r="Y19" s="35">
        <f ca="1">Total!E19</f>
        <v>71.908000000000001</v>
      </c>
      <c r="AB19" s="35">
        <f t="shared" ca="1" si="11"/>
        <v>4.5891973076710868E-4</v>
      </c>
      <c r="AC19" s="35">
        <f t="shared" ca="1" si="12"/>
        <v>6.9533292540405135E-5</v>
      </c>
      <c r="AD19" s="35">
        <f t="shared" ca="1" si="13"/>
        <v>4.4501307225894857E-4</v>
      </c>
      <c r="AE19" s="35">
        <f t="shared" ca="1" si="14"/>
        <v>7.3705290092892682E-4</v>
      </c>
      <c r="AF19" s="35">
        <f t="shared" ca="1" si="15"/>
        <v>2.7813317016181819E-4</v>
      </c>
      <c r="AG19" s="35">
        <f t="shared" ca="1" si="16"/>
        <v>3.7547977971854343E-4</v>
      </c>
      <c r="AH19" s="35">
        <f t="shared" ca="1" si="17"/>
        <v>1.2376926072203182E-3</v>
      </c>
      <c r="AI19" s="35">
        <f t="shared" ca="1" si="18"/>
        <v>1.6687990209713043E-4</v>
      </c>
      <c r="AJ19" s="35">
        <f t="shared" ca="1" si="19"/>
        <v>1.3072258997607231E-3</v>
      </c>
      <c r="AK19" s="35">
        <f t="shared" ca="1" si="20"/>
        <v>9.1783946153421736E-4</v>
      </c>
      <c r="AM19" s="35">
        <f t="shared" ca="1" si="21"/>
        <v>5.9937698169881398E-3</v>
      </c>
    </row>
    <row r="20" spans="1:39" x14ac:dyDescent="0.3">
      <c r="A20" t="s">
        <v>17</v>
      </c>
      <c r="B20">
        <v>50</v>
      </c>
      <c r="C20">
        <v>1</v>
      </c>
      <c r="D20">
        <v>53.067</v>
      </c>
      <c r="E20">
        <v>19.582999999999998</v>
      </c>
      <c r="F20">
        <v>362</v>
      </c>
    </row>
    <row r="21" spans="1:39" x14ac:dyDescent="0.3">
      <c r="A21" t="s">
        <v>17</v>
      </c>
      <c r="B21">
        <v>100</v>
      </c>
      <c r="C21">
        <v>1</v>
      </c>
      <c r="D21">
        <v>103.303</v>
      </c>
      <c r="E21">
        <v>102.107</v>
      </c>
      <c r="F21">
        <v>602</v>
      </c>
    </row>
    <row r="22" spans="1:39" x14ac:dyDescent="0.3">
      <c r="A22" t="s">
        <v>17</v>
      </c>
      <c r="B22">
        <v>100</v>
      </c>
      <c r="C22">
        <v>1</v>
      </c>
      <c r="D22">
        <v>103.348</v>
      </c>
      <c r="E22">
        <v>102.11199999999999</v>
      </c>
      <c r="F22">
        <v>612</v>
      </c>
    </row>
    <row r="23" spans="1:39" x14ac:dyDescent="0.3">
      <c r="A23" t="s">
        <v>17</v>
      </c>
      <c r="B23">
        <v>100</v>
      </c>
      <c r="C23">
        <v>1</v>
      </c>
      <c r="D23">
        <v>103.276</v>
      </c>
      <c r="E23">
        <v>102.129</v>
      </c>
      <c r="F23">
        <v>620</v>
      </c>
    </row>
    <row r="24" spans="1:39" x14ac:dyDescent="0.3">
      <c r="A24" t="s">
        <v>17</v>
      </c>
      <c r="B24">
        <v>100</v>
      </c>
      <c r="C24">
        <v>1</v>
      </c>
      <c r="D24">
        <v>103.342</v>
      </c>
      <c r="E24">
        <v>102.10899999999999</v>
      </c>
      <c r="F24">
        <v>571</v>
      </c>
    </row>
    <row r="25" spans="1:39" x14ac:dyDescent="0.3">
      <c r="A25" t="s">
        <v>17</v>
      </c>
      <c r="B25">
        <v>100</v>
      </c>
      <c r="C25">
        <v>1</v>
      </c>
      <c r="D25">
        <v>103.30200000000001</v>
      </c>
      <c r="E25">
        <v>102.148</v>
      </c>
      <c r="F25">
        <v>625</v>
      </c>
    </row>
    <row r="26" spans="1:39" x14ac:dyDescent="0.3">
      <c r="A26" t="s">
        <v>17</v>
      </c>
      <c r="B26">
        <v>100</v>
      </c>
      <c r="C26">
        <v>1</v>
      </c>
      <c r="D26">
        <v>103.282</v>
      </c>
      <c r="E26">
        <v>102.044</v>
      </c>
      <c r="F26">
        <v>610</v>
      </c>
    </row>
    <row r="27" spans="1:39" x14ac:dyDescent="0.3">
      <c r="A27" t="s">
        <v>17</v>
      </c>
      <c r="B27">
        <v>100</v>
      </c>
      <c r="C27">
        <v>1</v>
      </c>
      <c r="D27">
        <v>103.245</v>
      </c>
      <c r="E27">
        <v>102.081</v>
      </c>
      <c r="F27">
        <v>601</v>
      </c>
    </row>
    <row r="28" spans="1:39" x14ac:dyDescent="0.3">
      <c r="A28" t="s">
        <v>17</v>
      </c>
      <c r="B28">
        <v>100</v>
      </c>
      <c r="C28">
        <v>1</v>
      </c>
      <c r="D28">
        <v>103.58799999999999</v>
      </c>
      <c r="E28">
        <v>102.15900000000001</v>
      </c>
      <c r="F28">
        <v>639</v>
      </c>
    </row>
    <row r="29" spans="1:39" x14ac:dyDescent="0.3">
      <c r="A29" t="s">
        <v>17</v>
      </c>
      <c r="B29">
        <v>100</v>
      </c>
      <c r="C29">
        <v>1</v>
      </c>
      <c r="D29">
        <v>103.54600000000001</v>
      </c>
      <c r="E29">
        <v>102.145</v>
      </c>
      <c r="F29">
        <v>570</v>
      </c>
    </row>
    <row r="30" spans="1:39" x14ac:dyDescent="0.3">
      <c r="A30" t="s">
        <v>17</v>
      </c>
      <c r="B30">
        <v>100</v>
      </c>
      <c r="C30">
        <v>1</v>
      </c>
      <c r="D30">
        <v>103.242</v>
      </c>
      <c r="E30">
        <v>102.111</v>
      </c>
      <c r="F30">
        <v>630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8.0139999999999993</v>
      </c>
      <c r="F31">
        <v>308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8.0109999999999992</v>
      </c>
      <c r="F32">
        <v>313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7.9980000000000002</v>
      </c>
      <c r="F33">
        <v>324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8.0079999999999991</v>
      </c>
      <c r="F34">
        <v>321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8.01</v>
      </c>
      <c r="F35">
        <v>294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8.0139999999999993</v>
      </c>
      <c r="F36">
        <v>304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8.0050000000000008</v>
      </c>
      <c r="F37">
        <v>297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7.9989999999999997</v>
      </c>
      <c r="F38">
        <v>307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8.0239999999999991</v>
      </c>
      <c r="F39">
        <v>330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8.0150000000000006</v>
      </c>
      <c r="F40">
        <v>294</v>
      </c>
    </row>
    <row r="41" spans="1:6" x14ac:dyDescent="0.3">
      <c r="A41" t="s">
        <v>18</v>
      </c>
      <c r="B41">
        <v>50</v>
      </c>
      <c r="C41">
        <v>1</v>
      </c>
      <c r="D41">
        <v>179.93799999999999</v>
      </c>
      <c r="E41">
        <v>22.449000000000002</v>
      </c>
      <c r="F41">
        <v>377</v>
      </c>
    </row>
    <row r="42" spans="1:6" x14ac:dyDescent="0.3">
      <c r="A42" t="s">
        <v>18</v>
      </c>
      <c r="B42">
        <v>50</v>
      </c>
      <c r="C42">
        <v>1</v>
      </c>
      <c r="D42">
        <v>179.953</v>
      </c>
      <c r="E42">
        <v>22.413</v>
      </c>
      <c r="F42">
        <v>365</v>
      </c>
    </row>
    <row r="43" spans="1:6" x14ac:dyDescent="0.3">
      <c r="A43" t="s">
        <v>18</v>
      </c>
      <c r="B43">
        <v>50</v>
      </c>
      <c r="C43">
        <v>1</v>
      </c>
      <c r="D43">
        <v>180.053</v>
      </c>
      <c r="E43">
        <v>22.431000000000001</v>
      </c>
      <c r="F43">
        <v>370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22.47</v>
      </c>
      <c r="F44">
        <v>357</v>
      </c>
    </row>
    <row r="45" spans="1:6" x14ac:dyDescent="0.3">
      <c r="A45" t="s">
        <v>18</v>
      </c>
      <c r="B45">
        <v>50</v>
      </c>
      <c r="C45">
        <v>1</v>
      </c>
      <c r="D45">
        <v>181.40799999999999</v>
      </c>
      <c r="E45">
        <v>22.408999999999999</v>
      </c>
      <c r="F45">
        <v>369</v>
      </c>
    </row>
    <row r="46" spans="1:6" x14ac:dyDescent="0.3">
      <c r="A46" t="s">
        <v>18</v>
      </c>
      <c r="B46">
        <v>50</v>
      </c>
      <c r="C46">
        <v>1</v>
      </c>
      <c r="D46">
        <v>180.87100000000001</v>
      </c>
      <c r="E46">
        <v>22.431000000000001</v>
      </c>
      <c r="F46">
        <v>357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22.42</v>
      </c>
      <c r="F47">
        <v>372</v>
      </c>
    </row>
    <row r="48" spans="1:6" x14ac:dyDescent="0.3">
      <c r="A48" t="s">
        <v>18</v>
      </c>
      <c r="B48">
        <v>50</v>
      </c>
      <c r="C48">
        <v>1</v>
      </c>
      <c r="D48">
        <v>182.077</v>
      </c>
      <c r="E48">
        <v>22.41</v>
      </c>
      <c r="F48">
        <v>372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22.413</v>
      </c>
      <c r="F49">
        <v>385</v>
      </c>
    </row>
    <row r="50" spans="1:6" x14ac:dyDescent="0.3">
      <c r="A50" t="s">
        <v>18</v>
      </c>
      <c r="B50">
        <v>50</v>
      </c>
      <c r="C50">
        <v>1</v>
      </c>
      <c r="D50">
        <v>179.93799999999999</v>
      </c>
      <c r="E50">
        <v>22.411000000000001</v>
      </c>
      <c r="F50">
        <v>492</v>
      </c>
    </row>
    <row r="51" spans="1:6" x14ac:dyDescent="0.3">
      <c r="A51" t="s">
        <v>18</v>
      </c>
      <c r="B51">
        <v>100</v>
      </c>
      <c r="C51">
        <v>1</v>
      </c>
      <c r="D51">
        <v>239.25</v>
      </c>
      <c r="E51">
        <v>138.613</v>
      </c>
      <c r="F51">
        <v>735</v>
      </c>
    </row>
    <row r="52" spans="1:6" x14ac:dyDescent="0.3">
      <c r="A52" t="s">
        <v>18</v>
      </c>
      <c r="B52">
        <v>100</v>
      </c>
      <c r="C52">
        <v>1</v>
      </c>
      <c r="D52">
        <v>239.46299999999999</v>
      </c>
      <c r="E52">
        <v>138.54</v>
      </c>
      <c r="F52">
        <v>763</v>
      </c>
    </row>
    <row r="53" spans="1:6" x14ac:dyDescent="0.3">
      <c r="A53" t="s">
        <v>18</v>
      </c>
      <c r="B53">
        <v>100</v>
      </c>
      <c r="C53">
        <v>1</v>
      </c>
      <c r="D53">
        <v>239.13</v>
      </c>
      <c r="E53">
        <v>138.59800000000001</v>
      </c>
      <c r="F53">
        <v>682</v>
      </c>
    </row>
    <row r="54" spans="1:6" x14ac:dyDescent="0.3">
      <c r="A54" t="s">
        <v>18</v>
      </c>
      <c r="B54">
        <v>100</v>
      </c>
      <c r="C54">
        <v>1</v>
      </c>
      <c r="D54">
        <v>239.32300000000001</v>
      </c>
      <c r="E54">
        <v>138.49</v>
      </c>
      <c r="F54">
        <v>664</v>
      </c>
    </row>
    <row r="55" spans="1:6" x14ac:dyDescent="0.3">
      <c r="A55" t="s">
        <v>18</v>
      </c>
      <c r="B55">
        <v>100</v>
      </c>
      <c r="C55">
        <v>1</v>
      </c>
      <c r="D55">
        <v>239.477</v>
      </c>
      <c r="E55">
        <v>138.54</v>
      </c>
      <c r="F55">
        <v>671</v>
      </c>
    </row>
    <row r="56" spans="1:6" x14ac:dyDescent="0.3">
      <c r="A56" t="s">
        <v>18</v>
      </c>
      <c r="B56">
        <v>100</v>
      </c>
      <c r="C56">
        <v>1</v>
      </c>
      <c r="D56">
        <v>239.489</v>
      </c>
      <c r="E56">
        <v>138.517</v>
      </c>
      <c r="F56">
        <v>657</v>
      </c>
    </row>
    <row r="57" spans="1:6" x14ac:dyDescent="0.3">
      <c r="A57" t="s">
        <v>18</v>
      </c>
      <c r="B57">
        <v>100</v>
      </c>
      <c r="C57">
        <v>1</v>
      </c>
      <c r="D57">
        <v>239.51</v>
      </c>
      <c r="E57">
        <v>138.541</v>
      </c>
      <c r="F57">
        <v>682</v>
      </c>
    </row>
    <row r="58" spans="1:6" x14ac:dyDescent="0.3">
      <c r="A58" t="s">
        <v>18</v>
      </c>
      <c r="B58">
        <v>100</v>
      </c>
      <c r="C58">
        <v>1</v>
      </c>
      <c r="D58">
        <v>239.54</v>
      </c>
      <c r="E58">
        <v>138.49799999999999</v>
      </c>
      <c r="F58">
        <v>768</v>
      </c>
    </row>
    <row r="59" spans="1:6" x14ac:dyDescent="0.3">
      <c r="A59" t="s">
        <v>18</v>
      </c>
      <c r="B59">
        <v>100</v>
      </c>
      <c r="C59">
        <v>1</v>
      </c>
      <c r="D59">
        <v>239.072</v>
      </c>
      <c r="E59">
        <v>138.511</v>
      </c>
      <c r="F59">
        <v>757</v>
      </c>
    </row>
    <row r="60" spans="1:6" x14ac:dyDescent="0.3">
      <c r="A60" t="s">
        <v>18</v>
      </c>
      <c r="B60">
        <v>100</v>
      </c>
      <c r="C60">
        <v>1</v>
      </c>
      <c r="D60">
        <v>239.96299999999999</v>
      </c>
      <c r="E60">
        <v>138.54599999999999</v>
      </c>
      <c r="F60">
        <v>650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4.3220000000000001</v>
      </c>
      <c r="F61">
        <v>248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4.3140000000000001</v>
      </c>
      <c r="F62">
        <v>204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4.3220000000000001</v>
      </c>
      <c r="F63">
        <v>259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4.319</v>
      </c>
      <c r="F64">
        <v>215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4.3109999999999999</v>
      </c>
      <c r="F65">
        <v>181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4.3220000000000001</v>
      </c>
      <c r="F66">
        <v>198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4.3499999999999996</v>
      </c>
      <c r="F67">
        <v>238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4.3390000000000004</v>
      </c>
      <c r="F68">
        <v>192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4.3339999999999996</v>
      </c>
      <c r="F69">
        <v>265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4.3120000000000003</v>
      </c>
      <c r="F70">
        <v>219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13.191000000000001</v>
      </c>
      <c r="F71">
        <v>336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13.198</v>
      </c>
      <c r="F72">
        <v>365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13.206</v>
      </c>
      <c r="F73">
        <v>375</v>
      </c>
    </row>
    <row r="74" spans="1:6" x14ac:dyDescent="0.3">
      <c r="A74" t="s">
        <v>19</v>
      </c>
      <c r="B74">
        <v>47</v>
      </c>
      <c r="C74">
        <v>1</v>
      </c>
      <c r="D74">
        <v>4318.4880000000003</v>
      </c>
      <c r="E74">
        <v>13.19</v>
      </c>
      <c r="F74">
        <v>375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13.191000000000001</v>
      </c>
      <c r="F75">
        <v>337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13.207000000000001</v>
      </c>
      <c r="F76">
        <v>401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13.189</v>
      </c>
      <c r="F77">
        <v>371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13.217000000000001</v>
      </c>
      <c r="F78">
        <v>386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13.224</v>
      </c>
      <c r="F79">
        <v>326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13.196</v>
      </c>
      <c r="F80">
        <v>368</v>
      </c>
    </row>
    <row r="81" spans="1:6" x14ac:dyDescent="0.3">
      <c r="A81" t="s">
        <v>19</v>
      </c>
      <c r="B81">
        <v>100</v>
      </c>
      <c r="C81">
        <v>1</v>
      </c>
      <c r="D81">
        <v>35262.898000000001</v>
      </c>
      <c r="E81">
        <v>54.820999999999998</v>
      </c>
      <c r="F81">
        <v>395</v>
      </c>
    </row>
    <row r="82" spans="1:6" x14ac:dyDescent="0.3">
      <c r="A82" t="s">
        <v>19</v>
      </c>
      <c r="B82">
        <v>100</v>
      </c>
      <c r="C82">
        <v>1</v>
      </c>
      <c r="D82">
        <v>35247.68</v>
      </c>
      <c r="E82">
        <v>54.933</v>
      </c>
      <c r="F82">
        <v>357</v>
      </c>
    </row>
    <row r="83" spans="1:6" x14ac:dyDescent="0.3">
      <c r="A83" t="s">
        <v>19</v>
      </c>
      <c r="B83">
        <v>100</v>
      </c>
      <c r="C83">
        <v>1</v>
      </c>
      <c r="D83">
        <v>35224.557999999997</v>
      </c>
      <c r="E83">
        <v>54.808999999999997</v>
      </c>
      <c r="F83">
        <v>317</v>
      </c>
    </row>
    <row r="84" spans="1:6" x14ac:dyDescent="0.3">
      <c r="A84" t="s">
        <v>19</v>
      </c>
      <c r="B84">
        <v>100</v>
      </c>
      <c r="C84">
        <v>1</v>
      </c>
      <c r="D84">
        <v>35243.292999999998</v>
      </c>
      <c r="E84">
        <v>54.814999999999998</v>
      </c>
      <c r="F84">
        <v>322</v>
      </c>
    </row>
    <row r="85" spans="1:6" x14ac:dyDescent="0.3">
      <c r="A85" t="s">
        <v>19</v>
      </c>
      <c r="B85">
        <v>100</v>
      </c>
      <c r="C85">
        <v>1</v>
      </c>
      <c r="D85">
        <v>35240.696000000004</v>
      </c>
      <c r="E85">
        <v>54.945</v>
      </c>
      <c r="F85">
        <v>317</v>
      </c>
    </row>
    <row r="86" spans="1:6" x14ac:dyDescent="0.3">
      <c r="A86" t="s">
        <v>19</v>
      </c>
      <c r="B86">
        <v>100</v>
      </c>
      <c r="C86">
        <v>1</v>
      </c>
      <c r="D86">
        <v>35273.574000000001</v>
      </c>
      <c r="E86">
        <v>54.9</v>
      </c>
      <c r="F86">
        <v>318</v>
      </c>
    </row>
    <row r="87" spans="1:6" x14ac:dyDescent="0.3">
      <c r="A87" t="s">
        <v>19</v>
      </c>
      <c r="B87">
        <v>100</v>
      </c>
      <c r="C87">
        <v>1</v>
      </c>
      <c r="D87">
        <v>35256.341999999997</v>
      </c>
      <c r="E87">
        <v>54.874000000000002</v>
      </c>
      <c r="F87">
        <v>316</v>
      </c>
    </row>
    <row r="88" spans="1:6" x14ac:dyDescent="0.3">
      <c r="A88" t="s">
        <v>19</v>
      </c>
      <c r="B88">
        <v>100</v>
      </c>
      <c r="C88">
        <v>1</v>
      </c>
      <c r="D88">
        <v>35242.508999999998</v>
      </c>
      <c r="E88">
        <v>54.814999999999998</v>
      </c>
      <c r="F88">
        <v>314</v>
      </c>
    </row>
    <row r="89" spans="1:6" x14ac:dyDescent="0.3">
      <c r="A89" t="s">
        <v>19</v>
      </c>
      <c r="B89">
        <v>100</v>
      </c>
      <c r="C89">
        <v>1</v>
      </c>
      <c r="D89">
        <v>35282.985999999997</v>
      </c>
      <c r="E89">
        <v>54.823</v>
      </c>
      <c r="F89">
        <v>317</v>
      </c>
    </row>
    <row r="90" spans="1:6" x14ac:dyDescent="0.3">
      <c r="A90" t="s">
        <v>19</v>
      </c>
      <c r="B90">
        <v>100</v>
      </c>
      <c r="C90">
        <v>1</v>
      </c>
      <c r="D90">
        <v>35272.953000000001</v>
      </c>
      <c r="E90">
        <v>54.813000000000002</v>
      </c>
      <c r="F90">
        <v>325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6.468</v>
      </c>
      <c r="F91">
        <v>243</v>
      </c>
    </row>
    <row r="92" spans="1:6" x14ac:dyDescent="0.3">
      <c r="A92" t="s">
        <v>20</v>
      </c>
      <c r="B92">
        <v>30</v>
      </c>
      <c r="C92">
        <v>1</v>
      </c>
      <c r="D92">
        <v>658.23299999999995</v>
      </c>
      <c r="E92">
        <v>6.4770000000000003</v>
      </c>
      <c r="F92">
        <v>328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6.468</v>
      </c>
      <c r="F93">
        <v>265</v>
      </c>
    </row>
    <row r="94" spans="1:6" x14ac:dyDescent="0.3">
      <c r="A94" t="s">
        <v>20</v>
      </c>
      <c r="B94">
        <v>30</v>
      </c>
      <c r="C94">
        <v>1</v>
      </c>
      <c r="D94">
        <v>659.84500000000003</v>
      </c>
      <c r="E94">
        <v>6.4859999999999998</v>
      </c>
      <c r="F94">
        <v>237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6.4710000000000001</v>
      </c>
      <c r="F95">
        <v>294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6.4770000000000003</v>
      </c>
      <c r="F96">
        <v>239</v>
      </c>
    </row>
    <row r="97" spans="1:6" x14ac:dyDescent="0.3">
      <c r="A97" t="s">
        <v>20</v>
      </c>
      <c r="B97">
        <v>30</v>
      </c>
      <c r="C97">
        <v>1</v>
      </c>
      <c r="D97">
        <v>657.98</v>
      </c>
      <c r="E97">
        <v>6.4649999999999999</v>
      </c>
      <c r="F97">
        <v>245</v>
      </c>
    </row>
    <row r="98" spans="1:6" x14ac:dyDescent="0.3">
      <c r="A98" t="s">
        <v>20</v>
      </c>
      <c r="B98">
        <v>30</v>
      </c>
      <c r="C98">
        <v>1</v>
      </c>
      <c r="D98">
        <v>658.23299999999995</v>
      </c>
      <c r="E98">
        <v>6.4969999999999999</v>
      </c>
      <c r="F98">
        <v>273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6.4930000000000003</v>
      </c>
      <c r="F99">
        <v>252</v>
      </c>
    </row>
    <row r="100" spans="1:6" x14ac:dyDescent="0.3">
      <c r="A100" t="s">
        <v>20</v>
      </c>
      <c r="B100">
        <v>30</v>
      </c>
      <c r="C100">
        <v>1</v>
      </c>
      <c r="D100">
        <v>658.23299999999995</v>
      </c>
      <c r="E100">
        <v>6.4850000000000003</v>
      </c>
      <c r="F100">
        <v>235</v>
      </c>
    </row>
    <row r="101" spans="1:6" x14ac:dyDescent="0.3">
      <c r="A101" t="s">
        <v>20</v>
      </c>
      <c r="B101">
        <v>50</v>
      </c>
      <c r="C101">
        <v>1</v>
      </c>
      <c r="D101">
        <v>996.11099999999999</v>
      </c>
      <c r="E101">
        <v>14.696</v>
      </c>
      <c r="F101">
        <v>413</v>
      </c>
    </row>
    <row r="102" spans="1:6" x14ac:dyDescent="0.3">
      <c r="A102" t="s">
        <v>20</v>
      </c>
      <c r="B102">
        <v>50</v>
      </c>
      <c r="C102">
        <v>1</v>
      </c>
      <c r="D102">
        <v>998.42600000000004</v>
      </c>
      <c r="E102">
        <v>14.738</v>
      </c>
      <c r="F102">
        <v>421</v>
      </c>
    </row>
    <row r="103" spans="1:6" x14ac:dyDescent="0.3">
      <c r="A103" t="s">
        <v>20</v>
      </c>
      <c r="B103">
        <v>50</v>
      </c>
      <c r="C103">
        <v>1</v>
      </c>
      <c r="D103">
        <v>996.39</v>
      </c>
      <c r="E103">
        <v>14.706</v>
      </c>
      <c r="F103">
        <v>417</v>
      </c>
    </row>
    <row r="104" spans="1:6" x14ac:dyDescent="0.3">
      <c r="A104" t="s">
        <v>20</v>
      </c>
      <c r="B104">
        <v>50</v>
      </c>
      <c r="C104">
        <v>1</v>
      </c>
      <c r="D104">
        <v>992.54499999999996</v>
      </c>
      <c r="E104">
        <v>14.724</v>
      </c>
      <c r="F104">
        <v>418</v>
      </c>
    </row>
    <row r="105" spans="1:6" x14ac:dyDescent="0.3">
      <c r="A105" t="s">
        <v>20</v>
      </c>
      <c r="B105">
        <v>50</v>
      </c>
      <c r="C105">
        <v>1</v>
      </c>
      <c r="D105">
        <v>994.65</v>
      </c>
      <c r="E105">
        <v>14.699</v>
      </c>
      <c r="F105">
        <v>385</v>
      </c>
    </row>
    <row r="106" spans="1:6" x14ac:dyDescent="0.3">
      <c r="A106" t="s">
        <v>20</v>
      </c>
      <c r="B106">
        <v>50</v>
      </c>
      <c r="C106">
        <v>1</v>
      </c>
      <c r="D106">
        <v>997.56600000000003</v>
      </c>
      <c r="E106">
        <v>14.689</v>
      </c>
      <c r="F106">
        <v>421</v>
      </c>
    </row>
    <row r="107" spans="1:6" x14ac:dyDescent="0.3">
      <c r="A107" t="s">
        <v>20</v>
      </c>
      <c r="B107">
        <v>50</v>
      </c>
      <c r="C107">
        <v>1</v>
      </c>
      <c r="D107">
        <v>997.59500000000003</v>
      </c>
      <c r="E107">
        <v>14.688000000000001</v>
      </c>
      <c r="F107">
        <v>351</v>
      </c>
    </row>
    <row r="108" spans="1:6" x14ac:dyDescent="0.3">
      <c r="A108" t="s">
        <v>20</v>
      </c>
      <c r="B108">
        <v>50</v>
      </c>
      <c r="C108">
        <v>1</v>
      </c>
      <c r="D108">
        <v>992.93100000000004</v>
      </c>
      <c r="E108">
        <v>14.712</v>
      </c>
      <c r="F108">
        <v>386</v>
      </c>
    </row>
    <row r="109" spans="1:6" x14ac:dyDescent="0.3">
      <c r="A109" t="s">
        <v>20</v>
      </c>
      <c r="B109">
        <v>50</v>
      </c>
      <c r="C109">
        <v>1</v>
      </c>
      <c r="D109">
        <v>993.18200000000002</v>
      </c>
      <c r="E109">
        <v>14.693</v>
      </c>
      <c r="F109">
        <v>407</v>
      </c>
    </row>
    <row r="110" spans="1:6" x14ac:dyDescent="0.3">
      <c r="A110" t="s">
        <v>20</v>
      </c>
      <c r="B110">
        <v>50</v>
      </c>
      <c r="C110">
        <v>1</v>
      </c>
      <c r="D110">
        <v>991.72500000000002</v>
      </c>
      <c r="E110">
        <v>14.696</v>
      </c>
      <c r="F110">
        <v>416</v>
      </c>
    </row>
    <row r="111" spans="1:6" x14ac:dyDescent="0.3">
      <c r="A111" t="s">
        <v>20</v>
      </c>
      <c r="B111">
        <v>100</v>
      </c>
      <c r="C111">
        <v>1</v>
      </c>
      <c r="D111">
        <v>1754.8030000000001</v>
      </c>
      <c r="E111">
        <v>32.457000000000001</v>
      </c>
      <c r="F111">
        <v>262</v>
      </c>
    </row>
    <row r="112" spans="1:6" x14ac:dyDescent="0.3">
      <c r="A112" t="s">
        <v>20</v>
      </c>
      <c r="B112">
        <v>100</v>
      </c>
      <c r="C112">
        <v>1</v>
      </c>
      <c r="D112">
        <v>1755.2629999999999</v>
      </c>
      <c r="E112">
        <v>32.558</v>
      </c>
      <c r="F112">
        <v>256</v>
      </c>
    </row>
    <row r="113" spans="1:6" x14ac:dyDescent="0.3">
      <c r="A113" t="s">
        <v>20</v>
      </c>
      <c r="B113">
        <v>100</v>
      </c>
      <c r="C113">
        <v>1</v>
      </c>
      <c r="D113">
        <v>1757.741</v>
      </c>
      <c r="E113">
        <v>32.549999999999997</v>
      </c>
      <c r="F113">
        <v>271</v>
      </c>
    </row>
    <row r="114" spans="1:6" x14ac:dyDescent="0.3">
      <c r="A114" t="s">
        <v>20</v>
      </c>
      <c r="B114">
        <v>100</v>
      </c>
      <c r="C114">
        <v>1</v>
      </c>
      <c r="D114">
        <v>1754.75</v>
      </c>
      <c r="E114">
        <v>32.520000000000003</v>
      </c>
      <c r="F114">
        <v>259</v>
      </c>
    </row>
    <row r="115" spans="1:6" x14ac:dyDescent="0.3">
      <c r="A115" t="s">
        <v>20</v>
      </c>
      <c r="B115">
        <v>100</v>
      </c>
      <c r="C115">
        <v>1</v>
      </c>
      <c r="D115">
        <v>1756.261</v>
      </c>
      <c r="E115">
        <v>32.497999999999998</v>
      </c>
      <c r="F115">
        <v>263</v>
      </c>
    </row>
    <row r="116" spans="1:6" x14ac:dyDescent="0.3">
      <c r="A116" t="s">
        <v>20</v>
      </c>
      <c r="B116">
        <v>100</v>
      </c>
      <c r="C116">
        <v>1</v>
      </c>
      <c r="D116">
        <v>1756.27</v>
      </c>
      <c r="E116">
        <v>32.506999999999998</v>
      </c>
      <c r="F116">
        <v>267</v>
      </c>
    </row>
    <row r="117" spans="1:6" x14ac:dyDescent="0.3">
      <c r="A117" t="s">
        <v>20</v>
      </c>
      <c r="B117">
        <v>100</v>
      </c>
      <c r="C117">
        <v>1</v>
      </c>
      <c r="D117">
        <v>1754.627</v>
      </c>
      <c r="E117">
        <v>32.54</v>
      </c>
      <c r="F117">
        <v>221</v>
      </c>
    </row>
    <row r="118" spans="1:6" x14ac:dyDescent="0.3">
      <c r="A118" t="s">
        <v>20</v>
      </c>
      <c r="B118">
        <v>100</v>
      </c>
      <c r="C118">
        <v>1</v>
      </c>
      <c r="D118">
        <v>1760.8810000000001</v>
      </c>
      <c r="E118">
        <v>32.472999999999999</v>
      </c>
      <c r="F118">
        <v>211</v>
      </c>
    </row>
    <row r="119" spans="1:6" x14ac:dyDescent="0.3">
      <c r="A119" t="s">
        <v>20</v>
      </c>
      <c r="B119">
        <v>100</v>
      </c>
      <c r="C119">
        <v>1</v>
      </c>
      <c r="D119">
        <v>1756.413</v>
      </c>
      <c r="E119">
        <v>32.506</v>
      </c>
      <c r="F119">
        <v>212</v>
      </c>
    </row>
    <row r="120" spans="1:6" x14ac:dyDescent="0.3">
      <c r="A120" t="s">
        <v>20</v>
      </c>
      <c r="B120">
        <v>100</v>
      </c>
      <c r="C120">
        <v>1</v>
      </c>
      <c r="D120">
        <v>1757.817</v>
      </c>
      <c r="E120">
        <v>32.590000000000003</v>
      </c>
      <c r="F120">
        <v>212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1.38</v>
      </c>
      <c r="F121">
        <v>135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1.379</v>
      </c>
      <c r="F122">
        <v>143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1.3640000000000001</v>
      </c>
      <c r="F123">
        <v>432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1.369</v>
      </c>
      <c r="F124">
        <v>200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1.363</v>
      </c>
      <c r="F125">
        <v>114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1.3680000000000001</v>
      </c>
      <c r="F126">
        <v>343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1.377</v>
      </c>
      <c r="F127">
        <v>88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1.367</v>
      </c>
      <c r="F128">
        <v>94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1.367</v>
      </c>
      <c r="F129">
        <v>463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1.369</v>
      </c>
      <c r="F130">
        <v>211</v>
      </c>
    </row>
    <row r="131" spans="1:6" x14ac:dyDescent="0.3">
      <c r="A131" t="s">
        <v>33</v>
      </c>
      <c r="B131">
        <v>209</v>
      </c>
      <c r="C131">
        <v>1</v>
      </c>
      <c r="D131">
        <v>76.236999999999995</v>
      </c>
      <c r="E131">
        <v>180.75299999999999</v>
      </c>
      <c r="F131">
        <v>284</v>
      </c>
    </row>
    <row r="132" spans="1:6" x14ac:dyDescent="0.3">
      <c r="A132" t="s">
        <v>33</v>
      </c>
      <c r="B132">
        <v>209</v>
      </c>
      <c r="C132">
        <v>1</v>
      </c>
      <c r="D132">
        <v>76.491</v>
      </c>
      <c r="E132">
        <v>181.00700000000001</v>
      </c>
      <c r="F132">
        <v>281</v>
      </c>
    </row>
    <row r="133" spans="1:6" x14ac:dyDescent="0.3">
      <c r="A133" t="s">
        <v>33</v>
      </c>
      <c r="B133">
        <v>209</v>
      </c>
      <c r="C133">
        <v>1</v>
      </c>
      <c r="D133">
        <v>76.835999999999999</v>
      </c>
      <c r="E133">
        <v>180.94800000000001</v>
      </c>
      <c r="F133">
        <v>279</v>
      </c>
    </row>
    <row r="134" spans="1:6" x14ac:dyDescent="0.3">
      <c r="A134" t="s">
        <v>33</v>
      </c>
      <c r="B134">
        <v>209</v>
      </c>
      <c r="C134">
        <v>1</v>
      </c>
      <c r="D134">
        <v>76.27</v>
      </c>
      <c r="E134">
        <v>181.059</v>
      </c>
      <c r="F134">
        <v>287</v>
      </c>
    </row>
    <row r="135" spans="1:6" x14ac:dyDescent="0.3">
      <c r="A135" t="s">
        <v>33</v>
      </c>
      <c r="B135">
        <v>209</v>
      </c>
      <c r="C135">
        <v>1</v>
      </c>
      <c r="D135">
        <v>76.569000000000003</v>
      </c>
      <c r="E135">
        <v>180.91200000000001</v>
      </c>
      <c r="F135">
        <v>278</v>
      </c>
    </row>
    <row r="136" spans="1:6" x14ac:dyDescent="0.3">
      <c r="A136" t="s">
        <v>33</v>
      </c>
      <c r="B136">
        <v>209</v>
      </c>
      <c r="C136">
        <v>1</v>
      </c>
      <c r="D136">
        <v>76.844999999999999</v>
      </c>
      <c r="E136">
        <v>180.81</v>
      </c>
      <c r="F136">
        <v>271</v>
      </c>
    </row>
    <row r="137" spans="1:6" x14ac:dyDescent="0.3">
      <c r="A137" t="s">
        <v>33</v>
      </c>
      <c r="B137">
        <v>209</v>
      </c>
      <c r="C137">
        <v>1</v>
      </c>
      <c r="D137">
        <v>76.673000000000002</v>
      </c>
      <c r="E137">
        <v>181.27600000000001</v>
      </c>
      <c r="F137">
        <v>274</v>
      </c>
    </row>
    <row r="138" spans="1:6" x14ac:dyDescent="0.3">
      <c r="A138" t="s">
        <v>33</v>
      </c>
      <c r="B138">
        <v>209</v>
      </c>
      <c r="C138">
        <v>1</v>
      </c>
      <c r="D138">
        <v>76.244</v>
      </c>
      <c r="E138">
        <v>181.14599999999999</v>
      </c>
      <c r="F138">
        <v>286</v>
      </c>
    </row>
    <row r="139" spans="1:6" x14ac:dyDescent="0.3">
      <c r="A139" t="s">
        <v>33</v>
      </c>
      <c r="B139">
        <v>209</v>
      </c>
      <c r="C139">
        <v>1</v>
      </c>
      <c r="D139">
        <v>76.177999999999997</v>
      </c>
      <c r="E139">
        <v>180.92699999999999</v>
      </c>
      <c r="F139">
        <v>279</v>
      </c>
    </row>
    <row r="140" spans="1:6" x14ac:dyDescent="0.3">
      <c r="A140" t="s">
        <v>33</v>
      </c>
      <c r="B140">
        <v>209</v>
      </c>
      <c r="C140">
        <v>1</v>
      </c>
      <c r="D140">
        <v>76.561000000000007</v>
      </c>
      <c r="E140">
        <v>181.023</v>
      </c>
      <c r="F140">
        <v>289</v>
      </c>
    </row>
    <row r="141" spans="1:6" x14ac:dyDescent="0.3">
      <c r="A141" t="s">
        <v>33</v>
      </c>
      <c r="B141">
        <v>324</v>
      </c>
      <c r="C141">
        <v>1</v>
      </c>
      <c r="D141">
        <v>119.11</v>
      </c>
      <c r="E141">
        <v>420.09399999999999</v>
      </c>
      <c r="F141">
        <v>243</v>
      </c>
    </row>
    <row r="142" spans="1:6" x14ac:dyDescent="0.3">
      <c r="A142" t="s">
        <v>33</v>
      </c>
      <c r="B142">
        <v>324</v>
      </c>
      <c r="C142">
        <v>1</v>
      </c>
      <c r="D142">
        <v>118.849</v>
      </c>
      <c r="E142">
        <v>419.71100000000001</v>
      </c>
      <c r="F142">
        <v>245</v>
      </c>
    </row>
    <row r="143" spans="1:6" x14ac:dyDescent="0.3">
      <c r="A143" t="s">
        <v>33</v>
      </c>
      <c r="B143">
        <v>324</v>
      </c>
      <c r="C143">
        <v>1</v>
      </c>
      <c r="D143">
        <v>118.815</v>
      </c>
      <c r="E143">
        <v>419.41</v>
      </c>
      <c r="F143">
        <v>237</v>
      </c>
    </row>
    <row r="144" spans="1:6" x14ac:dyDescent="0.3">
      <c r="A144" t="s">
        <v>33</v>
      </c>
      <c r="B144">
        <v>324</v>
      </c>
      <c r="C144">
        <v>1</v>
      </c>
      <c r="D144">
        <v>118.883</v>
      </c>
      <c r="E144">
        <v>419.49799999999999</v>
      </c>
      <c r="F144">
        <v>244</v>
      </c>
    </row>
    <row r="145" spans="1:6" x14ac:dyDescent="0.3">
      <c r="A145" t="s">
        <v>33</v>
      </c>
      <c r="B145">
        <v>324</v>
      </c>
      <c r="C145">
        <v>1</v>
      </c>
      <c r="D145">
        <v>118.191</v>
      </c>
      <c r="E145">
        <v>419.358</v>
      </c>
      <c r="F145">
        <v>246</v>
      </c>
    </row>
    <row r="146" spans="1:6" x14ac:dyDescent="0.3">
      <c r="A146" t="s">
        <v>33</v>
      </c>
      <c r="B146">
        <v>324</v>
      </c>
      <c r="C146">
        <v>1</v>
      </c>
      <c r="D146">
        <v>118.858</v>
      </c>
      <c r="E146">
        <v>420.48200000000003</v>
      </c>
      <c r="F146">
        <v>239</v>
      </c>
    </row>
    <row r="147" spans="1:6" x14ac:dyDescent="0.3">
      <c r="A147" t="s">
        <v>33</v>
      </c>
      <c r="B147">
        <v>324</v>
      </c>
      <c r="C147">
        <v>1</v>
      </c>
      <c r="D147">
        <v>119.429</v>
      </c>
      <c r="E147">
        <v>420.42899999999997</v>
      </c>
      <c r="F147">
        <v>243</v>
      </c>
    </row>
    <row r="148" spans="1:6" x14ac:dyDescent="0.3">
      <c r="A148" t="s">
        <v>33</v>
      </c>
      <c r="B148">
        <v>324</v>
      </c>
      <c r="C148">
        <v>1</v>
      </c>
      <c r="D148">
        <v>119.062</v>
      </c>
      <c r="E148">
        <v>420.40899999999999</v>
      </c>
      <c r="F148">
        <v>241</v>
      </c>
    </row>
    <row r="149" spans="1:6" x14ac:dyDescent="0.3">
      <c r="A149" t="s">
        <v>33</v>
      </c>
      <c r="B149">
        <v>324</v>
      </c>
      <c r="C149">
        <v>1</v>
      </c>
      <c r="D149">
        <v>118.605</v>
      </c>
      <c r="E149">
        <v>419.62700000000001</v>
      </c>
      <c r="F149">
        <v>240</v>
      </c>
    </row>
    <row r="150" spans="1:6" x14ac:dyDescent="0.3">
      <c r="A150" t="s">
        <v>33</v>
      </c>
      <c r="B150">
        <v>324</v>
      </c>
      <c r="C150">
        <v>1</v>
      </c>
      <c r="D150">
        <v>118.864</v>
      </c>
      <c r="E150">
        <v>419.68700000000001</v>
      </c>
      <c r="F150">
        <v>247</v>
      </c>
    </row>
    <row r="151" spans="1:6" x14ac:dyDescent="0.3">
      <c r="A151" t="s">
        <v>34</v>
      </c>
      <c r="B151">
        <v>40</v>
      </c>
      <c r="C151">
        <v>1</v>
      </c>
      <c r="D151">
        <v>16.78</v>
      </c>
      <c r="E151">
        <v>11.63</v>
      </c>
      <c r="F151">
        <v>317</v>
      </c>
    </row>
    <row r="152" spans="1:6" x14ac:dyDescent="0.3">
      <c r="A152" t="s">
        <v>34</v>
      </c>
      <c r="B152">
        <v>40</v>
      </c>
      <c r="C152">
        <v>1</v>
      </c>
      <c r="D152">
        <v>16.792999999999999</v>
      </c>
      <c r="E152">
        <v>11.618</v>
      </c>
      <c r="F152">
        <v>326</v>
      </c>
    </row>
    <row r="153" spans="1:6" x14ac:dyDescent="0.3">
      <c r="A153" t="s">
        <v>34</v>
      </c>
      <c r="B153">
        <v>40</v>
      </c>
      <c r="C153">
        <v>1</v>
      </c>
      <c r="D153">
        <v>16.753</v>
      </c>
      <c r="E153">
        <v>11.641</v>
      </c>
      <c r="F153">
        <v>291</v>
      </c>
    </row>
    <row r="154" spans="1:6" x14ac:dyDescent="0.3">
      <c r="A154" t="s">
        <v>34</v>
      </c>
      <c r="B154">
        <v>40</v>
      </c>
      <c r="C154">
        <v>1</v>
      </c>
      <c r="D154">
        <v>16.762</v>
      </c>
      <c r="E154">
        <v>11.648</v>
      </c>
      <c r="F154">
        <v>306</v>
      </c>
    </row>
    <row r="155" spans="1:6" x14ac:dyDescent="0.3">
      <c r="A155" t="s">
        <v>34</v>
      </c>
      <c r="B155">
        <v>40</v>
      </c>
      <c r="C155">
        <v>1</v>
      </c>
      <c r="D155">
        <v>16.763000000000002</v>
      </c>
      <c r="E155">
        <v>11.624000000000001</v>
      </c>
      <c r="F155">
        <v>316</v>
      </c>
    </row>
    <row r="156" spans="1:6" x14ac:dyDescent="0.3">
      <c r="A156" t="s">
        <v>34</v>
      </c>
      <c r="B156">
        <v>40</v>
      </c>
      <c r="C156">
        <v>1</v>
      </c>
      <c r="D156">
        <v>16.718</v>
      </c>
      <c r="E156">
        <v>11.619</v>
      </c>
      <c r="F156">
        <v>306</v>
      </c>
    </row>
    <row r="157" spans="1:6" x14ac:dyDescent="0.3">
      <c r="A157" t="s">
        <v>34</v>
      </c>
      <c r="B157">
        <v>40</v>
      </c>
      <c r="C157">
        <v>1</v>
      </c>
      <c r="D157">
        <v>16.616</v>
      </c>
      <c r="E157">
        <v>11.646000000000001</v>
      </c>
      <c r="F157">
        <v>301</v>
      </c>
    </row>
    <row r="158" spans="1:6" x14ac:dyDescent="0.3">
      <c r="A158" t="s">
        <v>34</v>
      </c>
      <c r="B158">
        <v>40</v>
      </c>
      <c r="C158">
        <v>1</v>
      </c>
      <c r="D158">
        <v>16.864000000000001</v>
      </c>
      <c r="E158">
        <v>11.628</v>
      </c>
      <c r="F158">
        <v>307</v>
      </c>
    </row>
    <row r="159" spans="1:6" x14ac:dyDescent="0.3">
      <c r="A159" t="s">
        <v>34</v>
      </c>
      <c r="B159">
        <v>40</v>
      </c>
      <c r="C159">
        <v>1</v>
      </c>
      <c r="D159">
        <v>16.616</v>
      </c>
      <c r="E159">
        <v>11.657</v>
      </c>
      <c r="F159">
        <v>297</v>
      </c>
    </row>
    <row r="160" spans="1:6" x14ac:dyDescent="0.3">
      <c r="A160" t="s">
        <v>34</v>
      </c>
      <c r="B160">
        <v>40</v>
      </c>
      <c r="C160">
        <v>1</v>
      </c>
      <c r="D160">
        <v>16.78</v>
      </c>
      <c r="E160">
        <v>11.63</v>
      </c>
      <c r="F160">
        <v>309</v>
      </c>
    </row>
    <row r="161" spans="1:6" x14ac:dyDescent="0.3">
      <c r="A161" t="s">
        <v>34</v>
      </c>
      <c r="B161">
        <v>96</v>
      </c>
      <c r="C161">
        <v>1</v>
      </c>
      <c r="D161">
        <v>35.231999999999999</v>
      </c>
      <c r="E161">
        <v>51.3</v>
      </c>
      <c r="F161">
        <v>413</v>
      </c>
    </row>
    <row r="162" spans="1:6" x14ac:dyDescent="0.3">
      <c r="A162" t="s">
        <v>34</v>
      </c>
      <c r="B162">
        <v>96</v>
      </c>
      <c r="C162">
        <v>1</v>
      </c>
      <c r="D162">
        <v>35.201000000000001</v>
      </c>
      <c r="E162">
        <v>51.314999999999998</v>
      </c>
      <c r="F162">
        <v>432</v>
      </c>
    </row>
    <row r="163" spans="1:6" x14ac:dyDescent="0.3">
      <c r="A163" t="s">
        <v>34</v>
      </c>
      <c r="B163">
        <v>96</v>
      </c>
      <c r="C163">
        <v>1</v>
      </c>
      <c r="D163">
        <v>35.21</v>
      </c>
      <c r="E163">
        <v>51.365000000000002</v>
      </c>
      <c r="F163">
        <v>425</v>
      </c>
    </row>
    <row r="164" spans="1:6" x14ac:dyDescent="0.3">
      <c r="A164" t="s">
        <v>34</v>
      </c>
      <c r="B164">
        <v>96</v>
      </c>
      <c r="C164">
        <v>1</v>
      </c>
      <c r="D164">
        <v>35.161999999999999</v>
      </c>
      <c r="E164">
        <v>51.302</v>
      </c>
      <c r="F164">
        <v>424</v>
      </c>
    </row>
    <row r="165" spans="1:6" x14ac:dyDescent="0.3">
      <c r="A165" t="s">
        <v>34</v>
      </c>
      <c r="B165">
        <v>96</v>
      </c>
      <c r="C165">
        <v>1</v>
      </c>
      <c r="D165">
        <v>35.234000000000002</v>
      </c>
      <c r="E165">
        <v>51.406999999999996</v>
      </c>
      <c r="F165">
        <v>347</v>
      </c>
    </row>
    <row r="166" spans="1:6" x14ac:dyDescent="0.3">
      <c r="A166" t="s">
        <v>34</v>
      </c>
      <c r="B166">
        <v>96</v>
      </c>
      <c r="C166">
        <v>1</v>
      </c>
      <c r="D166">
        <v>35.127000000000002</v>
      </c>
      <c r="E166">
        <v>51.372999999999998</v>
      </c>
      <c r="F166">
        <v>339</v>
      </c>
    </row>
    <row r="167" spans="1:6" x14ac:dyDescent="0.3">
      <c r="A167" t="s">
        <v>34</v>
      </c>
      <c r="B167">
        <v>96</v>
      </c>
      <c r="C167">
        <v>1</v>
      </c>
      <c r="D167">
        <v>35.225000000000001</v>
      </c>
      <c r="E167">
        <v>51.338999999999999</v>
      </c>
      <c r="F167">
        <v>342</v>
      </c>
    </row>
    <row r="168" spans="1:6" x14ac:dyDescent="0.3">
      <c r="A168" t="s">
        <v>34</v>
      </c>
      <c r="B168">
        <v>96</v>
      </c>
      <c r="C168">
        <v>1</v>
      </c>
      <c r="D168">
        <v>35.182000000000002</v>
      </c>
      <c r="E168">
        <v>51.375</v>
      </c>
      <c r="F168">
        <v>341</v>
      </c>
    </row>
    <row r="169" spans="1:6" x14ac:dyDescent="0.3">
      <c r="A169" t="s">
        <v>34</v>
      </c>
      <c r="B169">
        <v>96</v>
      </c>
      <c r="C169">
        <v>1</v>
      </c>
      <c r="D169">
        <v>35.167000000000002</v>
      </c>
      <c r="E169">
        <v>51.29</v>
      </c>
      <c r="F169">
        <v>336</v>
      </c>
    </row>
    <row r="170" spans="1:6" x14ac:dyDescent="0.3">
      <c r="A170" t="s">
        <v>34</v>
      </c>
      <c r="B170">
        <v>96</v>
      </c>
      <c r="C170">
        <v>1</v>
      </c>
      <c r="D170">
        <v>35.146000000000001</v>
      </c>
      <c r="E170">
        <v>51.289000000000001</v>
      </c>
      <c r="F170">
        <v>336</v>
      </c>
    </row>
    <row r="171" spans="1:6" x14ac:dyDescent="0.3">
      <c r="A171" t="s">
        <v>34</v>
      </c>
      <c r="B171">
        <v>224</v>
      </c>
      <c r="C171">
        <v>1</v>
      </c>
      <c r="D171">
        <v>71.941000000000003</v>
      </c>
      <c r="E171">
        <v>255.46299999999999</v>
      </c>
      <c r="F171">
        <v>325</v>
      </c>
    </row>
    <row r="172" spans="1:6" x14ac:dyDescent="0.3">
      <c r="A172" t="s">
        <v>34</v>
      </c>
      <c r="B172">
        <v>224</v>
      </c>
      <c r="C172">
        <v>1</v>
      </c>
      <c r="D172">
        <v>71.912999999999997</v>
      </c>
      <c r="E172">
        <v>255.423</v>
      </c>
      <c r="F172">
        <v>345</v>
      </c>
    </row>
    <row r="173" spans="1:6" x14ac:dyDescent="0.3">
      <c r="A173" t="s">
        <v>34</v>
      </c>
      <c r="B173">
        <v>224</v>
      </c>
      <c r="C173">
        <v>1</v>
      </c>
      <c r="D173">
        <v>71.94</v>
      </c>
      <c r="E173">
        <v>255.792</v>
      </c>
      <c r="F173">
        <v>322</v>
      </c>
    </row>
    <row r="174" spans="1:6" x14ac:dyDescent="0.3">
      <c r="A174" t="s">
        <v>34</v>
      </c>
      <c r="B174">
        <v>224</v>
      </c>
      <c r="C174">
        <v>1</v>
      </c>
      <c r="D174">
        <v>71.960999999999999</v>
      </c>
      <c r="E174">
        <v>255.78899999999999</v>
      </c>
      <c r="F174">
        <v>332</v>
      </c>
    </row>
    <row r="175" spans="1:6" x14ac:dyDescent="0.3">
      <c r="A175" t="s">
        <v>34</v>
      </c>
      <c r="B175">
        <v>224</v>
      </c>
      <c r="C175">
        <v>1</v>
      </c>
      <c r="D175">
        <v>71.927999999999997</v>
      </c>
      <c r="E175">
        <v>255.79400000000001</v>
      </c>
      <c r="F175">
        <v>329</v>
      </c>
    </row>
    <row r="176" spans="1:6" x14ac:dyDescent="0.3">
      <c r="A176" t="s">
        <v>34</v>
      </c>
      <c r="B176">
        <v>224</v>
      </c>
      <c r="C176">
        <v>1</v>
      </c>
      <c r="D176">
        <v>71.935000000000002</v>
      </c>
      <c r="E176">
        <v>255.78200000000001</v>
      </c>
      <c r="F176">
        <v>329</v>
      </c>
    </row>
    <row r="177" spans="1:6" x14ac:dyDescent="0.3">
      <c r="A177" t="s">
        <v>34</v>
      </c>
      <c r="B177">
        <v>224</v>
      </c>
      <c r="C177">
        <v>1</v>
      </c>
      <c r="D177">
        <v>71.997</v>
      </c>
      <c r="E177">
        <v>255.92500000000001</v>
      </c>
      <c r="F177">
        <v>335</v>
      </c>
    </row>
    <row r="178" spans="1:6" x14ac:dyDescent="0.3">
      <c r="A178" t="s">
        <v>34</v>
      </c>
      <c r="B178">
        <v>224</v>
      </c>
      <c r="C178">
        <v>1</v>
      </c>
      <c r="D178">
        <v>71.92</v>
      </c>
      <c r="E178">
        <v>255.56100000000001</v>
      </c>
      <c r="F178">
        <v>329</v>
      </c>
    </row>
    <row r="179" spans="1:6" x14ac:dyDescent="0.3">
      <c r="A179" t="s">
        <v>34</v>
      </c>
      <c r="B179">
        <v>224</v>
      </c>
      <c r="C179">
        <v>1</v>
      </c>
      <c r="D179">
        <v>72.001999999999995</v>
      </c>
      <c r="E179">
        <v>255.59100000000001</v>
      </c>
      <c r="F179">
        <v>332</v>
      </c>
    </row>
    <row r="180" spans="1:6" x14ac:dyDescent="0.3">
      <c r="A180" t="s">
        <v>34</v>
      </c>
      <c r="B180">
        <v>224</v>
      </c>
      <c r="C180">
        <v>1</v>
      </c>
      <c r="D180">
        <v>71.974000000000004</v>
      </c>
      <c r="E180">
        <v>255.60900000000001</v>
      </c>
      <c r="F180">
        <v>335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33203125"/>
    <col min="2" max="2" width="4.33203125"/>
    <col min="3" max="3" width="2.58203125"/>
    <col min="4" max="4" width="10.5" bestFit="1" customWidth="1"/>
    <col min="5" max="5" width="7.25"/>
    <col min="6" max="6" width="4.83203125" customWidth="1"/>
    <col min="7" max="7" width="2.5"/>
    <col min="8" max="8" width="10.25"/>
    <col min="9" max="9" width="4.33203125"/>
    <col min="10" max="10" width="3.33203125"/>
    <col min="11" max="11" width="2.5"/>
    <col min="12" max="21" width="9.5"/>
    <col min="22" max="22" width="3.5"/>
    <col min="23" max="23" width="9.5"/>
    <col min="24" max="24" width="2.33203125"/>
    <col min="25" max="25" width="9.5"/>
    <col min="26" max="27" width="2.33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28.587</v>
      </c>
      <c r="E1">
        <v>5.2919999999999998</v>
      </c>
      <c r="F1">
        <v>243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5.3</v>
      </c>
      <c r="F2">
        <v>249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28.587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28.504000000000001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28.504000000000001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28.504000000000001</v>
      </c>
      <c r="T2" s="35">
        <f t="shared" ref="T2:T13" ca="1" si="8">INDIRECT("D"&amp;1+(ROW(L1)-1)*10+COLUMN(I1)-1)</f>
        <v>28.504000000000001</v>
      </c>
      <c r="U2" s="35">
        <f t="shared" ref="U2:U13" ca="1" si="9">INDIRECT("D"&amp;1+(ROW(M1)-1)*10+COLUMN(J1)-1)</f>
        <v>28.504000000000001</v>
      </c>
      <c r="W2" s="35">
        <f t="shared" ref="W2:W19" ca="1" si="10">AVERAGE(L2:U2)</f>
        <v>28.524899999999995</v>
      </c>
      <c r="Y2" s="35">
        <f ca="1">Total!E2</f>
        <v>28.504000000000001</v>
      </c>
      <c r="AB2" s="35">
        <f t="shared" ref="AB2:AB19" ca="1" si="11">(L2-$Y2)/$Y2</f>
        <v>2.9118720179623354E-3</v>
      </c>
      <c r="AC2" s="35">
        <f t="shared" ref="AC2:AC19" ca="1" si="12">(M2-$Y2)/$Y2</f>
        <v>1.4734774066796953E-3</v>
      </c>
      <c r="AD2" s="35">
        <f t="shared" ref="AD2:AD19" ca="1" si="13">(N2-$Y2)/$Y2</f>
        <v>0</v>
      </c>
      <c r="AE2" s="35">
        <f t="shared" ref="AE2:AE19" ca="1" si="14">(O2-$Y2)/$Y2</f>
        <v>1.4734774066796953E-3</v>
      </c>
      <c r="AF2" s="35">
        <f t="shared" ref="AF2:AF19" ca="1" si="15">(P2-$Y2)/$Y2</f>
        <v>0</v>
      </c>
      <c r="AG2" s="35">
        <f t="shared" ref="AG2:AG19" ca="1" si="16">(Q2-$Y2)/$Y2</f>
        <v>0</v>
      </c>
      <c r="AH2" s="35">
        <f t="shared" ref="AH2:AH19" ca="1" si="17">(R2-$Y2)/$Y2</f>
        <v>1.4734774066796953E-3</v>
      </c>
      <c r="AI2" s="35">
        <f t="shared" ref="AI2:AI19" ca="1" si="18">(S2-$Y2)/$Y2</f>
        <v>0</v>
      </c>
      <c r="AJ2" s="35">
        <f t="shared" ref="AJ2:AJ19" ca="1" si="19">(T2-$Y2)/$Y2</f>
        <v>0</v>
      </c>
      <c r="AK2" s="35">
        <f t="shared" ref="AK2:AK19" ca="1" si="20">(U2-$Y2)/$Y2</f>
        <v>0</v>
      </c>
      <c r="AM2" s="35">
        <f t="shared" ref="AM2:AM19" ca="1" si="21">SUM(AB2:AK2)</f>
        <v>7.3323042380014211E-3</v>
      </c>
    </row>
    <row r="3" spans="1:39" x14ac:dyDescent="0.3">
      <c r="A3" t="s">
        <v>17</v>
      </c>
      <c r="B3">
        <v>25</v>
      </c>
      <c r="C3">
        <v>1</v>
      </c>
      <c r="D3">
        <v>28.504000000000001</v>
      </c>
      <c r="E3">
        <v>5.2809999999999997</v>
      </c>
      <c r="F3">
        <v>233</v>
      </c>
      <c r="H3" s="35" t="s">
        <v>17</v>
      </c>
      <c r="I3" s="35">
        <v>50</v>
      </c>
      <c r="J3" s="35">
        <v>1</v>
      </c>
      <c r="L3" s="35">
        <f t="shared" ca="1" si="0"/>
        <v>53.097000000000001</v>
      </c>
      <c r="M3" s="35">
        <f t="shared" ca="1" si="1"/>
        <v>53.137</v>
      </c>
      <c r="N3" s="35">
        <f t="shared" ca="1" si="2"/>
        <v>53.137999999999998</v>
      </c>
      <c r="O3" s="35">
        <f t="shared" ca="1" si="3"/>
        <v>52.927</v>
      </c>
      <c r="P3" s="35">
        <f t="shared" ca="1" si="4"/>
        <v>53.067999999999998</v>
      </c>
      <c r="Q3" s="35">
        <f t="shared" ca="1" si="5"/>
        <v>53.128</v>
      </c>
      <c r="R3" s="35">
        <f t="shared" ca="1" si="6"/>
        <v>53.018000000000001</v>
      </c>
      <c r="S3" s="35">
        <f t="shared" ca="1" si="7"/>
        <v>53.057000000000002</v>
      </c>
      <c r="T3" s="35">
        <f t="shared" ca="1" si="8"/>
        <v>52.957000000000001</v>
      </c>
      <c r="U3" s="35">
        <f t="shared" ca="1" si="9"/>
        <v>53.017000000000003</v>
      </c>
      <c r="W3" s="35">
        <f t="shared" ca="1" si="10"/>
        <v>53.054400000000008</v>
      </c>
      <c r="Y3" s="35">
        <f ca="1">Total!E3</f>
        <v>52.927</v>
      </c>
      <c r="AB3" s="35">
        <f t="shared" ca="1" si="11"/>
        <v>3.2119712056228713E-3</v>
      </c>
      <c r="AC3" s="35">
        <f t="shared" ca="1" si="12"/>
        <v>3.967729136357641E-3</v>
      </c>
      <c r="AD3" s="35">
        <f t="shared" ca="1" si="13"/>
        <v>3.9866230846259667E-3</v>
      </c>
      <c r="AE3" s="35">
        <f t="shared" ca="1" si="14"/>
        <v>0</v>
      </c>
      <c r="AF3" s="35">
        <f t="shared" ca="1" si="15"/>
        <v>2.6640467058400862E-3</v>
      </c>
      <c r="AG3" s="35">
        <f t="shared" ca="1" si="16"/>
        <v>3.7976836019423077E-3</v>
      </c>
      <c r="AH3" s="35">
        <f t="shared" ca="1" si="17"/>
        <v>1.7193492924216579E-3</v>
      </c>
      <c r="AI3" s="35">
        <f t="shared" ca="1" si="18"/>
        <v>2.4562132748881015E-3</v>
      </c>
      <c r="AJ3" s="35">
        <f t="shared" ca="1" si="19"/>
        <v>5.6681844805111072E-4</v>
      </c>
      <c r="AK3" s="35">
        <f t="shared" ca="1" si="20"/>
        <v>1.7004553441533322E-3</v>
      </c>
      <c r="AM3" s="35">
        <f t="shared" ca="1" si="21"/>
        <v>2.407089009390307E-2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5.2880000000000003</v>
      </c>
      <c r="F4">
        <v>195</v>
      </c>
      <c r="H4" s="35" t="s">
        <v>17</v>
      </c>
      <c r="I4" s="35">
        <v>100</v>
      </c>
      <c r="J4" s="35">
        <v>1</v>
      </c>
      <c r="L4" s="35">
        <f t="shared" ca="1" si="0"/>
        <v>103.288</v>
      </c>
      <c r="M4" s="35">
        <f t="shared" ca="1" si="1"/>
        <v>103.21299999999999</v>
      </c>
      <c r="N4" s="35">
        <f t="shared" ca="1" si="2"/>
        <v>103.28</v>
      </c>
      <c r="O4" s="35">
        <f t="shared" ca="1" si="3"/>
        <v>103.27200000000001</v>
      </c>
      <c r="P4" s="35">
        <f t="shared" ca="1" si="4"/>
        <v>103.08199999999999</v>
      </c>
      <c r="Q4" s="35">
        <f t="shared" ca="1" si="5"/>
        <v>103.276</v>
      </c>
      <c r="R4" s="35">
        <f t="shared" ca="1" si="6"/>
        <v>103.322</v>
      </c>
      <c r="S4" s="35">
        <f t="shared" ca="1" si="7"/>
        <v>103.28</v>
      </c>
      <c r="T4" s="35">
        <f t="shared" ca="1" si="8"/>
        <v>103.268</v>
      </c>
      <c r="U4" s="35">
        <f t="shared" ca="1" si="9"/>
        <v>103.26600000000001</v>
      </c>
      <c r="W4" s="35">
        <f t="shared" ca="1" si="10"/>
        <v>103.2547</v>
      </c>
      <c r="Y4" s="35">
        <f ca="1">Total!E4</f>
        <v>102.80200000000001</v>
      </c>
      <c r="AB4" s="35">
        <f t="shared" ca="1" si="11"/>
        <v>4.7275344837648097E-3</v>
      </c>
      <c r="AC4" s="35">
        <f t="shared" ca="1" si="12"/>
        <v>3.9979766930603212E-3</v>
      </c>
      <c r="AD4" s="35">
        <f t="shared" ca="1" si="13"/>
        <v>4.64971498608971E-3</v>
      </c>
      <c r="AE4" s="35">
        <f t="shared" ca="1" si="14"/>
        <v>4.5718954884146111E-3</v>
      </c>
      <c r="AF4" s="35">
        <f t="shared" ca="1" si="15"/>
        <v>2.7236824186298602E-3</v>
      </c>
      <c r="AG4" s="35">
        <f t="shared" ca="1" si="16"/>
        <v>4.6108052372520912E-3</v>
      </c>
      <c r="AH4" s="35">
        <f t="shared" ca="1" si="17"/>
        <v>5.0582673488842236E-3</v>
      </c>
      <c r="AI4" s="35">
        <f t="shared" ca="1" si="18"/>
        <v>4.64971498608971E-3</v>
      </c>
      <c r="AJ4" s="35">
        <f t="shared" ca="1" si="19"/>
        <v>4.5329857395769923E-3</v>
      </c>
      <c r="AK4" s="35">
        <f t="shared" ca="1" si="20"/>
        <v>4.5135308651582514E-3</v>
      </c>
      <c r="AM4" s="35">
        <f t="shared" ca="1" si="21"/>
        <v>4.4036108246920586E-2</v>
      </c>
    </row>
    <row r="5" spans="1:39" x14ac:dyDescent="0.3">
      <c r="A5" t="s">
        <v>17</v>
      </c>
      <c r="B5">
        <v>25</v>
      </c>
      <c r="C5">
        <v>1</v>
      </c>
      <c r="D5">
        <v>28.504000000000001</v>
      </c>
      <c r="E5">
        <v>5.2939999999999996</v>
      </c>
      <c r="F5">
        <v>291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28.504000000000001</v>
      </c>
      <c r="E6">
        <v>5.3019999999999996</v>
      </c>
      <c r="F6">
        <v>275</v>
      </c>
      <c r="H6" s="35" t="s">
        <v>18</v>
      </c>
      <c r="I6" s="35">
        <v>50</v>
      </c>
      <c r="J6" s="35">
        <v>1</v>
      </c>
      <c r="L6" s="35">
        <f t="shared" ca="1" si="0"/>
        <v>180.87100000000001</v>
      </c>
      <c r="M6" s="35">
        <f t="shared" ca="1" si="1"/>
        <v>180.053</v>
      </c>
      <c r="N6" s="35">
        <f t="shared" ca="1" si="2"/>
        <v>179.94300000000001</v>
      </c>
      <c r="O6" s="35">
        <f t="shared" ca="1" si="3"/>
        <v>181.59700000000001</v>
      </c>
      <c r="P6" s="35">
        <f t="shared" ca="1" si="4"/>
        <v>180.87100000000001</v>
      </c>
      <c r="Q6" s="35">
        <f t="shared" ca="1" si="5"/>
        <v>181.71299999999999</v>
      </c>
      <c r="R6" s="35">
        <f t="shared" ca="1" si="6"/>
        <v>180.87100000000001</v>
      </c>
      <c r="S6" s="35">
        <f t="shared" ca="1" si="7"/>
        <v>179.953</v>
      </c>
      <c r="T6" s="35">
        <f t="shared" ca="1" si="8"/>
        <v>181.89</v>
      </c>
      <c r="U6" s="35">
        <f t="shared" ca="1" si="9"/>
        <v>181.89</v>
      </c>
      <c r="W6" s="35">
        <f t="shared" ca="1" si="10"/>
        <v>180.96520000000001</v>
      </c>
      <c r="Y6" s="35">
        <f ca="1">Total!E6</f>
        <v>179.673</v>
      </c>
      <c r="AB6" s="35">
        <f t="shared" ca="1" si="11"/>
        <v>6.667668486639659E-3</v>
      </c>
      <c r="AC6" s="35">
        <f t="shared" ca="1" si="12"/>
        <v>2.1149532762295697E-3</v>
      </c>
      <c r="AD6" s="35">
        <f t="shared" ca="1" si="13"/>
        <v>1.502729959426348E-3</v>
      </c>
      <c r="AE6" s="35">
        <f t="shared" ca="1" si="14"/>
        <v>1.0708342377541459E-2</v>
      </c>
      <c r="AF6" s="35">
        <f t="shared" ca="1" si="15"/>
        <v>6.667668486639659E-3</v>
      </c>
      <c r="AG6" s="35">
        <f t="shared" ca="1" si="16"/>
        <v>1.1353959693443045E-2</v>
      </c>
      <c r="AH6" s="35">
        <f t="shared" ca="1" si="17"/>
        <v>6.667668486639659E-3</v>
      </c>
      <c r="AI6" s="35">
        <f t="shared" ca="1" si="18"/>
        <v>1.5583866245902341E-3</v>
      </c>
      <c r="AJ6" s="35">
        <f t="shared" ca="1" si="19"/>
        <v>1.2339082666844681E-2</v>
      </c>
      <c r="AK6" s="35">
        <f t="shared" ca="1" si="20"/>
        <v>1.2339082666844681E-2</v>
      </c>
      <c r="AM6" s="35">
        <f t="shared" ca="1" si="21"/>
        <v>7.1919542724838997E-2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5.29</v>
      </c>
      <c r="F7">
        <v>259</v>
      </c>
      <c r="H7" s="35" t="s">
        <v>18</v>
      </c>
      <c r="I7" s="35">
        <v>100</v>
      </c>
      <c r="J7" s="35">
        <v>1</v>
      </c>
      <c r="L7" s="35">
        <f t="shared" ca="1" si="0"/>
        <v>239.27</v>
      </c>
      <c r="M7" s="35">
        <f t="shared" ca="1" si="1"/>
        <v>239.26</v>
      </c>
      <c r="N7" s="35">
        <f t="shared" ca="1" si="2"/>
        <v>239.66499999999999</v>
      </c>
      <c r="O7" s="35">
        <f t="shared" ca="1" si="3"/>
        <v>239.19900000000001</v>
      </c>
      <c r="P7" s="35">
        <f t="shared" ca="1" si="4"/>
        <v>239.113</v>
      </c>
      <c r="Q7" s="35">
        <f t="shared" ca="1" si="5"/>
        <v>239.24700000000001</v>
      </c>
      <c r="R7" s="35">
        <f t="shared" ca="1" si="6"/>
        <v>239.22</v>
      </c>
      <c r="S7" s="35">
        <f t="shared" ca="1" si="7"/>
        <v>239.268</v>
      </c>
      <c r="T7" s="35">
        <f t="shared" ca="1" si="8"/>
        <v>239.14699999999999</v>
      </c>
      <c r="U7" s="35">
        <f t="shared" ca="1" si="9"/>
        <v>239.24299999999999</v>
      </c>
      <c r="W7" s="35">
        <f t="shared" ca="1" si="10"/>
        <v>239.26320000000001</v>
      </c>
      <c r="Y7" s="35">
        <f ca="1">Total!E7</f>
        <v>238.86699999999999</v>
      </c>
      <c r="AB7" s="35">
        <f t="shared" ca="1" si="11"/>
        <v>1.6871313324989222E-3</v>
      </c>
      <c r="AC7" s="35">
        <f t="shared" ca="1" si="12"/>
        <v>1.6452670314442794E-3</v>
      </c>
      <c r="AD7" s="35">
        <f t="shared" ca="1" si="13"/>
        <v>3.3407712241540349E-3</v>
      </c>
      <c r="AE7" s="35">
        <f t="shared" ca="1" si="14"/>
        <v>1.3898947950115423E-3</v>
      </c>
      <c r="AF7" s="35">
        <f t="shared" ca="1" si="15"/>
        <v>1.029861805942258E-3</v>
      </c>
      <c r="AG7" s="35">
        <f t="shared" ca="1" si="16"/>
        <v>1.5908434400734462E-3</v>
      </c>
      <c r="AH7" s="35">
        <f t="shared" ca="1" si="17"/>
        <v>1.4778098272260657E-3</v>
      </c>
      <c r="AI7" s="35">
        <f t="shared" ca="1" si="18"/>
        <v>1.6787584722879698E-3</v>
      </c>
      <c r="AJ7" s="35">
        <f t="shared" ca="1" si="19"/>
        <v>1.1722004295277337E-3</v>
      </c>
      <c r="AK7" s="35">
        <f t="shared" ca="1" si="20"/>
        <v>1.5740977196515417E-3</v>
      </c>
      <c r="AM7" s="35">
        <f t="shared" ca="1" si="21"/>
        <v>1.6586636077817796E-2</v>
      </c>
    </row>
    <row r="8" spans="1:39" x14ac:dyDescent="0.3">
      <c r="A8" t="s">
        <v>17</v>
      </c>
      <c r="B8">
        <v>25</v>
      </c>
      <c r="C8">
        <v>1</v>
      </c>
      <c r="D8">
        <v>28.504000000000001</v>
      </c>
      <c r="E8">
        <v>5.2750000000000004</v>
      </c>
      <c r="F8">
        <v>242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28.504000000000001</v>
      </c>
      <c r="E9">
        <v>5.2750000000000004</v>
      </c>
      <c r="F9">
        <v>280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28.504000000000001</v>
      </c>
      <c r="E10">
        <v>5.282</v>
      </c>
      <c r="F10">
        <v>256</v>
      </c>
      <c r="H10" s="35" t="s">
        <v>19</v>
      </c>
      <c r="I10" s="35">
        <v>100</v>
      </c>
      <c r="J10" s="35">
        <v>1</v>
      </c>
      <c r="L10" s="35">
        <f t="shared" ca="1" si="0"/>
        <v>35238.449999999997</v>
      </c>
      <c r="M10" s="35">
        <f t="shared" ca="1" si="1"/>
        <v>35258.817999999999</v>
      </c>
      <c r="N10" s="35">
        <f t="shared" ca="1" si="2"/>
        <v>35259.576000000001</v>
      </c>
      <c r="O10" s="35">
        <f t="shared" ca="1" si="3"/>
        <v>35234.720999999998</v>
      </c>
      <c r="P10" s="35">
        <f t="shared" ca="1" si="4"/>
        <v>35283.144999999997</v>
      </c>
      <c r="Q10" s="35">
        <f t="shared" ca="1" si="5"/>
        <v>35272.953000000001</v>
      </c>
      <c r="R10" s="35">
        <f t="shared" ca="1" si="6"/>
        <v>35246.544999999998</v>
      </c>
      <c r="S10" s="35">
        <f t="shared" ca="1" si="7"/>
        <v>35238.366999999998</v>
      </c>
      <c r="T10" s="35">
        <f t="shared" ca="1" si="8"/>
        <v>35258.428</v>
      </c>
      <c r="U10" s="35">
        <f t="shared" ca="1" si="9"/>
        <v>35219.065000000002</v>
      </c>
      <c r="W10" s="35">
        <f t="shared" ca="1" si="10"/>
        <v>35251.006799999996</v>
      </c>
      <c r="Y10" s="35">
        <f ca="1">Total!E10</f>
        <v>35210.383000000002</v>
      </c>
      <c r="AB10" s="35">
        <f t="shared" ca="1" si="11"/>
        <v>7.9712282595720296E-4</v>
      </c>
      <c r="AC10" s="35">
        <f t="shared" ca="1" si="12"/>
        <v>1.3755885586361747E-3</v>
      </c>
      <c r="AD10" s="35">
        <f t="shared" ca="1" si="13"/>
        <v>1.3971162994733486E-3</v>
      </c>
      <c r="AE10" s="35">
        <f t="shared" ca="1" si="14"/>
        <v>6.9121656529541576E-4</v>
      </c>
      <c r="AF10" s="35">
        <f t="shared" ca="1" si="15"/>
        <v>2.0664927160830705E-3</v>
      </c>
      <c r="AG10" s="35">
        <f t="shared" ca="1" si="16"/>
        <v>1.7770326440357013E-3</v>
      </c>
      <c r="AH10" s="35">
        <f t="shared" ca="1" si="17"/>
        <v>1.0270266017838154E-3</v>
      </c>
      <c r="AI10" s="35">
        <f t="shared" ca="1" si="18"/>
        <v>7.9476556673628736E-4</v>
      </c>
      <c r="AJ10" s="35">
        <f t="shared" ca="1" si="19"/>
        <v>1.3645122803690676E-3</v>
      </c>
      <c r="AK10" s="35">
        <f t="shared" ca="1" si="20"/>
        <v>2.4657499465429551E-4</v>
      </c>
      <c r="AM10" s="35">
        <f t="shared" ca="1" si="21"/>
        <v>1.1537449053024382E-2</v>
      </c>
    </row>
    <row r="11" spans="1:39" x14ac:dyDescent="0.3">
      <c r="A11" t="s">
        <v>17</v>
      </c>
      <c r="B11">
        <v>50</v>
      </c>
      <c r="C11">
        <v>1</v>
      </c>
      <c r="D11">
        <v>53.097000000000001</v>
      </c>
      <c r="E11">
        <v>19.552</v>
      </c>
      <c r="F11">
        <v>361</v>
      </c>
      <c r="H11" s="35" t="s">
        <v>20</v>
      </c>
      <c r="I11" s="35">
        <v>30</v>
      </c>
      <c r="J11" s="35">
        <v>1</v>
      </c>
      <c r="L11" s="35">
        <f t="shared" ca="1" si="0"/>
        <v>658.23299999999995</v>
      </c>
      <c r="M11" s="35">
        <f t="shared" ca="1" si="1"/>
        <v>658.23299999999995</v>
      </c>
      <c r="N11" s="35">
        <f t="shared" ca="1" si="2"/>
        <v>657.35599999999999</v>
      </c>
      <c r="O11" s="35">
        <f t="shared" ca="1" si="3"/>
        <v>657.32399999999996</v>
      </c>
      <c r="P11" s="35">
        <f t="shared" ca="1" si="4"/>
        <v>657.35599999999999</v>
      </c>
      <c r="Q11" s="35">
        <f t="shared" ca="1" si="5"/>
        <v>657.32399999999996</v>
      </c>
      <c r="R11" s="35">
        <f t="shared" ca="1" si="6"/>
        <v>658.23299999999995</v>
      </c>
      <c r="S11" s="35">
        <f t="shared" ca="1" si="7"/>
        <v>658.23299999999995</v>
      </c>
      <c r="T11" s="35">
        <f t="shared" ca="1" si="8"/>
        <v>658.23299999999995</v>
      </c>
      <c r="U11" s="35">
        <f t="shared" ca="1" si="9"/>
        <v>658.23299999999995</v>
      </c>
      <c r="W11" s="35">
        <f t="shared" ca="1" si="10"/>
        <v>657.87580000000003</v>
      </c>
      <c r="Y11" s="35">
        <f ca="1">Total!E11</f>
        <v>655.46500000000003</v>
      </c>
      <c r="AB11" s="35">
        <f t="shared" ca="1" si="11"/>
        <v>4.2229562219186613E-3</v>
      </c>
      <c r="AC11" s="35">
        <f t="shared" ca="1" si="12"/>
        <v>4.2229562219186613E-3</v>
      </c>
      <c r="AD11" s="35">
        <f t="shared" ca="1" si="13"/>
        <v>2.8849747888902728E-3</v>
      </c>
      <c r="AE11" s="35">
        <f t="shared" ca="1" si="14"/>
        <v>2.8361544857466434E-3</v>
      </c>
      <c r="AF11" s="35">
        <f t="shared" ca="1" si="15"/>
        <v>2.8849747888902728E-3</v>
      </c>
      <c r="AG11" s="35">
        <f t="shared" ca="1" si="16"/>
        <v>2.8361544857466434E-3</v>
      </c>
      <c r="AH11" s="35">
        <f t="shared" ca="1" si="17"/>
        <v>4.2229562219186613E-3</v>
      </c>
      <c r="AI11" s="35">
        <f t="shared" ca="1" si="18"/>
        <v>4.2229562219186613E-3</v>
      </c>
      <c r="AJ11" s="35">
        <f t="shared" ca="1" si="19"/>
        <v>4.2229562219186613E-3</v>
      </c>
      <c r="AK11" s="35">
        <f t="shared" ca="1" si="20"/>
        <v>4.2229562219186613E-3</v>
      </c>
      <c r="AM11" s="35">
        <f t="shared" ca="1" si="21"/>
        <v>3.6779995880785801E-2</v>
      </c>
    </row>
    <row r="12" spans="1:39" x14ac:dyDescent="0.3">
      <c r="A12" t="s">
        <v>17</v>
      </c>
      <c r="B12">
        <v>50</v>
      </c>
      <c r="C12">
        <v>1</v>
      </c>
      <c r="D12">
        <v>53.137</v>
      </c>
      <c r="E12">
        <v>19.571999999999999</v>
      </c>
      <c r="F12">
        <v>361</v>
      </c>
      <c r="H12" s="35" t="s">
        <v>20</v>
      </c>
      <c r="I12" s="35">
        <v>50</v>
      </c>
      <c r="J12" s="35">
        <v>1</v>
      </c>
      <c r="L12" s="35">
        <f t="shared" ca="1" si="0"/>
        <v>995.09699999999998</v>
      </c>
      <c r="M12" s="35">
        <f t="shared" ca="1" si="1"/>
        <v>994.62699999999995</v>
      </c>
      <c r="N12" s="35">
        <f t="shared" ca="1" si="2"/>
        <v>994.02599999999995</v>
      </c>
      <c r="O12" s="35">
        <f t="shared" ca="1" si="3"/>
        <v>996.14</v>
      </c>
      <c r="P12" s="35">
        <f t="shared" ca="1" si="4"/>
        <v>994.755</v>
      </c>
      <c r="Q12" s="35">
        <f t="shared" ca="1" si="5"/>
        <v>992.125</v>
      </c>
      <c r="R12" s="35">
        <f t="shared" ca="1" si="6"/>
        <v>994.10599999999999</v>
      </c>
      <c r="S12" s="35">
        <f t="shared" ca="1" si="7"/>
        <v>996.14800000000002</v>
      </c>
      <c r="T12" s="35">
        <f t="shared" ca="1" si="8"/>
        <v>993.56600000000003</v>
      </c>
      <c r="U12" s="35">
        <f t="shared" ca="1" si="9"/>
        <v>993.83</v>
      </c>
      <c r="W12" s="35">
        <f t="shared" ca="1" si="10"/>
        <v>994.44200000000001</v>
      </c>
      <c r="Y12" s="35">
        <f ca="1">Total!E12</f>
        <v>990.096</v>
      </c>
      <c r="AB12" s="35">
        <f t="shared" ca="1" si="11"/>
        <v>5.0510253551170553E-3</v>
      </c>
      <c r="AC12" s="35">
        <f t="shared" ca="1" si="12"/>
        <v>4.5763239120246409E-3</v>
      </c>
      <c r="AD12" s="35">
        <f t="shared" ca="1" si="13"/>
        <v>3.9693120667086326E-3</v>
      </c>
      <c r="AE12" s="35">
        <f t="shared" ca="1" si="14"/>
        <v>6.1044585575539979E-3</v>
      </c>
      <c r="AF12" s="35">
        <f t="shared" ca="1" si="15"/>
        <v>4.7056043050370793E-3</v>
      </c>
      <c r="AG12" s="35">
        <f t="shared" ca="1" si="16"/>
        <v>2.049296229860535E-3</v>
      </c>
      <c r="AH12" s="35">
        <f t="shared" ca="1" si="17"/>
        <v>4.0501123123414199E-3</v>
      </c>
      <c r="AI12" s="35">
        <f t="shared" ca="1" si="18"/>
        <v>6.1125385821173108E-3</v>
      </c>
      <c r="AJ12" s="35">
        <f t="shared" ca="1" si="19"/>
        <v>3.5047106543204167E-3</v>
      </c>
      <c r="AK12" s="35">
        <f t="shared" ca="1" si="20"/>
        <v>3.7713514649084911E-3</v>
      </c>
      <c r="AM12" s="35">
        <f t="shared" ca="1" si="21"/>
        <v>4.3894733439989592E-2</v>
      </c>
    </row>
    <row r="13" spans="1:39" x14ac:dyDescent="0.3">
      <c r="A13" t="s">
        <v>17</v>
      </c>
      <c r="B13">
        <v>50</v>
      </c>
      <c r="C13">
        <v>1</v>
      </c>
      <c r="D13">
        <v>53.137999999999998</v>
      </c>
      <c r="E13">
        <v>19.576000000000001</v>
      </c>
      <c r="F13">
        <v>357</v>
      </c>
      <c r="H13" s="35" t="s">
        <v>20</v>
      </c>
      <c r="I13" s="35">
        <v>100</v>
      </c>
      <c r="J13" s="35">
        <v>1</v>
      </c>
      <c r="L13" s="35">
        <f t="shared" ca="1" si="0"/>
        <v>1756.54</v>
      </c>
      <c r="M13" s="35">
        <f t="shared" ca="1" si="1"/>
        <v>1756.0989999999999</v>
      </c>
      <c r="N13" s="35">
        <f t="shared" ca="1" si="2"/>
        <v>1754.8330000000001</v>
      </c>
      <c r="O13" s="35">
        <f t="shared" ca="1" si="3"/>
        <v>1755.806</v>
      </c>
      <c r="P13" s="35">
        <f t="shared" ca="1" si="4"/>
        <v>1756.049</v>
      </c>
      <c r="Q13" s="35">
        <f t="shared" ca="1" si="5"/>
        <v>1756.42</v>
      </c>
      <c r="R13" s="35">
        <f t="shared" ca="1" si="6"/>
        <v>1757.356</v>
      </c>
      <c r="S13" s="35">
        <f t="shared" ca="1" si="7"/>
        <v>1757.5029999999999</v>
      </c>
      <c r="T13" s="35">
        <f t="shared" ca="1" si="8"/>
        <v>1755.64</v>
      </c>
      <c r="U13" s="35">
        <f t="shared" ca="1" si="9"/>
        <v>1758.567</v>
      </c>
      <c r="W13" s="35">
        <f t="shared" ca="1" si="10"/>
        <v>1756.4813000000001</v>
      </c>
      <c r="Y13" s="35">
        <f ca="1">Total!E13</f>
        <v>1753.79</v>
      </c>
      <c r="AB13" s="35">
        <f t="shared" ca="1" si="11"/>
        <v>1.5680326606948381E-3</v>
      </c>
      <c r="AC13" s="35">
        <f t="shared" ca="1" si="12"/>
        <v>1.3165772412888483E-3</v>
      </c>
      <c r="AD13" s="35">
        <f t="shared" ca="1" si="13"/>
        <v>5.9471202367451066E-4</v>
      </c>
      <c r="AE13" s="35">
        <f t="shared" ca="1" si="14"/>
        <v>1.1495104887130595E-3</v>
      </c>
      <c r="AF13" s="35">
        <f t="shared" ca="1" si="15"/>
        <v>1.2880675565489681E-3</v>
      </c>
      <c r="AG13" s="35">
        <f t="shared" ca="1" si="16"/>
        <v>1.4996094173191255E-3</v>
      </c>
      <c r="AH13" s="35">
        <f t="shared" ca="1" si="17"/>
        <v>2.0333107156501242E-3</v>
      </c>
      <c r="AI13" s="35">
        <f t="shared" ca="1" si="18"/>
        <v>2.1171291887854106E-3</v>
      </c>
      <c r="AJ13" s="35">
        <f t="shared" ca="1" si="19"/>
        <v>1.0548583353766053E-3</v>
      </c>
      <c r="AK13" s="35">
        <f t="shared" ca="1" si="20"/>
        <v>2.7238152800506581E-3</v>
      </c>
      <c r="AM13" s="35">
        <f t="shared" ca="1" si="21"/>
        <v>1.5345622908102149E-2</v>
      </c>
    </row>
    <row r="14" spans="1:39" x14ac:dyDescent="0.3">
      <c r="A14" t="s">
        <v>17</v>
      </c>
      <c r="B14">
        <v>50</v>
      </c>
      <c r="C14">
        <v>1</v>
      </c>
      <c r="D14">
        <v>52.927</v>
      </c>
      <c r="E14">
        <v>19.550999999999998</v>
      </c>
      <c r="F14">
        <v>412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53.067999999999998</v>
      </c>
      <c r="E15">
        <v>19.562999999999999</v>
      </c>
      <c r="F15">
        <v>438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76.486000000000004</v>
      </c>
      <c r="M15" s="35">
        <f t="shared" ca="1" si="1"/>
        <v>76.885999999999996</v>
      </c>
      <c r="N15" s="35">
        <f t="shared" ca="1" si="1"/>
        <v>76.902000000000001</v>
      </c>
      <c r="O15" s="35">
        <f t="shared" ca="1" si="1"/>
        <v>76.42</v>
      </c>
      <c r="P15" s="35">
        <f t="shared" ca="1" si="1"/>
        <v>76.356999999999999</v>
      </c>
      <c r="Q15" s="35">
        <f t="shared" ca="1" si="1"/>
        <v>76.466999999999999</v>
      </c>
      <c r="R15" s="35">
        <f t="shared" ca="1" si="1"/>
        <v>76.647999999999996</v>
      </c>
      <c r="S15" s="35">
        <f t="shared" ca="1" si="1"/>
        <v>76.233999999999995</v>
      </c>
      <c r="T15" s="35">
        <f t="shared" ca="1" si="1"/>
        <v>76.626000000000005</v>
      </c>
      <c r="U15" s="35">
        <f t="shared" ca="1" si="1"/>
        <v>76.316999999999993</v>
      </c>
      <c r="W15" s="35">
        <f t="shared" ca="1" si="10"/>
        <v>76.534300000000002</v>
      </c>
      <c r="Y15" s="35">
        <f ca="1">Total!E15</f>
        <v>75.998000000000005</v>
      </c>
      <c r="AB15" s="35">
        <f t="shared" ca="1" si="11"/>
        <v>6.4212216110950222E-3</v>
      </c>
      <c r="AC15" s="35">
        <f t="shared" ca="1" si="12"/>
        <v>1.1684518013631819E-2</v>
      </c>
      <c r="AD15" s="35">
        <f t="shared" ca="1" si="13"/>
        <v>1.1895049869733365E-2</v>
      </c>
      <c r="AE15" s="35">
        <f t="shared" ca="1" si="14"/>
        <v>5.5527777046763998E-3</v>
      </c>
      <c r="AF15" s="35">
        <f t="shared" ca="1" si="15"/>
        <v>4.7238085212768051E-3</v>
      </c>
      <c r="AG15" s="35">
        <f t="shared" ca="1" si="16"/>
        <v>6.1712150319744473E-3</v>
      </c>
      <c r="AH15" s="35">
        <f t="shared" ca="1" si="17"/>
        <v>8.552856654122365E-3</v>
      </c>
      <c r="AI15" s="35">
        <f t="shared" ca="1" si="18"/>
        <v>3.1053448774966443E-3</v>
      </c>
      <c r="AJ15" s="35">
        <f t="shared" ca="1" si="19"/>
        <v>8.2633753519829479E-3</v>
      </c>
      <c r="AK15" s="35">
        <f t="shared" ca="1" si="20"/>
        <v>4.1974788810230316E-3</v>
      </c>
      <c r="AM15" s="35">
        <f t="shared" ca="1" si="21"/>
        <v>7.0567646517012847E-2</v>
      </c>
    </row>
    <row r="16" spans="1:39" x14ac:dyDescent="0.3">
      <c r="A16" t="s">
        <v>17</v>
      </c>
      <c r="B16">
        <v>50</v>
      </c>
      <c r="C16">
        <v>1</v>
      </c>
      <c r="D16">
        <v>53.128</v>
      </c>
      <c r="E16">
        <v>19.579999999999998</v>
      </c>
      <c r="F16">
        <v>458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119.27200000000001</v>
      </c>
      <c r="M16" s="35">
        <f t="shared" ca="1" si="1"/>
        <v>119.07599999999999</v>
      </c>
      <c r="N16" s="35">
        <f t="shared" ca="1" si="1"/>
        <v>119.45399999999999</v>
      </c>
      <c r="O16" s="35">
        <f t="shared" ca="1" si="1"/>
        <v>119.61799999999999</v>
      </c>
      <c r="P16" s="35">
        <f t="shared" ca="1" si="1"/>
        <v>118.655</v>
      </c>
      <c r="Q16" s="35">
        <f t="shared" ca="1" si="1"/>
        <v>118.78400000000001</v>
      </c>
      <c r="R16" s="35">
        <f t="shared" ca="1" si="1"/>
        <v>118.74</v>
      </c>
      <c r="S16" s="35">
        <f t="shared" ca="1" si="1"/>
        <v>119.504</v>
      </c>
      <c r="T16" s="35">
        <f t="shared" ca="1" si="1"/>
        <v>119.358</v>
      </c>
      <c r="U16" s="35">
        <f t="shared" ca="1" si="1"/>
        <v>118.8</v>
      </c>
      <c r="W16" s="35">
        <f t="shared" ca="1" si="10"/>
        <v>119.12609999999999</v>
      </c>
      <c r="Y16" s="35">
        <f ca="1">Total!E16</f>
        <v>118.01</v>
      </c>
      <c r="AB16" s="35">
        <f t="shared" ca="1" si="11"/>
        <v>1.069400898228964E-2</v>
      </c>
      <c r="AC16" s="35">
        <f t="shared" ca="1" si="12"/>
        <v>9.0331327853570738E-3</v>
      </c>
      <c r="AD16" s="35">
        <f t="shared" ca="1" si="13"/>
        <v>1.2236251165155396E-2</v>
      </c>
      <c r="AE16" s="35">
        <f t="shared" ca="1" si="14"/>
        <v>1.3625963901364205E-2</v>
      </c>
      <c r="AF16" s="35">
        <f t="shared" ca="1" si="15"/>
        <v>5.4656385052113884E-3</v>
      </c>
      <c r="AG16" s="35">
        <f t="shared" ca="1" si="16"/>
        <v>6.5587662062537144E-3</v>
      </c>
      <c r="AH16" s="35">
        <f t="shared" ca="1" si="17"/>
        <v>6.1859164477585772E-3</v>
      </c>
      <c r="AI16" s="35">
        <f t="shared" ca="1" si="18"/>
        <v>1.2659944072536223E-2</v>
      </c>
      <c r="AJ16" s="35">
        <f t="shared" ca="1" si="19"/>
        <v>1.1422760782984483E-2</v>
      </c>
      <c r="AK16" s="35">
        <f t="shared" ca="1" si="20"/>
        <v>6.6943479366154733E-3</v>
      </c>
      <c r="AM16" s="35">
        <f t="shared" ca="1" si="21"/>
        <v>9.457673078552617E-2</v>
      </c>
    </row>
    <row r="17" spans="1:39" x14ac:dyDescent="0.3">
      <c r="A17" t="s">
        <v>17</v>
      </c>
      <c r="B17">
        <v>50</v>
      </c>
      <c r="C17">
        <v>1</v>
      </c>
      <c r="D17">
        <v>53.018000000000001</v>
      </c>
      <c r="E17">
        <v>19.565999999999999</v>
      </c>
      <c r="F17">
        <v>408</v>
      </c>
      <c r="H17" s="35" t="s">
        <v>34</v>
      </c>
      <c r="I17" s="35">
        <v>40</v>
      </c>
      <c r="J17" s="35">
        <v>1</v>
      </c>
      <c r="L17" s="35">
        <f t="shared" ca="1" si="22"/>
        <v>16.66</v>
      </c>
      <c r="M17" s="35">
        <f t="shared" ca="1" si="1"/>
        <v>16.771000000000001</v>
      </c>
      <c r="N17" s="35">
        <f t="shared" ca="1" si="1"/>
        <v>16.673999999999999</v>
      </c>
      <c r="O17" s="35">
        <f t="shared" ca="1" si="1"/>
        <v>16.608000000000001</v>
      </c>
      <c r="P17" s="35">
        <f t="shared" ca="1" si="1"/>
        <v>16.616</v>
      </c>
      <c r="Q17" s="35">
        <f t="shared" ca="1" si="1"/>
        <v>16.75</v>
      </c>
      <c r="R17" s="35">
        <f t="shared" ca="1" si="1"/>
        <v>16.75</v>
      </c>
      <c r="S17" s="35">
        <f t="shared" ca="1" si="1"/>
        <v>16.771000000000001</v>
      </c>
      <c r="T17" s="35">
        <f t="shared" ca="1" si="1"/>
        <v>16.616</v>
      </c>
      <c r="U17" s="35">
        <f t="shared" ca="1" si="1"/>
        <v>16.616</v>
      </c>
      <c r="W17" s="35">
        <f t="shared" ca="1" si="10"/>
        <v>16.683199999999999</v>
      </c>
      <c r="Y17" s="35">
        <f ca="1">Total!E17</f>
        <v>16.481999999999999</v>
      </c>
      <c r="AB17" s="35">
        <f t="shared" ca="1" si="11"/>
        <v>1.0799660235408374E-2</v>
      </c>
      <c r="AC17" s="35">
        <f t="shared" ca="1" si="12"/>
        <v>1.7534279820410236E-2</v>
      </c>
      <c r="AD17" s="35">
        <f t="shared" ca="1" si="13"/>
        <v>1.1649071714597755E-2</v>
      </c>
      <c r="AE17" s="35">
        <f t="shared" ca="1" si="14"/>
        <v>7.644703312704843E-3</v>
      </c>
      <c r="AF17" s="35">
        <f t="shared" ca="1" si="15"/>
        <v>8.1300813008130298E-3</v>
      </c>
      <c r="AG17" s="35">
        <f t="shared" ca="1" si="16"/>
        <v>1.626016260162606E-2</v>
      </c>
      <c r="AH17" s="35">
        <f t="shared" ca="1" si="17"/>
        <v>1.626016260162606E-2</v>
      </c>
      <c r="AI17" s="35">
        <f t="shared" ca="1" si="18"/>
        <v>1.7534279820410236E-2</v>
      </c>
      <c r="AJ17" s="35">
        <f t="shared" ca="1" si="19"/>
        <v>8.1300813008130298E-3</v>
      </c>
      <c r="AK17" s="35">
        <f t="shared" ca="1" si="20"/>
        <v>8.1300813008130298E-3</v>
      </c>
      <c r="AM17" s="35">
        <f t="shared" ca="1" si="21"/>
        <v>0.12207256400922264</v>
      </c>
    </row>
    <row r="18" spans="1:39" x14ac:dyDescent="0.3">
      <c r="A18" t="s">
        <v>17</v>
      </c>
      <c r="B18">
        <v>50</v>
      </c>
      <c r="C18">
        <v>1</v>
      </c>
      <c r="D18">
        <v>53.057000000000002</v>
      </c>
      <c r="E18">
        <v>19.588999999999999</v>
      </c>
      <c r="F18">
        <v>361</v>
      </c>
      <c r="H18" s="35" t="s">
        <v>34</v>
      </c>
      <c r="I18" s="35">
        <v>96</v>
      </c>
      <c r="J18" s="35">
        <v>1</v>
      </c>
      <c r="L18" s="35">
        <f t="shared" ca="1" si="22"/>
        <v>35.155999999999999</v>
      </c>
      <c r="M18" s="35">
        <f t="shared" ca="1" si="22"/>
        <v>35.183</v>
      </c>
      <c r="N18" s="35">
        <f t="shared" ca="1" si="22"/>
        <v>35.127000000000002</v>
      </c>
      <c r="O18" s="35">
        <f t="shared" ca="1" si="22"/>
        <v>35.125</v>
      </c>
      <c r="P18" s="35">
        <f t="shared" ca="1" si="22"/>
        <v>35.134999999999998</v>
      </c>
      <c r="Q18" s="35">
        <f t="shared" ca="1" si="22"/>
        <v>35.177</v>
      </c>
      <c r="R18" s="35">
        <f t="shared" ca="1" si="22"/>
        <v>35.244</v>
      </c>
      <c r="S18" s="35">
        <f t="shared" ca="1" si="22"/>
        <v>35.161000000000001</v>
      </c>
      <c r="T18" s="35">
        <f t="shared" ca="1" si="22"/>
        <v>35.154000000000003</v>
      </c>
      <c r="U18" s="35">
        <f t="shared" ca="1" si="22"/>
        <v>35.15</v>
      </c>
      <c r="W18" s="35">
        <f t="shared" ca="1" si="10"/>
        <v>35.161199999999994</v>
      </c>
      <c r="Y18" s="35">
        <f ca="1">Total!E18</f>
        <v>35.069000000000003</v>
      </c>
      <c r="AB18" s="35">
        <f t="shared" ca="1" si="11"/>
        <v>2.4808235193474631E-3</v>
      </c>
      <c r="AC18" s="35">
        <f t="shared" ca="1" si="12"/>
        <v>3.2507342667312217E-3</v>
      </c>
      <c r="AD18" s="35">
        <f t="shared" ca="1" si="13"/>
        <v>1.6538823462317097E-3</v>
      </c>
      <c r="AE18" s="35">
        <f t="shared" ca="1" si="14"/>
        <v>1.5968519204995119E-3</v>
      </c>
      <c r="AF18" s="35">
        <f t="shared" ca="1" si="15"/>
        <v>1.8820040491600955E-3</v>
      </c>
      <c r="AG18" s="35">
        <f t="shared" ca="1" si="16"/>
        <v>3.0796429895348309E-3</v>
      </c>
      <c r="AH18" s="35">
        <f t="shared" ca="1" si="17"/>
        <v>4.9901622515611263E-3</v>
      </c>
      <c r="AI18" s="35">
        <f t="shared" ca="1" si="18"/>
        <v>2.6233995836778563E-3</v>
      </c>
      <c r="AJ18" s="35">
        <f t="shared" ca="1" si="19"/>
        <v>2.4237930936154678E-3</v>
      </c>
      <c r="AK18" s="35">
        <f t="shared" ca="1" si="20"/>
        <v>2.3097322421510723E-3</v>
      </c>
      <c r="AM18" s="35">
        <f t="shared" ca="1" si="21"/>
        <v>2.6291026262510352E-2</v>
      </c>
    </row>
    <row r="19" spans="1:39" x14ac:dyDescent="0.3">
      <c r="A19" t="s">
        <v>17</v>
      </c>
      <c r="B19">
        <v>50</v>
      </c>
      <c r="C19">
        <v>1</v>
      </c>
      <c r="D19">
        <v>52.957000000000001</v>
      </c>
      <c r="E19">
        <v>19.562000000000001</v>
      </c>
      <c r="F19">
        <v>360</v>
      </c>
      <c r="H19" s="35" t="s">
        <v>34</v>
      </c>
      <c r="I19" s="35">
        <v>224</v>
      </c>
      <c r="J19" s="35">
        <v>1</v>
      </c>
      <c r="L19" s="35">
        <f t="shared" ca="1" si="22"/>
        <v>71.924000000000007</v>
      </c>
      <c r="M19" s="35">
        <f t="shared" ca="1" si="22"/>
        <v>71.918999999999997</v>
      </c>
      <c r="N19" s="35">
        <f t="shared" ca="1" si="22"/>
        <v>71.930000000000007</v>
      </c>
      <c r="O19" s="35">
        <f t="shared" ca="1" si="22"/>
        <v>71.914000000000001</v>
      </c>
      <c r="P19" s="35">
        <f t="shared" ca="1" si="22"/>
        <v>71.932000000000002</v>
      </c>
      <c r="Q19" s="35">
        <f t="shared" ca="1" si="22"/>
        <v>71.924999999999997</v>
      </c>
      <c r="R19" s="35">
        <f t="shared" ca="1" si="22"/>
        <v>71.936999999999998</v>
      </c>
      <c r="S19" s="35">
        <f t="shared" ca="1" si="22"/>
        <v>71.983000000000004</v>
      </c>
      <c r="T19" s="35">
        <f t="shared" ca="1" si="22"/>
        <v>71.947000000000003</v>
      </c>
      <c r="U19" s="35">
        <f t="shared" ca="1" si="22"/>
        <v>71.915000000000006</v>
      </c>
      <c r="W19" s="35">
        <f t="shared" ca="1" si="10"/>
        <v>71.932600000000008</v>
      </c>
      <c r="Y19" s="35">
        <f ca="1">Total!E19</f>
        <v>71.908000000000001</v>
      </c>
      <c r="AB19" s="35">
        <f t="shared" ca="1" si="11"/>
        <v>2.2250653612957311E-4</v>
      </c>
      <c r="AC19" s="35">
        <f t="shared" ca="1" si="12"/>
        <v>1.5297324358897035E-4</v>
      </c>
      <c r="AD19" s="35">
        <f t="shared" ca="1" si="13"/>
        <v>3.059464871781383E-4</v>
      </c>
      <c r="AE19" s="35">
        <f t="shared" ca="1" si="14"/>
        <v>8.3439951048565217E-5</v>
      </c>
      <c r="AF19" s="35">
        <f t="shared" ca="1" si="15"/>
        <v>3.3375980419426087E-4</v>
      </c>
      <c r="AG19" s="35">
        <f t="shared" ca="1" si="16"/>
        <v>2.3641319463753557E-4</v>
      </c>
      <c r="AH19" s="35">
        <f t="shared" ca="1" si="17"/>
        <v>4.03293096734666E-4</v>
      </c>
      <c r="AI19" s="35">
        <f t="shared" ca="1" si="18"/>
        <v>1.0429993881070651E-3</v>
      </c>
      <c r="AJ19" s="35">
        <f t="shared" ca="1" si="19"/>
        <v>5.4235968181567387E-4</v>
      </c>
      <c r="AK19" s="35">
        <f t="shared" ca="1" si="20"/>
        <v>9.7346609556725285E-5</v>
      </c>
      <c r="AM19" s="35">
        <f t="shared" ca="1" si="21"/>
        <v>3.4210379929911737E-3</v>
      </c>
    </row>
    <row r="20" spans="1:39" x14ac:dyDescent="0.3">
      <c r="A20" t="s">
        <v>17</v>
      </c>
      <c r="B20">
        <v>50</v>
      </c>
      <c r="C20">
        <v>1</v>
      </c>
      <c r="D20">
        <v>53.017000000000003</v>
      </c>
      <c r="E20">
        <v>19.564</v>
      </c>
      <c r="F20">
        <v>354</v>
      </c>
    </row>
    <row r="21" spans="1:39" x14ac:dyDescent="0.3">
      <c r="A21" t="s">
        <v>17</v>
      </c>
      <c r="B21">
        <v>100</v>
      </c>
      <c r="C21">
        <v>1</v>
      </c>
      <c r="D21">
        <v>103.288</v>
      </c>
      <c r="E21">
        <v>102.10299999999999</v>
      </c>
      <c r="F21">
        <v>611</v>
      </c>
    </row>
    <row r="22" spans="1:39" x14ac:dyDescent="0.3">
      <c r="A22" t="s">
        <v>17</v>
      </c>
      <c r="B22">
        <v>100</v>
      </c>
      <c r="C22">
        <v>1</v>
      </c>
      <c r="D22">
        <v>103.21299999999999</v>
      </c>
      <c r="E22">
        <v>102.092</v>
      </c>
      <c r="F22">
        <v>604</v>
      </c>
    </row>
    <row r="23" spans="1:39" x14ac:dyDescent="0.3">
      <c r="A23" t="s">
        <v>17</v>
      </c>
      <c r="B23">
        <v>100</v>
      </c>
      <c r="C23">
        <v>1</v>
      </c>
      <c r="D23">
        <v>103.28</v>
      </c>
      <c r="E23">
        <v>102.02500000000001</v>
      </c>
      <c r="F23">
        <v>627</v>
      </c>
    </row>
    <row r="24" spans="1:39" x14ac:dyDescent="0.3">
      <c r="A24" t="s">
        <v>17</v>
      </c>
      <c r="B24">
        <v>100</v>
      </c>
      <c r="C24">
        <v>1</v>
      </c>
      <c r="D24">
        <v>103.27200000000001</v>
      </c>
      <c r="E24">
        <v>102.104</v>
      </c>
      <c r="F24">
        <v>569</v>
      </c>
    </row>
    <row r="25" spans="1:39" x14ac:dyDescent="0.3">
      <c r="A25" t="s">
        <v>17</v>
      </c>
      <c r="B25">
        <v>100</v>
      </c>
      <c r="C25">
        <v>1</v>
      </c>
      <c r="D25">
        <v>103.08199999999999</v>
      </c>
      <c r="E25">
        <v>102.13200000000001</v>
      </c>
      <c r="F25">
        <v>631</v>
      </c>
    </row>
    <row r="26" spans="1:39" x14ac:dyDescent="0.3">
      <c r="A26" t="s">
        <v>17</v>
      </c>
      <c r="B26">
        <v>100</v>
      </c>
      <c r="C26">
        <v>1</v>
      </c>
      <c r="D26">
        <v>103.276</v>
      </c>
      <c r="E26">
        <v>102.084</v>
      </c>
      <c r="F26">
        <v>607</v>
      </c>
    </row>
    <row r="27" spans="1:39" x14ac:dyDescent="0.3">
      <c r="A27" t="s">
        <v>17</v>
      </c>
      <c r="B27">
        <v>100</v>
      </c>
      <c r="C27">
        <v>1</v>
      </c>
      <c r="D27">
        <v>103.322</v>
      </c>
      <c r="E27">
        <v>102.006</v>
      </c>
      <c r="F27">
        <v>615</v>
      </c>
    </row>
    <row r="28" spans="1:39" x14ac:dyDescent="0.3">
      <c r="A28" t="s">
        <v>17</v>
      </c>
      <c r="B28">
        <v>100</v>
      </c>
      <c r="C28">
        <v>1</v>
      </c>
      <c r="D28">
        <v>103.28</v>
      </c>
      <c r="E28">
        <v>102.056</v>
      </c>
      <c r="F28">
        <v>616</v>
      </c>
    </row>
    <row r="29" spans="1:39" x14ac:dyDescent="0.3">
      <c r="A29" t="s">
        <v>17</v>
      </c>
      <c r="B29">
        <v>100</v>
      </c>
      <c r="C29">
        <v>1</v>
      </c>
      <c r="D29">
        <v>103.268</v>
      </c>
      <c r="E29">
        <v>102.066</v>
      </c>
      <c r="F29">
        <v>575</v>
      </c>
    </row>
    <row r="30" spans="1:39" x14ac:dyDescent="0.3">
      <c r="A30" t="s">
        <v>17</v>
      </c>
      <c r="B30">
        <v>100</v>
      </c>
      <c r="C30">
        <v>1</v>
      </c>
      <c r="D30">
        <v>103.26600000000001</v>
      </c>
      <c r="E30">
        <v>102.104</v>
      </c>
      <c r="F30">
        <v>619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8.0090000000000003</v>
      </c>
      <c r="F31">
        <v>311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8.0129999999999999</v>
      </c>
      <c r="F32">
        <v>285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8.0210000000000008</v>
      </c>
      <c r="F33">
        <v>254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8.0210000000000008</v>
      </c>
      <c r="F34">
        <v>297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8.0060000000000002</v>
      </c>
      <c r="F35">
        <v>319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8.0030000000000001</v>
      </c>
      <c r="F36">
        <v>288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8.0109999999999992</v>
      </c>
      <c r="F37">
        <v>269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8.0069999999999997</v>
      </c>
      <c r="F38">
        <v>309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8.016</v>
      </c>
      <c r="F39">
        <v>266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8.0250000000000004</v>
      </c>
      <c r="F40">
        <v>338</v>
      </c>
    </row>
    <row r="41" spans="1:6" x14ac:dyDescent="0.3">
      <c r="A41" t="s">
        <v>18</v>
      </c>
      <c r="B41">
        <v>50</v>
      </c>
      <c r="C41">
        <v>1</v>
      </c>
      <c r="D41">
        <v>180.87100000000001</v>
      </c>
      <c r="E41">
        <v>22.437000000000001</v>
      </c>
      <c r="F41">
        <v>470</v>
      </c>
    </row>
    <row r="42" spans="1:6" x14ac:dyDescent="0.3">
      <c r="A42" t="s">
        <v>18</v>
      </c>
      <c r="B42">
        <v>50</v>
      </c>
      <c r="C42">
        <v>1</v>
      </c>
      <c r="D42">
        <v>180.053</v>
      </c>
      <c r="E42">
        <v>22.431000000000001</v>
      </c>
      <c r="F42">
        <v>495</v>
      </c>
    </row>
    <row r="43" spans="1:6" x14ac:dyDescent="0.3">
      <c r="A43" t="s">
        <v>18</v>
      </c>
      <c r="B43">
        <v>50</v>
      </c>
      <c r="C43">
        <v>1</v>
      </c>
      <c r="D43">
        <v>179.94300000000001</v>
      </c>
      <c r="E43">
        <v>22.428999999999998</v>
      </c>
      <c r="F43">
        <v>508</v>
      </c>
    </row>
    <row r="44" spans="1:6" x14ac:dyDescent="0.3">
      <c r="A44" t="s">
        <v>18</v>
      </c>
      <c r="B44">
        <v>50</v>
      </c>
      <c r="C44">
        <v>1</v>
      </c>
      <c r="D44">
        <v>181.59700000000001</v>
      </c>
      <c r="E44">
        <v>22.407</v>
      </c>
      <c r="F44">
        <v>461</v>
      </c>
    </row>
    <row r="45" spans="1:6" x14ac:dyDescent="0.3">
      <c r="A45" t="s">
        <v>18</v>
      </c>
      <c r="B45">
        <v>50</v>
      </c>
      <c r="C45">
        <v>1</v>
      </c>
      <c r="D45">
        <v>180.87100000000001</v>
      </c>
      <c r="E45">
        <v>22.442</v>
      </c>
      <c r="F45">
        <v>493</v>
      </c>
    </row>
    <row r="46" spans="1:6" x14ac:dyDescent="0.3">
      <c r="A46" t="s">
        <v>18</v>
      </c>
      <c r="B46">
        <v>50</v>
      </c>
      <c r="C46">
        <v>1</v>
      </c>
      <c r="D46">
        <v>181.71299999999999</v>
      </c>
      <c r="E46">
        <v>22.416</v>
      </c>
      <c r="F46">
        <v>455</v>
      </c>
    </row>
    <row r="47" spans="1:6" x14ac:dyDescent="0.3">
      <c r="A47" t="s">
        <v>18</v>
      </c>
      <c r="B47">
        <v>50</v>
      </c>
      <c r="C47">
        <v>1</v>
      </c>
      <c r="D47">
        <v>180.87100000000001</v>
      </c>
      <c r="E47">
        <v>22.405000000000001</v>
      </c>
      <c r="F47">
        <v>496</v>
      </c>
    </row>
    <row r="48" spans="1:6" x14ac:dyDescent="0.3">
      <c r="A48" t="s">
        <v>18</v>
      </c>
      <c r="B48">
        <v>50</v>
      </c>
      <c r="C48">
        <v>1</v>
      </c>
      <c r="D48">
        <v>179.953</v>
      </c>
      <c r="E48">
        <v>22.417000000000002</v>
      </c>
      <c r="F48">
        <v>501</v>
      </c>
    </row>
    <row r="49" spans="1:6" x14ac:dyDescent="0.3">
      <c r="A49" t="s">
        <v>18</v>
      </c>
      <c r="B49">
        <v>50</v>
      </c>
      <c r="C49">
        <v>1</v>
      </c>
      <c r="D49">
        <v>181.89</v>
      </c>
      <c r="E49">
        <v>22.431999999999999</v>
      </c>
      <c r="F49">
        <v>525</v>
      </c>
    </row>
    <row r="50" spans="1:6" x14ac:dyDescent="0.3">
      <c r="A50" t="s">
        <v>18</v>
      </c>
      <c r="B50">
        <v>50</v>
      </c>
      <c r="C50">
        <v>1</v>
      </c>
      <c r="D50">
        <v>181.89</v>
      </c>
      <c r="E50">
        <v>22.428000000000001</v>
      </c>
      <c r="F50">
        <v>506</v>
      </c>
    </row>
    <row r="51" spans="1:6" x14ac:dyDescent="0.3">
      <c r="A51" t="s">
        <v>18</v>
      </c>
      <c r="B51">
        <v>100</v>
      </c>
      <c r="C51">
        <v>1</v>
      </c>
      <c r="D51">
        <v>239.27</v>
      </c>
      <c r="E51">
        <v>138.52699999999999</v>
      </c>
      <c r="F51">
        <v>651</v>
      </c>
    </row>
    <row r="52" spans="1:6" x14ac:dyDescent="0.3">
      <c r="A52" t="s">
        <v>18</v>
      </c>
      <c r="B52">
        <v>100</v>
      </c>
      <c r="C52">
        <v>1</v>
      </c>
      <c r="D52">
        <v>239.26</v>
      </c>
      <c r="E52">
        <v>138.613</v>
      </c>
      <c r="F52">
        <v>649</v>
      </c>
    </row>
    <row r="53" spans="1:6" x14ac:dyDescent="0.3">
      <c r="A53" t="s">
        <v>18</v>
      </c>
      <c r="B53">
        <v>100</v>
      </c>
      <c r="C53">
        <v>1</v>
      </c>
      <c r="D53">
        <v>239.66499999999999</v>
      </c>
      <c r="E53">
        <v>138.541</v>
      </c>
      <c r="F53">
        <v>651</v>
      </c>
    </row>
    <row r="54" spans="1:6" x14ac:dyDescent="0.3">
      <c r="A54" t="s">
        <v>18</v>
      </c>
      <c r="B54">
        <v>100</v>
      </c>
      <c r="C54">
        <v>1</v>
      </c>
      <c r="D54">
        <v>239.19900000000001</v>
      </c>
      <c r="E54">
        <v>138.52199999999999</v>
      </c>
      <c r="F54">
        <v>734</v>
      </c>
    </row>
    <row r="55" spans="1:6" x14ac:dyDescent="0.3">
      <c r="A55" t="s">
        <v>18</v>
      </c>
      <c r="B55">
        <v>100</v>
      </c>
      <c r="C55">
        <v>1</v>
      </c>
      <c r="D55">
        <v>239.113</v>
      </c>
      <c r="E55">
        <v>138.589</v>
      </c>
      <c r="F55">
        <v>765</v>
      </c>
    </row>
    <row r="56" spans="1:6" x14ac:dyDescent="0.3">
      <c r="A56" t="s">
        <v>18</v>
      </c>
      <c r="B56">
        <v>100</v>
      </c>
      <c r="C56">
        <v>1</v>
      </c>
      <c r="D56">
        <v>239.24700000000001</v>
      </c>
      <c r="E56">
        <v>138.53700000000001</v>
      </c>
      <c r="F56">
        <v>711</v>
      </c>
    </row>
    <row r="57" spans="1:6" x14ac:dyDescent="0.3">
      <c r="A57" t="s">
        <v>18</v>
      </c>
      <c r="B57">
        <v>100</v>
      </c>
      <c r="C57">
        <v>1</v>
      </c>
      <c r="D57">
        <v>239.22</v>
      </c>
      <c r="E57">
        <v>138.47900000000001</v>
      </c>
      <c r="F57">
        <v>655</v>
      </c>
    </row>
    <row r="58" spans="1:6" x14ac:dyDescent="0.3">
      <c r="A58" t="s">
        <v>18</v>
      </c>
      <c r="B58">
        <v>100</v>
      </c>
      <c r="C58">
        <v>1</v>
      </c>
      <c r="D58">
        <v>239.268</v>
      </c>
      <c r="E58">
        <v>138.607</v>
      </c>
      <c r="F58">
        <v>659</v>
      </c>
    </row>
    <row r="59" spans="1:6" x14ac:dyDescent="0.3">
      <c r="A59" t="s">
        <v>18</v>
      </c>
      <c r="B59">
        <v>100</v>
      </c>
      <c r="C59">
        <v>1</v>
      </c>
      <c r="D59">
        <v>239.14699999999999</v>
      </c>
      <c r="E59">
        <v>138.47300000000001</v>
      </c>
      <c r="F59">
        <v>654</v>
      </c>
    </row>
    <row r="60" spans="1:6" x14ac:dyDescent="0.3">
      <c r="A60" t="s">
        <v>18</v>
      </c>
      <c r="B60">
        <v>100</v>
      </c>
      <c r="C60">
        <v>1</v>
      </c>
      <c r="D60">
        <v>239.24299999999999</v>
      </c>
      <c r="E60">
        <v>138.595</v>
      </c>
      <c r="F60">
        <v>666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4.3319999999999999</v>
      </c>
      <c r="F61">
        <v>210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4.3250000000000002</v>
      </c>
      <c r="F62">
        <v>160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4.3170000000000002</v>
      </c>
      <c r="F63">
        <v>222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4.3179999999999996</v>
      </c>
      <c r="F64">
        <v>272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4.3230000000000004</v>
      </c>
      <c r="F65">
        <v>281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4.3170000000000002</v>
      </c>
      <c r="F66">
        <v>245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4.319</v>
      </c>
      <c r="F67">
        <v>262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4.32</v>
      </c>
      <c r="F68">
        <v>232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4.3369999999999997</v>
      </c>
      <c r="F69">
        <v>226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4.3250000000000002</v>
      </c>
      <c r="F70">
        <v>183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13.222</v>
      </c>
      <c r="F71">
        <v>343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13.196999999999999</v>
      </c>
      <c r="F72">
        <v>370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13.195</v>
      </c>
      <c r="F73">
        <v>359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13.199</v>
      </c>
      <c r="F74">
        <v>347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13.221</v>
      </c>
      <c r="F75">
        <v>398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13.204000000000001</v>
      </c>
      <c r="F76">
        <v>371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13.208</v>
      </c>
      <c r="F77">
        <v>369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13.202999999999999</v>
      </c>
      <c r="F78">
        <v>377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13.204000000000001</v>
      </c>
      <c r="F79">
        <v>382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13.205</v>
      </c>
      <c r="F80">
        <v>303</v>
      </c>
    </row>
    <row r="81" spans="1:6" x14ac:dyDescent="0.3">
      <c r="A81" t="s">
        <v>19</v>
      </c>
      <c r="B81">
        <v>100</v>
      </c>
      <c r="C81">
        <v>1</v>
      </c>
      <c r="D81">
        <v>35238.449999999997</v>
      </c>
      <c r="E81">
        <v>54.892000000000003</v>
      </c>
      <c r="F81">
        <v>319</v>
      </c>
    </row>
    <row r="82" spans="1:6" x14ac:dyDescent="0.3">
      <c r="A82" t="s">
        <v>19</v>
      </c>
      <c r="B82">
        <v>100</v>
      </c>
      <c r="C82">
        <v>1</v>
      </c>
      <c r="D82">
        <v>35258.817999999999</v>
      </c>
      <c r="E82">
        <v>54.817</v>
      </c>
      <c r="F82">
        <v>312</v>
      </c>
    </row>
    <row r="83" spans="1:6" x14ac:dyDescent="0.3">
      <c r="A83" t="s">
        <v>19</v>
      </c>
      <c r="B83">
        <v>100</v>
      </c>
      <c r="C83">
        <v>1</v>
      </c>
      <c r="D83">
        <v>35259.576000000001</v>
      </c>
      <c r="E83">
        <v>54.881</v>
      </c>
      <c r="F83">
        <v>317</v>
      </c>
    </row>
    <row r="84" spans="1:6" x14ac:dyDescent="0.3">
      <c r="A84" t="s">
        <v>19</v>
      </c>
      <c r="B84">
        <v>100</v>
      </c>
      <c r="C84">
        <v>1</v>
      </c>
      <c r="D84">
        <v>35234.720999999998</v>
      </c>
      <c r="E84">
        <v>54.850999999999999</v>
      </c>
      <c r="F84">
        <v>383</v>
      </c>
    </row>
    <row r="85" spans="1:6" x14ac:dyDescent="0.3">
      <c r="A85" t="s">
        <v>19</v>
      </c>
      <c r="B85">
        <v>100</v>
      </c>
      <c r="C85">
        <v>1</v>
      </c>
      <c r="D85">
        <v>35283.144999999997</v>
      </c>
      <c r="E85">
        <v>54.9</v>
      </c>
      <c r="F85">
        <v>381</v>
      </c>
    </row>
    <row r="86" spans="1:6" x14ac:dyDescent="0.3">
      <c r="A86" t="s">
        <v>19</v>
      </c>
      <c r="B86">
        <v>100</v>
      </c>
      <c r="C86">
        <v>1</v>
      </c>
      <c r="D86">
        <v>35272.953000000001</v>
      </c>
      <c r="E86">
        <v>54.82</v>
      </c>
      <c r="F86">
        <v>392</v>
      </c>
    </row>
    <row r="87" spans="1:6" x14ac:dyDescent="0.3">
      <c r="A87" t="s">
        <v>19</v>
      </c>
      <c r="B87">
        <v>100</v>
      </c>
      <c r="C87">
        <v>1</v>
      </c>
      <c r="D87">
        <v>35246.544999999998</v>
      </c>
      <c r="E87">
        <v>54.878</v>
      </c>
      <c r="F87">
        <v>391</v>
      </c>
    </row>
    <row r="88" spans="1:6" x14ac:dyDescent="0.3">
      <c r="A88" t="s">
        <v>19</v>
      </c>
      <c r="B88">
        <v>100</v>
      </c>
      <c r="C88">
        <v>1</v>
      </c>
      <c r="D88">
        <v>35238.366999999998</v>
      </c>
      <c r="E88">
        <v>54.832000000000001</v>
      </c>
      <c r="F88">
        <v>385</v>
      </c>
    </row>
    <row r="89" spans="1:6" x14ac:dyDescent="0.3">
      <c r="A89" t="s">
        <v>19</v>
      </c>
      <c r="B89">
        <v>100</v>
      </c>
      <c r="C89">
        <v>1</v>
      </c>
      <c r="D89">
        <v>35258.428</v>
      </c>
      <c r="E89">
        <v>54.886000000000003</v>
      </c>
      <c r="F89">
        <v>341</v>
      </c>
    </row>
    <row r="90" spans="1:6" x14ac:dyDescent="0.3">
      <c r="A90" t="s">
        <v>19</v>
      </c>
      <c r="B90">
        <v>100</v>
      </c>
      <c r="C90">
        <v>1</v>
      </c>
      <c r="D90">
        <v>35219.065000000002</v>
      </c>
      <c r="E90">
        <v>54.871000000000002</v>
      </c>
      <c r="F90">
        <v>316</v>
      </c>
    </row>
    <row r="91" spans="1:6" x14ac:dyDescent="0.3">
      <c r="A91" t="s">
        <v>20</v>
      </c>
      <c r="B91">
        <v>30</v>
      </c>
      <c r="C91">
        <v>1</v>
      </c>
      <c r="D91">
        <v>658.23299999999995</v>
      </c>
      <c r="E91">
        <v>6.4880000000000004</v>
      </c>
      <c r="F91">
        <v>259</v>
      </c>
    </row>
    <row r="92" spans="1:6" x14ac:dyDescent="0.3">
      <c r="A92" t="s">
        <v>20</v>
      </c>
      <c r="B92">
        <v>30</v>
      </c>
      <c r="C92">
        <v>1</v>
      </c>
      <c r="D92">
        <v>658.23299999999995</v>
      </c>
      <c r="E92">
        <v>6.4690000000000003</v>
      </c>
      <c r="F92">
        <v>269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6.4660000000000002</v>
      </c>
      <c r="F93">
        <v>221</v>
      </c>
    </row>
    <row r="94" spans="1:6" x14ac:dyDescent="0.3">
      <c r="A94" t="s">
        <v>20</v>
      </c>
      <c r="B94">
        <v>30</v>
      </c>
      <c r="C94">
        <v>1</v>
      </c>
      <c r="D94">
        <v>657.32399999999996</v>
      </c>
      <c r="E94">
        <v>6.4880000000000004</v>
      </c>
      <c r="F94">
        <v>271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6.4749999999999996</v>
      </c>
      <c r="F95">
        <v>247</v>
      </c>
    </row>
    <row r="96" spans="1:6" x14ac:dyDescent="0.3">
      <c r="A96" t="s">
        <v>20</v>
      </c>
      <c r="B96">
        <v>30</v>
      </c>
      <c r="C96">
        <v>1</v>
      </c>
      <c r="D96">
        <v>657.32399999999996</v>
      </c>
      <c r="E96">
        <v>6.484</v>
      </c>
      <c r="F96">
        <v>246</v>
      </c>
    </row>
    <row r="97" spans="1:6" x14ac:dyDescent="0.3">
      <c r="A97" t="s">
        <v>20</v>
      </c>
      <c r="B97">
        <v>30</v>
      </c>
      <c r="C97">
        <v>1</v>
      </c>
      <c r="D97">
        <v>658.23299999999995</v>
      </c>
      <c r="E97">
        <v>6.4820000000000002</v>
      </c>
      <c r="F97">
        <v>228</v>
      </c>
    </row>
    <row r="98" spans="1:6" x14ac:dyDescent="0.3">
      <c r="A98" t="s">
        <v>20</v>
      </c>
      <c r="B98">
        <v>30</v>
      </c>
      <c r="C98">
        <v>1</v>
      </c>
      <c r="D98">
        <v>658.23299999999995</v>
      </c>
      <c r="E98">
        <v>6.5170000000000003</v>
      </c>
      <c r="F98">
        <v>280</v>
      </c>
    </row>
    <row r="99" spans="1:6" x14ac:dyDescent="0.3">
      <c r="A99" t="s">
        <v>20</v>
      </c>
      <c r="B99">
        <v>30</v>
      </c>
      <c r="C99">
        <v>1</v>
      </c>
      <c r="D99">
        <v>658.23299999999995</v>
      </c>
      <c r="E99">
        <v>6.4740000000000002</v>
      </c>
      <c r="F99">
        <v>274</v>
      </c>
    </row>
    <row r="100" spans="1:6" x14ac:dyDescent="0.3">
      <c r="A100" t="s">
        <v>20</v>
      </c>
      <c r="B100">
        <v>30</v>
      </c>
      <c r="C100">
        <v>1</v>
      </c>
      <c r="D100">
        <v>658.23299999999995</v>
      </c>
      <c r="E100">
        <v>6.484</v>
      </c>
      <c r="F100">
        <v>261</v>
      </c>
    </row>
    <row r="101" spans="1:6" x14ac:dyDescent="0.3">
      <c r="A101" t="s">
        <v>20</v>
      </c>
      <c r="B101">
        <v>50</v>
      </c>
      <c r="C101">
        <v>1</v>
      </c>
      <c r="D101">
        <v>995.09699999999998</v>
      </c>
      <c r="E101">
        <v>14.712</v>
      </c>
      <c r="F101">
        <v>342</v>
      </c>
    </row>
    <row r="102" spans="1:6" x14ac:dyDescent="0.3">
      <c r="A102" t="s">
        <v>20</v>
      </c>
      <c r="B102">
        <v>50</v>
      </c>
      <c r="C102">
        <v>1</v>
      </c>
      <c r="D102">
        <v>994.62699999999995</v>
      </c>
      <c r="E102">
        <v>14.695</v>
      </c>
      <c r="F102">
        <v>405</v>
      </c>
    </row>
    <row r="103" spans="1:6" x14ac:dyDescent="0.3">
      <c r="A103" t="s">
        <v>20</v>
      </c>
      <c r="B103">
        <v>50</v>
      </c>
      <c r="C103">
        <v>1</v>
      </c>
      <c r="D103">
        <v>994.02599999999995</v>
      </c>
      <c r="E103">
        <v>14.688000000000001</v>
      </c>
      <c r="F103">
        <v>376</v>
      </c>
    </row>
    <row r="104" spans="1:6" x14ac:dyDescent="0.3">
      <c r="A104" t="s">
        <v>20</v>
      </c>
      <c r="B104">
        <v>50</v>
      </c>
      <c r="C104">
        <v>1</v>
      </c>
      <c r="D104">
        <v>996.14</v>
      </c>
      <c r="E104">
        <v>14.71</v>
      </c>
      <c r="F104">
        <v>421</v>
      </c>
    </row>
    <row r="105" spans="1:6" x14ac:dyDescent="0.3">
      <c r="A105" t="s">
        <v>20</v>
      </c>
      <c r="B105">
        <v>50</v>
      </c>
      <c r="C105">
        <v>1</v>
      </c>
      <c r="D105">
        <v>994.755</v>
      </c>
      <c r="E105">
        <v>14.692</v>
      </c>
      <c r="F105">
        <v>401</v>
      </c>
    </row>
    <row r="106" spans="1:6" x14ac:dyDescent="0.3">
      <c r="A106" t="s">
        <v>20</v>
      </c>
      <c r="B106">
        <v>50</v>
      </c>
      <c r="C106">
        <v>1</v>
      </c>
      <c r="D106">
        <v>992.125</v>
      </c>
      <c r="E106">
        <v>14.694000000000001</v>
      </c>
      <c r="F106">
        <v>410</v>
      </c>
    </row>
    <row r="107" spans="1:6" x14ac:dyDescent="0.3">
      <c r="A107" t="s">
        <v>20</v>
      </c>
      <c r="B107">
        <v>50</v>
      </c>
      <c r="C107">
        <v>1</v>
      </c>
      <c r="D107">
        <v>994.10599999999999</v>
      </c>
      <c r="E107">
        <v>14.708</v>
      </c>
      <c r="F107">
        <v>319</v>
      </c>
    </row>
    <row r="108" spans="1:6" x14ac:dyDescent="0.3">
      <c r="A108" t="s">
        <v>20</v>
      </c>
      <c r="B108">
        <v>50</v>
      </c>
      <c r="C108">
        <v>1</v>
      </c>
      <c r="D108">
        <v>996.14800000000002</v>
      </c>
      <c r="E108">
        <v>14.685</v>
      </c>
      <c r="F108">
        <v>284</v>
      </c>
    </row>
    <row r="109" spans="1:6" x14ac:dyDescent="0.3">
      <c r="A109" t="s">
        <v>20</v>
      </c>
      <c r="B109">
        <v>50</v>
      </c>
      <c r="C109">
        <v>1</v>
      </c>
      <c r="D109">
        <v>993.56600000000003</v>
      </c>
      <c r="E109">
        <v>14.699</v>
      </c>
      <c r="F109">
        <v>305</v>
      </c>
    </row>
    <row r="110" spans="1:6" x14ac:dyDescent="0.3">
      <c r="A110" t="s">
        <v>20</v>
      </c>
      <c r="B110">
        <v>50</v>
      </c>
      <c r="C110">
        <v>1</v>
      </c>
      <c r="D110">
        <v>993.83</v>
      </c>
      <c r="E110">
        <v>14.696</v>
      </c>
      <c r="F110">
        <v>272</v>
      </c>
    </row>
    <row r="111" spans="1:6" x14ac:dyDescent="0.3">
      <c r="A111" t="s">
        <v>20</v>
      </c>
      <c r="B111">
        <v>100</v>
      </c>
      <c r="C111">
        <v>1</v>
      </c>
      <c r="D111">
        <v>1756.54</v>
      </c>
      <c r="E111">
        <v>32.503</v>
      </c>
      <c r="F111">
        <v>207</v>
      </c>
    </row>
    <row r="112" spans="1:6" x14ac:dyDescent="0.3">
      <c r="A112" t="s">
        <v>20</v>
      </c>
      <c r="B112">
        <v>100</v>
      </c>
      <c r="C112">
        <v>1</v>
      </c>
      <c r="D112">
        <v>1756.0989999999999</v>
      </c>
      <c r="E112">
        <v>32.506999999999998</v>
      </c>
      <c r="F112">
        <v>206</v>
      </c>
    </row>
    <row r="113" spans="1:6" x14ac:dyDescent="0.3">
      <c r="A113" t="s">
        <v>20</v>
      </c>
      <c r="B113">
        <v>100</v>
      </c>
      <c r="C113">
        <v>1</v>
      </c>
      <c r="D113">
        <v>1754.8330000000001</v>
      </c>
      <c r="E113">
        <v>32.511000000000003</v>
      </c>
      <c r="F113">
        <v>208</v>
      </c>
    </row>
    <row r="114" spans="1:6" x14ac:dyDescent="0.3">
      <c r="A114" t="s">
        <v>20</v>
      </c>
      <c r="B114">
        <v>100</v>
      </c>
      <c r="C114">
        <v>1</v>
      </c>
      <c r="D114">
        <v>1755.806</v>
      </c>
      <c r="E114">
        <v>32.488999999999997</v>
      </c>
      <c r="F114">
        <v>208</v>
      </c>
    </row>
    <row r="115" spans="1:6" x14ac:dyDescent="0.3">
      <c r="A115" t="s">
        <v>20</v>
      </c>
      <c r="B115">
        <v>100</v>
      </c>
      <c r="C115">
        <v>1</v>
      </c>
      <c r="D115">
        <v>1756.049</v>
      </c>
      <c r="E115">
        <v>32.564</v>
      </c>
      <c r="F115">
        <v>207</v>
      </c>
    </row>
    <row r="116" spans="1:6" x14ac:dyDescent="0.3">
      <c r="A116" t="s">
        <v>20</v>
      </c>
      <c r="B116">
        <v>100</v>
      </c>
      <c r="C116">
        <v>1</v>
      </c>
      <c r="D116">
        <v>1756.42</v>
      </c>
      <c r="E116">
        <v>32.479999999999997</v>
      </c>
      <c r="F116">
        <v>204</v>
      </c>
    </row>
    <row r="117" spans="1:6" x14ac:dyDescent="0.3">
      <c r="A117" t="s">
        <v>20</v>
      </c>
      <c r="B117">
        <v>100</v>
      </c>
      <c r="C117">
        <v>1</v>
      </c>
      <c r="D117">
        <v>1757.356</v>
      </c>
      <c r="E117">
        <v>32.545000000000002</v>
      </c>
      <c r="F117">
        <v>207</v>
      </c>
    </row>
    <row r="118" spans="1:6" x14ac:dyDescent="0.3">
      <c r="A118" t="s">
        <v>20</v>
      </c>
      <c r="B118">
        <v>100</v>
      </c>
      <c r="C118">
        <v>1</v>
      </c>
      <c r="D118">
        <v>1757.5029999999999</v>
      </c>
      <c r="E118">
        <v>32.514000000000003</v>
      </c>
      <c r="F118">
        <v>208</v>
      </c>
    </row>
    <row r="119" spans="1:6" x14ac:dyDescent="0.3">
      <c r="A119" t="s">
        <v>20</v>
      </c>
      <c r="B119">
        <v>100</v>
      </c>
      <c r="C119">
        <v>1</v>
      </c>
      <c r="D119">
        <v>1755.64</v>
      </c>
      <c r="E119">
        <v>32.531999999999996</v>
      </c>
      <c r="F119">
        <v>208</v>
      </c>
    </row>
    <row r="120" spans="1:6" x14ac:dyDescent="0.3">
      <c r="A120" t="s">
        <v>20</v>
      </c>
      <c r="B120">
        <v>100</v>
      </c>
      <c r="C120">
        <v>1</v>
      </c>
      <c r="D120">
        <v>1758.567</v>
      </c>
      <c r="E120">
        <v>32.466000000000001</v>
      </c>
      <c r="F120">
        <v>205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1.393</v>
      </c>
      <c r="F121">
        <v>157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1.367</v>
      </c>
      <c r="F122">
        <v>481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1.3979999999999999</v>
      </c>
      <c r="F123">
        <v>180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1.3640000000000001</v>
      </c>
      <c r="F124">
        <v>383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1.365</v>
      </c>
      <c r="F125">
        <v>686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1.375</v>
      </c>
      <c r="F126">
        <v>424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1.3640000000000001</v>
      </c>
      <c r="F127">
        <v>168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1.3680000000000001</v>
      </c>
      <c r="F128">
        <v>465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1.3720000000000001</v>
      </c>
      <c r="F129">
        <v>117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1.3779999999999999</v>
      </c>
      <c r="F130">
        <v>227</v>
      </c>
    </row>
    <row r="131" spans="1:6" x14ac:dyDescent="0.3">
      <c r="A131" t="s">
        <v>33</v>
      </c>
      <c r="B131">
        <v>209</v>
      </c>
      <c r="C131">
        <v>1</v>
      </c>
      <c r="D131">
        <v>76.486000000000004</v>
      </c>
      <c r="E131">
        <v>181.21600000000001</v>
      </c>
      <c r="F131">
        <v>269</v>
      </c>
    </row>
    <row r="132" spans="1:6" x14ac:dyDescent="0.3">
      <c r="A132" t="s">
        <v>33</v>
      </c>
      <c r="B132">
        <v>209</v>
      </c>
      <c r="C132">
        <v>1</v>
      </c>
      <c r="D132">
        <v>76.885999999999996</v>
      </c>
      <c r="E132">
        <v>181.07</v>
      </c>
      <c r="F132">
        <v>264</v>
      </c>
    </row>
    <row r="133" spans="1:6" x14ac:dyDescent="0.3">
      <c r="A133" t="s">
        <v>33</v>
      </c>
      <c r="B133">
        <v>209</v>
      </c>
      <c r="C133">
        <v>1</v>
      </c>
      <c r="D133">
        <v>76.902000000000001</v>
      </c>
      <c r="E133">
        <v>181.054</v>
      </c>
      <c r="F133">
        <v>272</v>
      </c>
    </row>
    <row r="134" spans="1:6" x14ac:dyDescent="0.3">
      <c r="A134" t="s">
        <v>33</v>
      </c>
      <c r="B134">
        <v>209</v>
      </c>
      <c r="C134">
        <v>1</v>
      </c>
      <c r="D134">
        <v>76.42</v>
      </c>
      <c r="E134">
        <v>181.029</v>
      </c>
      <c r="F134">
        <v>272</v>
      </c>
    </row>
    <row r="135" spans="1:6" x14ac:dyDescent="0.3">
      <c r="A135" t="s">
        <v>33</v>
      </c>
      <c r="B135">
        <v>209</v>
      </c>
      <c r="C135">
        <v>1</v>
      </c>
      <c r="D135">
        <v>76.356999999999999</v>
      </c>
      <c r="E135">
        <v>181.155</v>
      </c>
      <c r="F135">
        <v>274</v>
      </c>
    </row>
    <row r="136" spans="1:6" x14ac:dyDescent="0.3">
      <c r="A136" t="s">
        <v>33</v>
      </c>
      <c r="B136">
        <v>209</v>
      </c>
      <c r="C136">
        <v>1</v>
      </c>
      <c r="D136">
        <v>76.466999999999999</v>
      </c>
      <c r="E136">
        <v>180.79499999999999</v>
      </c>
      <c r="F136">
        <v>268</v>
      </c>
    </row>
    <row r="137" spans="1:6" x14ac:dyDescent="0.3">
      <c r="A137" t="s">
        <v>33</v>
      </c>
      <c r="B137">
        <v>209</v>
      </c>
      <c r="C137">
        <v>1</v>
      </c>
      <c r="D137">
        <v>76.647999999999996</v>
      </c>
      <c r="E137">
        <v>181.17099999999999</v>
      </c>
      <c r="F137">
        <v>277</v>
      </c>
    </row>
    <row r="138" spans="1:6" x14ac:dyDescent="0.3">
      <c r="A138" t="s">
        <v>33</v>
      </c>
      <c r="B138">
        <v>209</v>
      </c>
      <c r="C138">
        <v>1</v>
      </c>
      <c r="D138">
        <v>76.233999999999995</v>
      </c>
      <c r="E138">
        <v>181.22399999999999</v>
      </c>
      <c r="F138">
        <v>273</v>
      </c>
    </row>
    <row r="139" spans="1:6" x14ac:dyDescent="0.3">
      <c r="A139" t="s">
        <v>33</v>
      </c>
      <c r="B139">
        <v>209</v>
      </c>
      <c r="C139">
        <v>1</v>
      </c>
      <c r="D139">
        <v>76.626000000000005</v>
      </c>
      <c r="E139">
        <v>180.953</v>
      </c>
      <c r="F139">
        <v>263</v>
      </c>
    </row>
    <row r="140" spans="1:6" x14ac:dyDescent="0.3">
      <c r="A140" t="s">
        <v>33</v>
      </c>
      <c r="B140">
        <v>209</v>
      </c>
      <c r="C140">
        <v>1</v>
      </c>
      <c r="D140">
        <v>76.316999999999993</v>
      </c>
      <c r="E140">
        <v>180.99799999999999</v>
      </c>
      <c r="F140">
        <v>275</v>
      </c>
    </row>
    <row r="141" spans="1:6" x14ac:dyDescent="0.3">
      <c r="A141" t="s">
        <v>33</v>
      </c>
      <c r="B141">
        <v>324</v>
      </c>
      <c r="C141">
        <v>1</v>
      </c>
      <c r="D141">
        <v>119.27200000000001</v>
      </c>
      <c r="E141">
        <v>420.76799999999997</v>
      </c>
      <c r="F141">
        <v>236</v>
      </c>
    </row>
    <row r="142" spans="1:6" x14ac:dyDescent="0.3">
      <c r="A142" t="s">
        <v>33</v>
      </c>
      <c r="B142">
        <v>324</v>
      </c>
      <c r="C142">
        <v>1</v>
      </c>
      <c r="D142">
        <v>119.07599999999999</v>
      </c>
      <c r="E142">
        <v>419.517</v>
      </c>
      <c r="F142">
        <v>231</v>
      </c>
    </row>
    <row r="143" spans="1:6" x14ac:dyDescent="0.3">
      <c r="A143" t="s">
        <v>33</v>
      </c>
      <c r="B143">
        <v>324</v>
      </c>
      <c r="C143">
        <v>1</v>
      </c>
      <c r="D143">
        <v>119.45399999999999</v>
      </c>
      <c r="E143">
        <v>419.38099999999997</v>
      </c>
      <c r="F143">
        <v>231</v>
      </c>
    </row>
    <row r="144" spans="1:6" x14ac:dyDescent="0.3">
      <c r="A144" t="s">
        <v>33</v>
      </c>
      <c r="B144">
        <v>324</v>
      </c>
      <c r="C144">
        <v>1</v>
      </c>
      <c r="D144">
        <v>119.61799999999999</v>
      </c>
      <c r="E144">
        <v>419.798</v>
      </c>
      <c r="F144">
        <v>230</v>
      </c>
    </row>
    <row r="145" spans="1:6" x14ac:dyDescent="0.3">
      <c r="A145" t="s">
        <v>33</v>
      </c>
      <c r="B145">
        <v>324</v>
      </c>
      <c r="C145">
        <v>1</v>
      </c>
      <c r="D145">
        <v>118.655</v>
      </c>
      <c r="E145">
        <v>419.48700000000002</v>
      </c>
      <c r="F145">
        <v>231</v>
      </c>
    </row>
    <row r="146" spans="1:6" x14ac:dyDescent="0.3">
      <c r="A146" t="s">
        <v>33</v>
      </c>
      <c r="B146">
        <v>324</v>
      </c>
      <c r="C146">
        <v>1</v>
      </c>
      <c r="D146">
        <v>118.78400000000001</v>
      </c>
      <c r="E146">
        <v>420.608</v>
      </c>
      <c r="F146">
        <v>235</v>
      </c>
    </row>
    <row r="147" spans="1:6" x14ac:dyDescent="0.3">
      <c r="A147" t="s">
        <v>33</v>
      </c>
      <c r="B147">
        <v>324</v>
      </c>
      <c r="C147">
        <v>1</v>
      </c>
      <c r="D147">
        <v>118.74</v>
      </c>
      <c r="E147">
        <v>420.46499999999997</v>
      </c>
      <c r="F147">
        <v>232</v>
      </c>
    </row>
    <row r="148" spans="1:6" x14ac:dyDescent="0.3">
      <c r="A148" t="s">
        <v>33</v>
      </c>
      <c r="B148">
        <v>324</v>
      </c>
      <c r="C148">
        <v>1</v>
      </c>
      <c r="D148">
        <v>119.504</v>
      </c>
      <c r="E148">
        <v>420.07499999999999</v>
      </c>
      <c r="F148">
        <v>233</v>
      </c>
    </row>
    <row r="149" spans="1:6" x14ac:dyDescent="0.3">
      <c r="A149" t="s">
        <v>33</v>
      </c>
      <c r="B149">
        <v>324</v>
      </c>
      <c r="C149">
        <v>1</v>
      </c>
      <c r="D149">
        <v>119.358</v>
      </c>
      <c r="E149">
        <v>420.58</v>
      </c>
      <c r="F149">
        <v>238</v>
      </c>
    </row>
    <row r="150" spans="1:6" x14ac:dyDescent="0.3">
      <c r="A150" t="s">
        <v>33</v>
      </c>
      <c r="B150">
        <v>324</v>
      </c>
      <c r="C150">
        <v>1</v>
      </c>
      <c r="D150">
        <v>118.8</v>
      </c>
      <c r="E150">
        <v>419.85500000000002</v>
      </c>
      <c r="F150">
        <v>229</v>
      </c>
    </row>
    <row r="151" spans="1:6" x14ac:dyDescent="0.3">
      <c r="A151" t="s">
        <v>34</v>
      </c>
      <c r="B151">
        <v>40</v>
      </c>
      <c r="C151">
        <v>1</v>
      </c>
      <c r="D151">
        <v>16.66</v>
      </c>
      <c r="E151">
        <v>11.622</v>
      </c>
      <c r="F151">
        <v>307</v>
      </c>
    </row>
    <row r="152" spans="1:6" x14ac:dyDescent="0.3">
      <c r="A152" t="s">
        <v>34</v>
      </c>
      <c r="B152">
        <v>40</v>
      </c>
      <c r="C152">
        <v>1</v>
      </c>
      <c r="D152">
        <v>16.771000000000001</v>
      </c>
      <c r="E152">
        <v>11.62</v>
      </c>
      <c r="F152">
        <v>330</v>
      </c>
    </row>
    <row r="153" spans="1:6" x14ac:dyDescent="0.3">
      <c r="A153" t="s">
        <v>34</v>
      </c>
      <c r="B153">
        <v>40</v>
      </c>
      <c r="C153">
        <v>1</v>
      </c>
      <c r="D153">
        <v>16.673999999999999</v>
      </c>
      <c r="E153">
        <v>11.631</v>
      </c>
      <c r="F153">
        <v>309</v>
      </c>
    </row>
    <row r="154" spans="1:6" x14ac:dyDescent="0.3">
      <c r="A154" t="s">
        <v>34</v>
      </c>
      <c r="B154">
        <v>40</v>
      </c>
      <c r="C154">
        <v>1</v>
      </c>
      <c r="D154">
        <v>16.608000000000001</v>
      </c>
      <c r="E154">
        <v>11.635</v>
      </c>
      <c r="F154">
        <v>293</v>
      </c>
    </row>
    <row r="155" spans="1:6" x14ac:dyDescent="0.3">
      <c r="A155" t="s">
        <v>34</v>
      </c>
      <c r="B155">
        <v>40</v>
      </c>
      <c r="C155">
        <v>1</v>
      </c>
      <c r="D155">
        <v>16.616</v>
      </c>
      <c r="E155">
        <v>11.629</v>
      </c>
      <c r="F155">
        <v>315</v>
      </c>
    </row>
    <row r="156" spans="1:6" x14ac:dyDescent="0.3">
      <c r="A156" t="s">
        <v>34</v>
      </c>
      <c r="B156">
        <v>40</v>
      </c>
      <c r="C156">
        <v>1</v>
      </c>
      <c r="D156">
        <v>16.75</v>
      </c>
      <c r="E156">
        <v>11.625999999999999</v>
      </c>
      <c r="F156">
        <v>330</v>
      </c>
    </row>
    <row r="157" spans="1:6" x14ac:dyDescent="0.3">
      <c r="A157" t="s">
        <v>34</v>
      </c>
      <c r="B157">
        <v>40</v>
      </c>
      <c r="C157">
        <v>1</v>
      </c>
      <c r="D157">
        <v>16.75</v>
      </c>
      <c r="E157">
        <v>11.63</v>
      </c>
      <c r="F157">
        <v>314</v>
      </c>
    </row>
    <row r="158" spans="1:6" x14ac:dyDescent="0.3">
      <c r="A158" t="s">
        <v>34</v>
      </c>
      <c r="B158">
        <v>40</v>
      </c>
      <c r="C158">
        <v>1</v>
      </c>
      <c r="D158">
        <v>16.771000000000001</v>
      </c>
      <c r="E158">
        <v>11.619</v>
      </c>
      <c r="F158">
        <v>322</v>
      </c>
    </row>
    <row r="159" spans="1:6" x14ac:dyDescent="0.3">
      <c r="A159" t="s">
        <v>34</v>
      </c>
      <c r="B159">
        <v>40</v>
      </c>
      <c r="C159">
        <v>1</v>
      </c>
      <c r="D159">
        <v>16.616</v>
      </c>
      <c r="E159">
        <v>11.624000000000001</v>
      </c>
      <c r="F159">
        <v>308</v>
      </c>
    </row>
    <row r="160" spans="1:6" x14ac:dyDescent="0.3">
      <c r="A160" t="s">
        <v>34</v>
      </c>
      <c r="B160">
        <v>40</v>
      </c>
      <c r="C160">
        <v>1</v>
      </c>
      <c r="D160">
        <v>16.616</v>
      </c>
      <c r="E160">
        <v>11.637</v>
      </c>
      <c r="F160">
        <v>320</v>
      </c>
    </row>
    <row r="161" spans="1:6" x14ac:dyDescent="0.3">
      <c r="A161" t="s">
        <v>34</v>
      </c>
      <c r="B161">
        <v>96</v>
      </c>
      <c r="C161">
        <v>1</v>
      </c>
      <c r="D161">
        <v>35.155999999999999</v>
      </c>
      <c r="E161">
        <v>51.298000000000002</v>
      </c>
      <c r="F161">
        <v>337</v>
      </c>
    </row>
    <row r="162" spans="1:6" x14ac:dyDescent="0.3">
      <c r="A162" t="s">
        <v>34</v>
      </c>
      <c r="B162">
        <v>96</v>
      </c>
      <c r="C162">
        <v>1</v>
      </c>
      <c r="D162">
        <v>35.183</v>
      </c>
      <c r="E162">
        <v>51.39</v>
      </c>
      <c r="F162">
        <v>334</v>
      </c>
    </row>
    <row r="163" spans="1:6" x14ac:dyDescent="0.3">
      <c r="A163" t="s">
        <v>34</v>
      </c>
      <c r="B163">
        <v>96</v>
      </c>
      <c r="C163">
        <v>1</v>
      </c>
      <c r="D163">
        <v>35.127000000000002</v>
      </c>
      <c r="E163">
        <v>51.29</v>
      </c>
      <c r="F163">
        <v>341</v>
      </c>
    </row>
    <row r="164" spans="1:6" x14ac:dyDescent="0.3">
      <c r="A164" t="s">
        <v>34</v>
      </c>
      <c r="B164">
        <v>96</v>
      </c>
      <c r="C164">
        <v>1</v>
      </c>
      <c r="D164">
        <v>35.125</v>
      </c>
      <c r="E164">
        <v>51.274999999999999</v>
      </c>
      <c r="F164">
        <v>335</v>
      </c>
    </row>
    <row r="165" spans="1:6" x14ac:dyDescent="0.3">
      <c r="A165" t="s">
        <v>34</v>
      </c>
      <c r="B165">
        <v>96</v>
      </c>
      <c r="C165">
        <v>1</v>
      </c>
      <c r="D165">
        <v>35.134999999999998</v>
      </c>
      <c r="E165">
        <v>51.386000000000003</v>
      </c>
      <c r="F165">
        <v>341</v>
      </c>
    </row>
    <row r="166" spans="1:6" x14ac:dyDescent="0.3">
      <c r="A166" t="s">
        <v>34</v>
      </c>
      <c r="B166">
        <v>96</v>
      </c>
      <c r="C166">
        <v>1</v>
      </c>
      <c r="D166">
        <v>35.177</v>
      </c>
      <c r="E166">
        <v>51.39</v>
      </c>
      <c r="F166">
        <v>335</v>
      </c>
    </row>
    <row r="167" spans="1:6" x14ac:dyDescent="0.3">
      <c r="A167" t="s">
        <v>34</v>
      </c>
      <c r="B167">
        <v>96</v>
      </c>
      <c r="C167">
        <v>1</v>
      </c>
      <c r="D167">
        <v>35.244</v>
      </c>
      <c r="E167">
        <v>51.375</v>
      </c>
      <c r="F167">
        <v>333</v>
      </c>
    </row>
    <row r="168" spans="1:6" x14ac:dyDescent="0.3">
      <c r="A168" t="s">
        <v>34</v>
      </c>
      <c r="B168">
        <v>96</v>
      </c>
      <c r="C168">
        <v>1</v>
      </c>
      <c r="D168">
        <v>35.161000000000001</v>
      </c>
      <c r="E168">
        <v>51.279000000000003</v>
      </c>
      <c r="F168">
        <v>335</v>
      </c>
    </row>
    <row r="169" spans="1:6" x14ac:dyDescent="0.3">
      <c r="A169" t="s">
        <v>34</v>
      </c>
      <c r="B169">
        <v>96</v>
      </c>
      <c r="C169">
        <v>1</v>
      </c>
      <c r="D169">
        <v>35.154000000000003</v>
      </c>
      <c r="E169">
        <v>51.308999999999997</v>
      </c>
      <c r="F169">
        <v>339</v>
      </c>
    </row>
    <row r="170" spans="1:6" x14ac:dyDescent="0.3">
      <c r="A170" t="s">
        <v>34</v>
      </c>
      <c r="B170">
        <v>96</v>
      </c>
      <c r="C170">
        <v>1</v>
      </c>
      <c r="D170">
        <v>35.15</v>
      </c>
      <c r="E170">
        <v>51.331000000000003</v>
      </c>
      <c r="F170">
        <v>336</v>
      </c>
    </row>
    <row r="171" spans="1:6" x14ac:dyDescent="0.3">
      <c r="A171" t="s">
        <v>34</v>
      </c>
      <c r="B171">
        <v>224</v>
      </c>
      <c r="C171">
        <v>1</v>
      </c>
      <c r="D171">
        <v>71.924000000000007</v>
      </c>
      <c r="E171">
        <v>255.482</v>
      </c>
      <c r="F171">
        <v>330</v>
      </c>
    </row>
    <row r="172" spans="1:6" x14ac:dyDescent="0.3">
      <c r="A172" t="s">
        <v>34</v>
      </c>
      <c r="B172">
        <v>224</v>
      </c>
      <c r="C172">
        <v>1</v>
      </c>
      <c r="D172">
        <v>71.918999999999997</v>
      </c>
      <c r="E172">
        <v>255.76400000000001</v>
      </c>
      <c r="F172">
        <v>331</v>
      </c>
    </row>
    <row r="173" spans="1:6" x14ac:dyDescent="0.3">
      <c r="A173" t="s">
        <v>34</v>
      </c>
      <c r="B173">
        <v>224</v>
      </c>
      <c r="C173">
        <v>1</v>
      </c>
      <c r="D173">
        <v>71.930000000000007</v>
      </c>
      <c r="E173">
        <v>255.77199999999999</v>
      </c>
      <c r="F173">
        <v>326</v>
      </c>
    </row>
    <row r="174" spans="1:6" x14ac:dyDescent="0.3">
      <c r="A174" t="s">
        <v>34</v>
      </c>
      <c r="B174">
        <v>224</v>
      </c>
      <c r="C174">
        <v>1</v>
      </c>
      <c r="D174">
        <v>71.914000000000001</v>
      </c>
      <c r="E174">
        <v>256.04399999999998</v>
      </c>
      <c r="F174">
        <v>327</v>
      </c>
    </row>
    <row r="175" spans="1:6" x14ac:dyDescent="0.3">
      <c r="A175" t="s">
        <v>34</v>
      </c>
      <c r="B175">
        <v>224</v>
      </c>
      <c r="C175">
        <v>1</v>
      </c>
      <c r="D175">
        <v>71.932000000000002</v>
      </c>
      <c r="E175">
        <v>255.82900000000001</v>
      </c>
      <c r="F175">
        <v>326</v>
      </c>
    </row>
    <row r="176" spans="1:6" x14ac:dyDescent="0.3">
      <c r="A176" t="s">
        <v>34</v>
      </c>
      <c r="B176">
        <v>224</v>
      </c>
      <c r="C176">
        <v>1</v>
      </c>
      <c r="D176">
        <v>71.924999999999997</v>
      </c>
      <c r="E176">
        <v>255.917</v>
      </c>
      <c r="F176">
        <v>327</v>
      </c>
    </row>
    <row r="177" spans="1:6" x14ac:dyDescent="0.3">
      <c r="A177" t="s">
        <v>34</v>
      </c>
      <c r="B177">
        <v>224</v>
      </c>
      <c r="C177">
        <v>1</v>
      </c>
      <c r="D177">
        <v>71.936999999999998</v>
      </c>
      <c r="E177">
        <v>255.93899999999999</v>
      </c>
      <c r="F177">
        <v>327</v>
      </c>
    </row>
    <row r="178" spans="1:6" x14ac:dyDescent="0.3">
      <c r="A178" t="s">
        <v>34</v>
      </c>
      <c r="B178">
        <v>224</v>
      </c>
      <c r="C178">
        <v>1</v>
      </c>
      <c r="D178">
        <v>71.983000000000004</v>
      </c>
      <c r="E178">
        <v>255.88800000000001</v>
      </c>
      <c r="F178">
        <v>327</v>
      </c>
    </row>
    <row r="179" spans="1:6" x14ac:dyDescent="0.3">
      <c r="A179" t="s">
        <v>34</v>
      </c>
      <c r="B179">
        <v>224</v>
      </c>
      <c r="C179">
        <v>1</v>
      </c>
      <c r="D179">
        <v>71.947000000000003</v>
      </c>
      <c r="E179">
        <v>256.11500000000001</v>
      </c>
      <c r="F179">
        <v>327</v>
      </c>
    </row>
    <row r="180" spans="1:6" x14ac:dyDescent="0.3">
      <c r="A180" t="s">
        <v>34</v>
      </c>
      <c r="B180">
        <v>224</v>
      </c>
      <c r="C180">
        <v>1</v>
      </c>
      <c r="D180">
        <v>71.915000000000006</v>
      </c>
      <c r="E180">
        <v>255.685</v>
      </c>
      <c r="F180">
        <v>333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08203125"/>
    <col min="2" max="2" width="4.33203125"/>
    <col min="3" max="3" width="2.58203125"/>
    <col min="4" max="4" width="9.5"/>
    <col min="5" max="5" width="7.25"/>
    <col min="6" max="6" width="5.6640625" customWidth="1"/>
    <col min="7" max="7" width="2.5"/>
    <col min="8" max="8" width="10.5"/>
    <col min="9" max="9" width="4.33203125"/>
    <col min="10" max="10" width="3.33203125"/>
    <col min="11" max="11" width="3.08203125"/>
    <col min="12" max="21" width="9.5"/>
    <col min="22" max="22" width="3"/>
    <col min="23" max="23" width="9.5"/>
    <col min="24" max="24" width="2.08203125"/>
    <col min="25" max="25" width="9.5"/>
    <col min="26" max="26" width="2.33203125"/>
    <col min="27" max="27" width="2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5.2869999999999999</v>
      </c>
      <c r="F1">
        <v>241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5.298</v>
      </c>
      <c r="F2">
        <v>263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28.504000000000001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28.504000000000001</v>
      </c>
      <c r="W2" s="35">
        <f t="shared" ref="W2:W19" ca="1" si="10">AVERAGE(L2:U2)</f>
        <v>28.5334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1.4734774066796953E-3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0</v>
      </c>
      <c r="AH2" s="35">
        <f t="shared" ref="AH2:AH19" ca="1" si="17">(R2-$Y2)/$Y2</f>
        <v>1.4734774066796953E-3</v>
      </c>
      <c r="AI2" s="35">
        <f t="shared" ref="AI2:AI19" ca="1" si="18">(S2-$Y2)/$Y2</f>
        <v>0</v>
      </c>
      <c r="AJ2" s="35">
        <f t="shared" ref="AJ2:AJ19" ca="1" si="19">(T2-$Y2)/$Y2</f>
        <v>1.4734774066796953E-3</v>
      </c>
      <c r="AK2" s="35">
        <f t="shared" ref="AK2:AK19" ca="1" si="20">(U2-$Y2)/$Y2</f>
        <v>0</v>
      </c>
      <c r="AM2" s="35">
        <f t="shared" ref="AM2:AM19" ca="1" si="21">SUM(AB2:AK2)</f>
        <v>1.0314341846757868E-2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5.2770000000000001</v>
      </c>
      <c r="F3">
        <v>282</v>
      </c>
      <c r="H3" s="35" t="s">
        <v>17</v>
      </c>
      <c r="I3" s="35">
        <v>50</v>
      </c>
      <c r="J3" s="35">
        <v>1</v>
      </c>
      <c r="L3" s="35">
        <f t="shared" ca="1" si="0"/>
        <v>53.097000000000001</v>
      </c>
      <c r="M3" s="35">
        <f t="shared" ca="1" si="1"/>
        <v>53.058</v>
      </c>
      <c r="N3" s="35">
        <f t="shared" ca="1" si="2"/>
        <v>53.128</v>
      </c>
      <c r="O3" s="35">
        <f t="shared" ca="1" si="3"/>
        <v>53.167999999999999</v>
      </c>
      <c r="P3" s="35">
        <f t="shared" ca="1" si="4"/>
        <v>53.018000000000001</v>
      </c>
      <c r="Q3" s="35">
        <f t="shared" ca="1" si="5"/>
        <v>53.127000000000002</v>
      </c>
      <c r="R3" s="35">
        <f t="shared" ca="1" si="6"/>
        <v>53.076999999999998</v>
      </c>
      <c r="S3" s="35">
        <f t="shared" ca="1" si="7"/>
        <v>53.006999999999998</v>
      </c>
      <c r="T3" s="35">
        <f t="shared" ca="1" si="8"/>
        <v>53.186999999999998</v>
      </c>
      <c r="U3" s="35">
        <f t="shared" ca="1" si="9"/>
        <v>53.067</v>
      </c>
      <c r="W3" s="35">
        <f t="shared" ca="1" si="10"/>
        <v>53.09340000000001</v>
      </c>
      <c r="Y3" s="35">
        <f ca="1">Total!E3</f>
        <v>52.927</v>
      </c>
      <c r="AB3" s="35">
        <f t="shared" ca="1" si="11"/>
        <v>3.2119712056228713E-3</v>
      </c>
      <c r="AC3" s="35">
        <f t="shared" ca="1" si="12"/>
        <v>2.4751072231564272E-3</v>
      </c>
      <c r="AD3" s="35">
        <f t="shared" ca="1" si="13"/>
        <v>3.7976836019423077E-3</v>
      </c>
      <c r="AE3" s="35">
        <f t="shared" ca="1" si="14"/>
        <v>4.553441532677077E-3</v>
      </c>
      <c r="AF3" s="35">
        <f t="shared" ca="1" si="15"/>
        <v>1.7193492924216579E-3</v>
      </c>
      <c r="AG3" s="35">
        <f t="shared" ca="1" si="16"/>
        <v>3.778789653673982E-3</v>
      </c>
      <c r="AH3" s="35">
        <f t="shared" ca="1" si="17"/>
        <v>2.8340922402554192E-3</v>
      </c>
      <c r="AI3" s="35">
        <f t="shared" ca="1" si="18"/>
        <v>1.5115158614695391E-3</v>
      </c>
      <c r="AJ3" s="35">
        <f t="shared" ca="1" si="19"/>
        <v>4.9124265497760694E-3</v>
      </c>
      <c r="AK3" s="35">
        <f t="shared" ca="1" si="20"/>
        <v>2.6451527575717605E-3</v>
      </c>
      <c r="AM3" s="35">
        <f t="shared" ca="1" si="21"/>
        <v>3.1439529918567112E-2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5.2759999999999998</v>
      </c>
      <c r="F4">
        <v>210</v>
      </c>
      <c r="H4" s="35" t="s">
        <v>17</v>
      </c>
      <c r="I4" s="35">
        <v>100</v>
      </c>
      <c r="J4" s="35">
        <v>1</v>
      </c>
      <c r="L4" s="35">
        <f t="shared" ca="1" si="0"/>
        <v>103.28700000000001</v>
      </c>
      <c r="M4" s="35">
        <f t="shared" ca="1" si="1"/>
        <v>103.376</v>
      </c>
      <c r="N4" s="35">
        <f t="shared" ca="1" si="2"/>
        <v>103.43300000000001</v>
      </c>
      <c r="O4" s="35">
        <f t="shared" ca="1" si="3"/>
        <v>103.27200000000001</v>
      </c>
      <c r="P4" s="35">
        <f t="shared" ca="1" si="4"/>
        <v>103.271</v>
      </c>
      <c r="Q4" s="35">
        <f t="shared" ca="1" si="5"/>
        <v>103.265</v>
      </c>
      <c r="R4" s="35">
        <f t="shared" ca="1" si="6"/>
        <v>103.271</v>
      </c>
      <c r="S4" s="35">
        <f t="shared" ca="1" si="7"/>
        <v>103.086</v>
      </c>
      <c r="T4" s="35">
        <f t="shared" ca="1" si="8"/>
        <v>103.245</v>
      </c>
      <c r="U4" s="35">
        <f t="shared" ca="1" si="9"/>
        <v>103.318</v>
      </c>
      <c r="W4" s="35">
        <f t="shared" ca="1" si="10"/>
        <v>103.28240000000001</v>
      </c>
      <c r="Y4" s="35">
        <f ca="1">Total!E4</f>
        <v>102.80200000000001</v>
      </c>
      <c r="AB4" s="35">
        <f t="shared" ca="1" si="11"/>
        <v>4.7178070465555087E-3</v>
      </c>
      <c r="AC4" s="35">
        <f t="shared" ca="1" si="12"/>
        <v>5.5835489581914557E-3</v>
      </c>
      <c r="AD4" s="35">
        <f t="shared" ca="1" si="13"/>
        <v>6.1380128791268668E-3</v>
      </c>
      <c r="AE4" s="35">
        <f t="shared" ca="1" si="14"/>
        <v>4.5718954884146111E-3</v>
      </c>
      <c r="AF4" s="35">
        <f t="shared" ca="1" si="15"/>
        <v>4.5621680512051713E-3</v>
      </c>
      <c r="AG4" s="35">
        <f t="shared" ca="1" si="16"/>
        <v>4.5038034279488125E-3</v>
      </c>
      <c r="AH4" s="35">
        <f t="shared" ca="1" si="17"/>
        <v>4.5621680512051713E-3</v>
      </c>
      <c r="AI4" s="35">
        <f t="shared" ca="1" si="18"/>
        <v>2.762592167467479E-3</v>
      </c>
      <c r="AJ4" s="35">
        <f t="shared" ca="1" si="19"/>
        <v>4.3092546837609951E-3</v>
      </c>
      <c r="AK4" s="35">
        <f t="shared" ca="1" si="20"/>
        <v>5.0193576000466048E-3</v>
      </c>
      <c r="AM4" s="35">
        <f t="shared" ca="1" si="21"/>
        <v>4.6730608353922676E-2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5.2859999999999996</v>
      </c>
      <c r="F5">
        <v>252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28.504000000000001</v>
      </c>
      <c r="E6">
        <v>5.2910000000000004</v>
      </c>
      <c r="F6">
        <v>256</v>
      </c>
      <c r="H6" s="35" t="s">
        <v>18</v>
      </c>
      <c r="I6" s="35">
        <v>50</v>
      </c>
      <c r="J6" s="35">
        <v>1</v>
      </c>
      <c r="L6" s="35">
        <f t="shared" ca="1" si="0"/>
        <v>180.87100000000001</v>
      </c>
      <c r="M6" s="35">
        <f t="shared" ca="1" si="1"/>
        <v>180.87100000000001</v>
      </c>
      <c r="N6" s="35">
        <f t="shared" ca="1" si="2"/>
        <v>180.87100000000001</v>
      </c>
      <c r="O6" s="35">
        <f t="shared" ca="1" si="3"/>
        <v>181.59700000000001</v>
      </c>
      <c r="P6" s="35">
        <f t="shared" ca="1" si="4"/>
        <v>179.93799999999999</v>
      </c>
      <c r="Q6" s="35">
        <f t="shared" ca="1" si="5"/>
        <v>179.93799999999999</v>
      </c>
      <c r="R6" s="35">
        <f t="shared" ca="1" si="6"/>
        <v>181.71299999999999</v>
      </c>
      <c r="S6" s="35">
        <f t="shared" ca="1" si="7"/>
        <v>181.863</v>
      </c>
      <c r="T6" s="35">
        <f t="shared" ca="1" si="8"/>
        <v>182.523</v>
      </c>
      <c r="U6" s="35">
        <f t="shared" ca="1" si="9"/>
        <v>180.685</v>
      </c>
      <c r="W6" s="35">
        <f t="shared" ca="1" si="10"/>
        <v>181.08699999999999</v>
      </c>
      <c r="Y6" s="35">
        <f ca="1">Total!E6</f>
        <v>179.673</v>
      </c>
      <c r="AB6" s="35">
        <f t="shared" ca="1" si="11"/>
        <v>6.667668486639659E-3</v>
      </c>
      <c r="AC6" s="35">
        <f t="shared" ca="1" si="12"/>
        <v>6.667668486639659E-3</v>
      </c>
      <c r="AD6" s="35">
        <f t="shared" ca="1" si="13"/>
        <v>6.667668486639659E-3</v>
      </c>
      <c r="AE6" s="35">
        <f t="shared" ca="1" si="14"/>
        <v>1.0708342377541459E-2</v>
      </c>
      <c r="AF6" s="35">
        <f t="shared" ca="1" si="15"/>
        <v>1.4749016268442469E-3</v>
      </c>
      <c r="AG6" s="35">
        <f t="shared" ca="1" si="16"/>
        <v>1.4749016268442469E-3</v>
      </c>
      <c r="AH6" s="35">
        <f t="shared" ca="1" si="17"/>
        <v>1.1353959693443045E-2</v>
      </c>
      <c r="AI6" s="35">
        <f t="shared" ca="1" si="18"/>
        <v>1.2188809670902126E-2</v>
      </c>
      <c r="AJ6" s="35">
        <f t="shared" ca="1" si="19"/>
        <v>1.5862149571721929E-2</v>
      </c>
      <c r="AK6" s="35">
        <f t="shared" ca="1" si="20"/>
        <v>5.6324545145903975E-3</v>
      </c>
      <c r="AM6" s="35">
        <f t="shared" ca="1" si="21"/>
        <v>7.8698524541806411E-2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5.2889999999999997</v>
      </c>
      <c r="F7">
        <v>232</v>
      </c>
      <c r="H7" s="35" t="s">
        <v>18</v>
      </c>
      <c r="I7" s="35">
        <v>100</v>
      </c>
      <c r="J7" s="35">
        <v>1</v>
      </c>
      <c r="L7" s="35">
        <f t="shared" ca="1" si="0"/>
        <v>239.267</v>
      </c>
      <c r="M7" s="35">
        <f t="shared" ca="1" si="1"/>
        <v>239.476</v>
      </c>
      <c r="N7" s="35">
        <f t="shared" ca="1" si="2"/>
        <v>239.566</v>
      </c>
      <c r="O7" s="35">
        <f t="shared" ca="1" si="3"/>
        <v>239.09299999999999</v>
      </c>
      <c r="P7" s="35">
        <f t="shared" ca="1" si="4"/>
        <v>239.047</v>
      </c>
      <c r="Q7" s="35">
        <f t="shared" ca="1" si="5"/>
        <v>239.642</v>
      </c>
      <c r="R7" s="35">
        <f t="shared" ca="1" si="6"/>
        <v>239.65700000000001</v>
      </c>
      <c r="S7" s="35">
        <f t="shared" ca="1" si="7"/>
        <v>239.33</v>
      </c>
      <c r="T7" s="35">
        <f t="shared" ca="1" si="8"/>
        <v>240.89699999999999</v>
      </c>
      <c r="U7" s="35">
        <f t="shared" ca="1" si="9"/>
        <v>239.2</v>
      </c>
      <c r="W7" s="35">
        <f t="shared" ca="1" si="10"/>
        <v>239.51749999999998</v>
      </c>
      <c r="Y7" s="35">
        <f ca="1">Total!E7</f>
        <v>238.86699999999999</v>
      </c>
      <c r="AB7" s="35">
        <f t="shared" ca="1" si="11"/>
        <v>1.6745720421824936E-3</v>
      </c>
      <c r="AC7" s="35">
        <f t="shared" ca="1" si="12"/>
        <v>2.5495359342228474E-3</v>
      </c>
      <c r="AD7" s="35">
        <f t="shared" ca="1" si="13"/>
        <v>2.9263146437139174E-3</v>
      </c>
      <c r="AE7" s="35">
        <f t="shared" ca="1" si="14"/>
        <v>9.4613320383309162E-4</v>
      </c>
      <c r="AF7" s="35">
        <f t="shared" ca="1" si="15"/>
        <v>7.5355741898213997E-4</v>
      </c>
      <c r="AG7" s="35">
        <f t="shared" ca="1" si="16"/>
        <v>3.2444833317285589E-3</v>
      </c>
      <c r="AH7" s="35">
        <f t="shared" ca="1" si="17"/>
        <v>3.3072797833104636E-3</v>
      </c>
      <c r="AI7" s="35">
        <f t="shared" ca="1" si="18"/>
        <v>1.9383171388263022E-3</v>
      </c>
      <c r="AJ7" s="35">
        <f t="shared" ca="1" si="19"/>
        <v>8.4984531140760398E-3</v>
      </c>
      <c r="AK7" s="35">
        <f t="shared" ca="1" si="20"/>
        <v>1.3940812251168994E-3</v>
      </c>
      <c r="AM7" s="35">
        <f t="shared" ca="1" si="21"/>
        <v>2.7232727835992756E-2</v>
      </c>
    </row>
    <row r="8" spans="1:39" x14ac:dyDescent="0.3">
      <c r="A8" t="s">
        <v>17</v>
      </c>
      <c r="B8">
        <v>25</v>
      </c>
      <c r="C8">
        <v>1</v>
      </c>
      <c r="D8">
        <v>28.504000000000001</v>
      </c>
      <c r="E8">
        <v>5.2839999999999998</v>
      </c>
      <c r="F8">
        <v>293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5.282</v>
      </c>
      <c r="F9">
        <v>248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4318.4880000000003</v>
      </c>
      <c r="O9" s="35">
        <f t="shared" ca="1" si="3"/>
        <v>4313.6099999999997</v>
      </c>
      <c r="P9" s="35">
        <f t="shared" ca="1" si="4"/>
        <v>4318.4880000000003</v>
      </c>
      <c r="Q9" s="35">
        <f t="shared" ca="1" si="5"/>
        <v>4313.6099999999997</v>
      </c>
      <c r="R9" s="35">
        <f t="shared" ca="1" si="6"/>
        <v>4318.4880000000003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4315.0734000000002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1.130839366563183E-3</v>
      </c>
      <c r="AE9" s="35">
        <f t="shared" ca="1" si="14"/>
        <v>0</v>
      </c>
      <c r="AF9" s="35">
        <f t="shared" ca="1" si="15"/>
        <v>1.130839366563183E-3</v>
      </c>
      <c r="AG9" s="35">
        <f t="shared" ca="1" si="16"/>
        <v>0</v>
      </c>
      <c r="AH9" s="35">
        <f t="shared" ca="1" si="17"/>
        <v>1.130839366563183E-3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3.3925180996895489E-3</v>
      </c>
    </row>
    <row r="10" spans="1:39" x14ac:dyDescent="0.3">
      <c r="A10" t="s">
        <v>17</v>
      </c>
      <c r="B10">
        <v>25</v>
      </c>
      <c r="C10">
        <v>1</v>
      </c>
      <c r="D10">
        <v>28.504000000000001</v>
      </c>
      <c r="E10">
        <v>5.28</v>
      </c>
      <c r="F10">
        <v>258</v>
      </c>
      <c r="H10" s="35" t="s">
        <v>19</v>
      </c>
      <c r="I10" s="35">
        <v>100</v>
      </c>
      <c r="J10" s="35">
        <v>1</v>
      </c>
      <c r="L10" s="35">
        <f t="shared" ca="1" si="0"/>
        <v>35253.747000000003</v>
      </c>
      <c r="M10" s="35">
        <f t="shared" ca="1" si="1"/>
        <v>35277.131000000001</v>
      </c>
      <c r="N10" s="35">
        <f t="shared" ca="1" si="2"/>
        <v>35273.300999999999</v>
      </c>
      <c r="O10" s="35">
        <f t="shared" ca="1" si="3"/>
        <v>35275.375999999997</v>
      </c>
      <c r="P10" s="35">
        <f t="shared" ca="1" si="4"/>
        <v>35272.953000000001</v>
      </c>
      <c r="Q10" s="35">
        <f t="shared" ca="1" si="5"/>
        <v>35273.343000000001</v>
      </c>
      <c r="R10" s="35">
        <f t="shared" ca="1" si="6"/>
        <v>35282.481</v>
      </c>
      <c r="S10" s="35">
        <f t="shared" ca="1" si="7"/>
        <v>35282.184000000001</v>
      </c>
      <c r="T10" s="35">
        <f t="shared" ca="1" si="8"/>
        <v>35248.076000000001</v>
      </c>
      <c r="U10" s="35">
        <f t="shared" ca="1" si="9"/>
        <v>35272.953000000001</v>
      </c>
      <c r="W10" s="35">
        <f t="shared" ca="1" si="10"/>
        <v>35271.154499999997</v>
      </c>
      <c r="Y10" s="35">
        <f ca="1">Total!E10</f>
        <v>35210.383000000002</v>
      </c>
      <c r="AB10" s="35">
        <f t="shared" ca="1" si="11"/>
        <v>1.2315685404501676E-3</v>
      </c>
      <c r="AC10" s="35">
        <f t="shared" ca="1" si="12"/>
        <v>1.8956908250614482E-3</v>
      </c>
      <c r="AD10" s="35">
        <f t="shared" ca="1" si="13"/>
        <v>1.7869160923355432E-3</v>
      </c>
      <c r="AE10" s="35">
        <f t="shared" ca="1" si="14"/>
        <v>1.8458475728592594E-3</v>
      </c>
      <c r="AF10" s="35">
        <f t="shared" ca="1" si="15"/>
        <v>1.7770326440357013E-3</v>
      </c>
      <c r="AG10" s="35">
        <f t="shared" ca="1" si="16"/>
        <v>1.7881089223028084E-3</v>
      </c>
      <c r="AH10" s="35">
        <f t="shared" ca="1" si="17"/>
        <v>2.0476346423155389E-3</v>
      </c>
      <c r="AI10" s="35">
        <f t="shared" ca="1" si="18"/>
        <v>2.0391996304044598E-3</v>
      </c>
      <c r="AJ10" s="35">
        <f t="shared" ca="1" si="19"/>
        <v>1.070508094160728E-3</v>
      </c>
      <c r="AK10" s="35">
        <f t="shared" ca="1" si="20"/>
        <v>1.7770326440357013E-3</v>
      </c>
      <c r="AM10" s="35">
        <f t="shared" ca="1" si="21"/>
        <v>1.7259539607961356E-2</v>
      </c>
    </row>
    <row r="11" spans="1:39" x14ac:dyDescent="0.3">
      <c r="A11" t="s">
        <v>17</v>
      </c>
      <c r="B11">
        <v>50</v>
      </c>
      <c r="C11">
        <v>1</v>
      </c>
      <c r="D11">
        <v>53.097000000000001</v>
      </c>
      <c r="E11">
        <v>19.57</v>
      </c>
      <c r="F11">
        <v>367</v>
      </c>
      <c r="H11" s="35" t="s">
        <v>20</v>
      </c>
      <c r="I11" s="35">
        <v>30</v>
      </c>
      <c r="J11" s="35">
        <v>1</v>
      </c>
      <c r="L11" s="35">
        <f t="shared" ca="1" si="0"/>
        <v>658.005</v>
      </c>
      <c r="M11" s="35">
        <f t="shared" ca="1" si="1"/>
        <v>657.35599999999999</v>
      </c>
      <c r="N11" s="35">
        <f t="shared" ca="1" si="2"/>
        <v>657.35599999999999</v>
      </c>
      <c r="O11" s="35">
        <f t="shared" ca="1" si="3"/>
        <v>658.005</v>
      </c>
      <c r="P11" s="35">
        <f t="shared" ca="1" si="4"/>
        <v>658.23299999999995</v>
      </c>
      <c r="Q11" s="35">
        <f t="shared" ca="1" si="5"/>
        <v>658.005</v>
      </c>
      <c r="R11" s="35">
        <f t="shared" ca="1" si="6"/>
        <v>658.005</v>
      </c>
      <c r="S11" s="35">
        <f t="shared" ca="1" si="7"/>
        <v>658.005</v>
      </c>
      <c r="T11" s="35">
        <f t="shared" ca="1" si="8"/>
        <v>658.23299999999995</v>
      </c>
      <c r="U11" s="35">
        <f t="shared" ca="1" si="9"/>
        <v>659.84500000000003</v>
      </c>
      <c r="W11" s="35">
        <f t="shared" ca="1" si="10"/>
        <v>658.10480000000007</v>
      </c>
      <c r="Y11" s="35">
        <f ca="1">Total!E11</f>
        <v>655.46500000000003</v>
      </c>
      <c r="AB11" s="35">
        <f t="shared" ca="1" si="11"/>
        <v>3.8751115620207998E-3</v>
      </c>
      <c r="AC11" s="35">
        <f t="shared" ca="1" si="12"/>
        <v>2.8849747888902728E-3</v>
      </c>
      <c r="AD11" s="35">
        <f t="shared" ca="1" si="13"/>
        <v>2.8849747888902728E-3</v>
      </c>
      <c r="AE11" s="35">
        <f t="shared" ca="1" si="14"/>
        <v>3.8751115620207998E-3</v>
      </c>
      <c r="AF11" s="35">
        <f t="shared" ca="1" si="15"/>
        <v>4.2229562219186613E-3</v>
      </c>
      <c r="AG11" s="35">
        <f t="shared" ca="1" si="16"/>
        <v>3.8751115620207998E-3</v>
      </c>
      <c r="AH11" s="35">
        <f t="shared" ca="1" si="17"/>
        <v>3.8751115620207998E-3</v>
      </c>
      <c r="AI11" s="35">
        <f t="shared" ca="1" si="18"/>
        <v>3.8751115620207998E-3</v>
      </c>
      <c r="AJ11" s="35">
        <f t="shared" ca="1" si="19"/>
        <v>4.2229562219186613E-3</v>
      </c>
      <c r="AK11" s="35">
        <f t="shared" ca="1" si="20"/>
        <v>6.6822789927761138E-3</v>
      </c>
      <c r="AM11" s="35">
        <f t="shared" ca="1" si="21"/>
        <v>4.0273698824497974E-2</v>
      </c>
    </row>
    <row r="12" spans="1:39" x14ac:dyDescent="0.3">
      <c r="A12" t="s">
        <v>17</v>
      </c>
      <c r="B12">
        <v>50</v>
      </c>
      <c r="C12">
        <v>1</v>
      </c>
      <c r="D12">
        <v>53.058</v>
      </c>
      <c r="E12">
        <v>19.567</v>
      </c>
      <c r="F12">
        <v>364</v>
      </c>
      <c r="H12" s="35" t="s">
        <v>20</v>
      </c>
      <c r="I12" s="35">
        <v>50</v>
      </c>
      <c r="J12" s="35">
        <v>1</v>
      </c>
      <c r="L12" s="35">
        <f t="shared" ca="1" si="0"/>
        <v>997.346</v>
      </c>
      <c r="M12" s="35">
        <f t="shared" ca="1" si="1"/>
        <v>995.48199999999997</v>
      </c>
      <c r="N12" s="35">
        <f t="shared" ca="1" si="2"/>
        <v>996.85599999999999</v>
      </c>
      <c r="O12" s="35">
        <f t="shared" ca="1" si="3"/>
        <v>992.70799999999997</v>
      </c>
      <c r="P12" s="35">
        <f t="shared" ca="1" si="4"/>
        <v>995.39300000000003</v>
      </c>
      <c r="Q12" s="35">
        <f t="shared" ca="1" si="5"/>
        <v>996.29</v>
      </c>
      <c r="R12" s="35">
        <f t="shared" ca="1" si="6"/>
        <v>997.59500000000003</v>
      </c>
      <c r="S12" s="35">
        <f t="shared" ca="1" si="7"/>
        <v>997.66499999999996</v>
      </c>
      <c r="T12" s="35">
        <f t="shared" ca="1" si="8"/>
        <v>994.62900000000002</v>
      </c>
      <c r="U12" s="35">
        <f t="shared" ca="1" si="9"/>
        <v>992.85299999999995</v>
      </c>
      <c r="W12" s="35">
        <f t="shared" ca="1" si="10"/>
        <v>995.68169999999986</v>
      </c>
      <c r="Y12" s="35">
        <f ca="1">Total!E12</f>
        <v>990.096</v>
      </c>
      <c r="AB12" s="35">
        <f t="shared" ca="1" si="11"/>
        <v>7.3225222604676714E-3</v>
      </c>
      <c r="AC12" s="35">
        <f t="shared" ca="1" si="12"/>
        <v>5.4398765372246404E-3</v>
      </c>
      <c r="AD12" s="35">
        <f t="shared" ca="1" si="13"/>
        <v>6.8276207559670888E-3</v>
      </c>
      <c r="AE12" s="35">
        <f t="shared" ca="1" si="14"/>
        <v>2.6381280199091464E-3</v>
      </c>
      <c r="AF12" s="35">
        <f t="shared" ca="1" si="15"/>
        <v>5.3499862639582677E-3</v>
      </c>
      <c r="AG12" s="35">
        <f t="shared" ca="1" si="16"/>
        <v>6.2559590181153748E-3</v>
      </c>
      <c r="AH12" s="35">
        <f t="shared" ca="1" si="17"/>
        <v>7.5740130249996197E-3</v>
      </c>
      <c r="AI12" s="35">
        <f t="shared" ca="1" si="18"/>
        <v>7.6447132399282093E-3</v>
      </c>
      <c r="AJ12" s="35">
        <f t="shared" ca="1" si="19"/>
        <v>4.5783439181655266E-3</v>
      </c>
      <c r="AK12" s="35">
        <f t="shared" ca="1" si="20"/>
        <v>2.7845784651184817E-3</v>
      </c>
      <c r="AM12" s="35">
        <f t="shared" ca="1" si="21"/>
        <v>5.6415741503854026E-2</v>
      </c>
    </row>
    <row r="13" spans="1:39" x14ac:dyDescent="0.3">
      <c r="A13" t="s">
        <v>17</v>
      </c>
      <c r="B13">
        <v>50</v>
      </c>
      <c r="C13">
        <v>1</v>
      </c>
      <c r="D13">
        <v>53.128</v>
      </c>
      <c r="E13">
        <v>19.605</v>
      </c>
      <c r="F13">
        <v>359</v>
      </c>
      <c r="H13" s="35" t="s">
        <v>20</v>
      </c>
      <c r="I13" s="35">
        <v>100</v>
      </c>
      <c r="J13" s="35">
        <v>1</v>
      </c>
      <c r="L13" s="35">
        <f t="shared" ca="1" si="0"/>
        <v>1754.606</v>
      </c>
      <c r="M13" s="35">
        <f t="shared" ca="1" si="1"/>
        <v>1758.7529999999999</v>
      </c>
      <c r="N13" s="35">
        <f t="shared" ca="1" si="2"/>
        <v>1755.94</v>
      </c>
      <c r="O13" s="35">
        <f t="shared" ca="1" si="3"/>
        <v>1754.681</v>
      </c>
      <c r="P13" s="35">
        <f t="shared" ca="1" si="4"/>
        <v>1753.79</v>
      </c>
      <c r="Q13" s="35">
        <f t="shared" ca="1" si="5"/>
        <v>1758.653</v>
      </c>
      <c r="R13" s="35">
        <f t="shared" ca="1" si="6"/>
        <v>1760.79</v>
      </c>
      <c r="S13" s="35">
        <f t="shared" ca="1" si="7"/>
        <v>1755.7629999999999</v>
      </c>
      <c r="T13" s="35">
        <f t="shared" ca="1" si="8"/>
        <v>1755.9670000000001</v>
      </c>
      <c r="U13" s="35">
        <f t="shared" ca="1" si="9"/>
        <v>1758.123</v>
      </c>
      <c r="W13" s="35">
        <f t="shared" ca="1" si="10"/>
        <v>1756.7066</v>
      </c>
      <c r="Y13" s="35">
        <f ca="1">Total!E13</f>
        <v>1753.79</v>
      </c>
      <c r="AB13" s="35">
        <f t="shared" ca="1" si="11"/>
        <v>4.6527805495528594E-4</v>
      </c>
      <c r="AC13" s="35">
        <f t="shared" ca="1" si="12"/>
        <v>2.8298713072830643E-3</v>
      </c>
      <c r="AD13" s="35">
        <f t="shared" ca="1" si="13"/>
        <v>1.2259164438160161E-3</v>
      </c>
      <c r="AE13" s="35">
        <f t="shared" ca="1" si="14"/>
        <v>5.0804258206517113E-4</v>
      </c>
      <c r="AF13" s="35">
        <f t="shared" ca="1" si="15"/>
        <v>0</v>
      </c>
      <c r="AG13" s="35">
        <f t="shared" ca="1" si="16"/>
        <v>2.772851937803304E-3</v>
      </c>
      <c r="AH13" s="35">
        <f t="shared" ca="1" si="17"/>
        <v>3.9913558635868603E-3</v>
      </c>
      <c r="AI13" s="35">
        <f t="shared" ca="1" si="18"/>
        <v>1.1249921598366717E-3</v>
      </c>
      <c r="AJ13" s="35">
        <f t="shared" ca="1" si="19"/>
        <v>1.2413116735755904E-3</v>
      </c>
      <c r="AK13" s="35">
        <f t="shared" ca="1" si="20"/>
        <v>2.4706492795603142E-3</v>
      </c>
      <c r="AM13" s="35">
        <f t="shared" ca="1" si="21"/>
        <v>1.6630269302482278E-2</v>
      </c>
    </row>
    <row r="14" spans="1:39" x14ac:dyDescent="0.3">
      <c r="A14" t="s">
        <v>17</v>
      </c>
      <c r="B14">
        <v>50</v>
      </c>
      <c r="C14">
        <v>1</v>
      </c>
      <c r="D14">
        <v>53.167999999999999</v>
      </c>
      <c r="E14">
        <v>19.574999999999999</v>
      </c>
      <c r="F14">
        <v>394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53.018000000000001</v>
      </c>
      <c r="E15">
        <v>19.556000000000001</v>
      </c>
      <c r="F15">
        <v>476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76.611999999999995</v>
      </c>
      <c r="M15" s="35">
        <f t="shared" ca="1" si="1"/>
        <v>76.332999999999998</v>
      </c>
      <c r="N15" s="35">
        <f t="shared" ca="1" si="1"/>
        <v>76.590999999999994</v>
      </c>
      <c r="O15" s="35">
        <f t="shared" ca="1" si="1"/>
        <v>76.766000000000005</v>
      </c>
      <c r="P15" s="35">
        <f t="shared" ca="1" si="1"/>
        <v>76.510000000000005</v>
      </c>
      <c r="Q15" s="35">
        <f t="shared" ca="1" si="1"/>
        <v>76.236000000000004</v>
      </c>
      <c r="R15" s="35">
        <f t="shared" ca="1" si="1"/>
        <v>76.137</v>
      </c>
      <c r="S15" s="35">
        <f t="shared" ca="1" si="1"/>
        <v>76.096999999999994</v>
      </c>
      <c r="T15" s="35">
        <f t="shared" ca="1" si="1"/>
        <v>76.498000000000005</v>
      </c>
      <c r="U15" s="35">
        <f t="shared" ca="1" si="1"/>
        <v>76.179000000000002</v>
      </c>
      <c r="W15" s="35">
        <f t="shared" ca="1" si="10"/>
        <v>76.395899999999997</v>
      </c>
      <c r="Y15" s="35">
        <f ca="1">Total!E15</f>
        <v>75.998000000000005</v>
      </c>
      <c r="AB15" s="35">
        <f t="shared" ca="1" si="11"/>
        <v>8.0791599778940251E-3</v>
      </c>
      <c r="AC15" s="35">
        <f t="shared" ca="1" si="12"/>
        <v>4.4080107371245788E-3</v>
      </c>
      <c r="AD15" s="35">
        <f t="shared" ca="1" si="13"/>
        <v>7.8028369167608266E-3</v>
      </c>
      <c r="AE15" s="35">
        <f t="shared" ca="1" si="14"/>
        <v>1.0105529092870873E-2</v>
      </c>
      <c r="AF15" s="35">
        <f t="shared" ca="1" si="15"/>
        <v>6.7370193952472493E-3</v>
      </c>
      <c r="AG15" s="35">
        <f t="shared" ca="1" si="16"/>
        <v>3.1316613595094548E-3</v>
      </c>
      <c r="AH15" s="35">
        <f t="shared" ca="1" si="17"/>
        <v>1.8289954998815204E-3</v>
      </c>
      <c r="AI15" s="35">
        <f t="shared" ca="1" si="18"/>
        <v>1.3026658596277472E-3</v>
      </c>
      <c r="AJ15" s="35">
        <f t="shared" ca="1" si="19"/>
        <v>6.5791205031711358E-3</v>
      </c>
      <c r="AK15" s="35">
        <f t="shared" ca="1" si="20"/>
        <v>2.3816416221479168E-3</v>
      </c>
      <c r="AM15" s="35">
        <f t="shared" ca="1" si="21"/>
        <v>5.2356640964235326E-2</v>
      </c>
    </row>
    <row r="16" spans="1:39" x14ac:dyDescent="0.3">
      <c r="A16" t="s">
        <v>17</v>
      </c>
      <c r="B16">
        <v>50</v>
      </c>
      <c r="C16">
        <v>1</v>
      </c>
      <c r="D16">
        <v>53.127000000000002</v>
      </c>
      <c r="E16">
        <v>19.545999999999999</v>
      </c>
      <c r="F16">
        <v>491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119.27</v>
      </c>
      <c r="M16" s="35">
        <f t="shared" ca="1" si="1"/>
        <v>118.617</v>
      </c>
      <c r="N16" s="35">
        <f t="shared" ca="1" si="1"/>
        <v>118.83499999999999</v>
      </c>
      <c r="O16" s="35">
        <f t="shared" ca="1" si="1"/>
        <v>118.642</v>
      </c>
      <c r="P16" s="35">
        <f t="shared" ca="1" si="1"/>
        <v>118.456</v>
      </c>
      <c r="Q16" s="35">
        <f t="shared" ca="1" si="1"/>
        <v>118.88800000000001</v>
      </c>
      <c r="R16" s="35">
        <f t="shared" ca="1" si="1"/>
        <v>118.358</v>
      </c>
      <c r="S16" s="35">
        <f t="shared" ca="1" si="1"/>
        <v>118.625</v>
      </c>
      <c r="T16" s="35">
        <f t="shared" ca="1" si="1"/>
        <v>118.93600000000001</v>
      </c>
      <c r="U16" s="35">
        <f t="shared" ca="1" si="1"/>
        <v>118.723</v>
      </c>
      <c r="W16" s="35">
        <f t="shared" ca="1" si="10"/>
        <v>118.73499999999999</v>
      </c>
      <c r="Y16" s="35">
        <f ca="1">Total!E16</f>
        <v>118.01</v>
      </c>
      <c r="AB16" s="35">
        <f t="shared" ca="1" si="11"/>
        <v>1.0677061265994331E-2</v>
      </c>
      <c r="AC16" s="35">
        <f t="shared" ca="1" si="12"/>
        <v>5.1436318956020613E-3</v>
      </c>
      <c r="AD16" s="35">
        <f t="shared" ca="1" si="13"/>
        <v>6.9909329717819553E-3</v>
      </c>
      <c r="AE16" s="35">
        <f t="shared" ca="1" si="14"/>
        <v>5.3554783492923549E-3</v>
      </c>
      <c r="AF16" s="35">
        <f t="shared" ca="1" si="15"/>
        <v>3.7793407338360982E-3</v>
      </c>
      <c r="AG16" s="35">
        <f t="shared" ca="1" si="16"/>
        <v>7.440047453605627E-3</v>
      </c>
      <c r="AH16" s="35">
        <f t="shared" ca="1" si="17"/>
        <v>2.948902635369875E-3</v>
      </c>
      <c r="AI16" s="35">
        <f t="shared" ca="1" si="18"/>
        <v>5.2114227607829413E-3</v>
      </c>
      <c r="AJ16" s="35">
        <f t="shared" ca="1" si="19"/>
        <v>7.8467926446911442E-3</v>
      </c>
      <c r="AK16" s="35">
        <f t="shared" ca="1" si="20"/>
        <v>6.0418608592491636E-3</v>
      </c>
      <c r="AM16" s="35">
        <f t="shared" ca="1" si="21"/>
        <v>6.1435471570205562E-2</v>
      </c>
    </row>
    <row r="17" spans="1:39" x14ac:dyDescent="0.3">
      <c r="A17" t="s">
        <v>17</v>
      </c>
      <c r="B17">
        <v>50</v>
      </c>
      <c r="C17">
        <v>1</v>
      </c>
      <c r="D17">
        <v>53.076999999999998</v>
      </c>
      <c r="E17">
        <v>19.556000000000001</v>
      </c>
      <c r="F17">
        <v>436</v>
      </c>
      <c r="H17" s="35" t="s">
        <v>34</v>
      </c>
      <c r="I17" s="35">
        <v>40</v>
      </c>
      <c r="J17" s="35">
        <v>1</v>
      </c>
      <c r="L17" s="35">
        <f t="shared" ca="1" si="22"/>
        <v>16.75</v>
      </c>
      <c r="M17" s="35">
        <f t="shared" ca="1" si="1"/>
        <v>16.632999999999999</v>
      </c>
      <c r="N17" s="35">
        <f t="shared" ca="1" si="1"/>
        <v>16.753</v>
      </c>
      <c r="O17" s="35">
        <f t="shared" ca="1" si="1"/>
        <v>16.616</v>
      </c>
      <c r="P17" s="35">
        <f t="shared" ca="1" si="1"/>
        <v>16.806000000000001</v>
      </c>
      <c r="Q17" s="35">
        <f t="shared" ca="1" si="1"/>
        <v>16.640999999999998</v>
      </c>
      <c r="R17" s="35">
        <f t="shared" ca="1" si="1"/>
        <v>16.638999999999999</v>
      </c>
      <c r="S17" s="35">
        <f t="shared" ca="1" si="1"/>
        <v>16.75</v>
      </c>
      <c r="T17" s="35">
        <f t="shared" ca="1" si="1"/>
        <v>16.771000000000001</v>
      </c>
      <c r="U17" s="35">
        <f t="shared" ca="1" si="1"/>
        <v>16.664999999999999</v>
      </c>
      <c r="W17" s="35">
        <f t="shared" ca="1" si="10"/>
        <v>16.702399999999997</v>
      </c>
      <c r="Y17" s="35">
        <f ca="1">Total!E17</f>
        <v>16.481999999999999</v>
      </c>
      <c r="AB17" s="35">
        <f t="shared" ca="1" si="11"/>
        <v>1.626016260162606E-2</v>
      </c>
      <c r="AC17" s="35">
        <f t="shared" ca="1" si="12"/>
        <v>9.1615095255430049E-3</v>
      </c>
      <c r="AD17" s="35">
        <f t="shared" ca="1" si="13"/>
        <v>1.6442179347166654E-2</v>
      </c>
      <c r="AE17" s="35">
        <f t="shared" ca="1" si="14"/>
        <v>8.1300813008130298E-3</v>
      </c>
      <c r="AF17" s="35">
        <f t="shared" ca="1" si="15"/>
        <v>1.965780851838379E-2</v>
      </c>
      <c r="AG17" s="35">
        <f t="shared" ca="1" si="16"/>
        <v>9.6468875136511908E-3</v>
      </c>
      <c r="AH17" s="35">
        <f t="shared" ca="1" si="17"/>
        <v>9.5255430166241977E-3</v>
      </c>
      <c r="AI17" s="35">
        <f t="shared" ca="1" si="18"/>
        <v>1.626016260162606E-2</v>
      </c>
      <c r="AJ17" s="35">
        <f t="shared" ca="1" si="19"/>
        <v>1.7534279820410236E-2</v>
      </c>
      <c r="AK17" s="35">
        <f t="shared" ca="1" si="20"/>
        <v>1.1103021477975964E-2</v>
      </c>
      <c r="AM17" s="35">
        <f t="shared" ca="1" si="21"/>
        <v>0.13372163572382018</v>
      </c>
    </row>
    <row r="18" spans="1:39" x14ac:dyDescent="0.3">
      <c r="A18" t="s">
        <v>17</v>
      </c>
      <c r="B18">
        <v>50</v>
      </c>
      <c r="C18">
        <v>1</v>
      </c>
      <c r="D18">
        <v>53.006999999999998</v>
      </c>
      <c r="E18">
        <v>19.558</v>
      </c>
      <c r="F18">
        <v>347</v>
      </c>
      <c r="H18" s="35" t="s">
        <v>34</v>
      </c>
      <c r="I18" s="35">
        <v>96</v>
      </c>
      <c r="J18" s="35">
        <v>1</v>
      </c>
      <c r="L18" s="35">
        <f t="shared" ca="1" si="22"/>
        <v>35.195999999999998</v>
      </c>
      <c r="M18" s="35">
        <f t="shared" ca="1" si="22"/>
        <v>35.090000000000003</v>
      </c>
      <c r="N18" s="35">
        <f t="shared" ca="1" si="22"/>
        <v>35.186</v>
      </c>
      <c r="O18" s="35">
        <f t="shared" ca="1" si="22"/>
        <v>35.228000000000002</v>
      </c>
      <c r="P18" s="35">
        <f t="shared" ca="1" si="22"/>
        <v>35.177999999999997</v>
      </c>
      <c r="Q18" s="35">
        <f t="shared" ca="1" si="22"/>
        <v>35.192</v>
      </c>
      <c r="R18" s="35">
        <f t="shared" ca="1" si="22"/>
        <v>35.170999999999999</v>
      </c>
      <c r="S18" s="35">
        <f t="shared" ca="1" si="22"/>
        <v>35.18</v>
      </c>
      <c r="T18" s="35">
        <f t="shared" ca="1" si="22"/>
        <v>35.097999999999999</v>
      </c>
      <c r="U18" s="35">
        <f t="shared" ca="1" si="22"/>
        <v>35.213999999999999</v>
      </c>
      <c r="W18" s="35">
        <f t="shared" ca="1" si="10"/>
        <v>35.173299999999998</v>
      </c>
      <c r="Y18" s="35">
        <f ca="1">Total!E18</f>
        <v>35.069000000000003</v>
      </c>
      <c r="AB18" s="35">
        <f t="shared" ca="1" si="11"/>
        <v>3.6214320339900004E-3</v>
      </c>
      <c r="AC18" s="35">
        <f t="shared" ca="1" si="12"/>
        <v>5.9881947018736756E-4</v>
      </c>
      <c r="AD18" s="35">
        <f t="shared" ca="1" si="13"/>
        <v>3.3362799053294171E-3</v>
      </c>
      <c r="AE18" s="35">
        <f t="shared" ca="1" si="14"/>
        <v>4.5339188457041522E-3</v>
      </c>
      <c r="AF18" s="35">
        <f t="shared" ca="1" si="15"/>
        <v>3.1081582024008285E-3</v>
      </c>
      <c r="AG18" s="35">
        <f t="shared" ca="1" si="16"/>
        <v>3.5073711825258074E-3</v>
      </c>
      <c r="AH18" s="35">
        <f t="shared" ca="1" si="17"/>
        <v>2.9085517123384401E-3</v>
      </c>
      <c r="AI18" s="35">
        <f t="shared" ca="1" si="18"/>
        <v>3.1651886281330263E-3</v>
      </c>
      <c r="AJ18" s="35">
        <f t="shared" ca="1" si="19"/>
        <v>8.2694117311575349E-4</v>
      </c>
      <c r="AK18" s="35">
        <f t="shared" ca="1" si="20"/>
        <v>4.1347058655791724E-3</v>
      </c>
      <c r="AM18" s="35">
        <f t="shared" ca="1" si="21"/>
        <v>2.9741367019303966E-2</v>
      </c>
    </row>
    <row r="19" spans="1:39" x14ac:dyDescent="0.3">
      <c r="A19" t="s">
        <v>17</v>
      </c>
      <c r="B19">
        <v>50</v>
      </c>
      <c r="C19">
        <v>1</v>
      </c>
      <c r="D19">
        <v>53.186999999999998</v>
      </c>
      <c r="E19">
        <v>19.571000000000002</v>
      </c>
      <c r="F19">
        <v>348</v>
      </c>
      <c r="H19" s="35" t="s">
        <v>34</v>
      </c>
      <c r="I19" s="35">
        <v>224</v>
      </c>
      <c r="J19" s="35">
        <v>1</v>
      </c>
      <c r="L19" s="35">
        <f t="shared" ca="1" si="22"/>
        <v>71.981999999999999</v>
      </c>
      <c r="M19" s="35">
        <f t="shared" ca="1" si="22"/>
        <v>71.924000000000007</v>
      </c>
      <c r="N19" s="35">
        <f t="shared" ca="1" si="22"/>
        <v>71.929000000000002</v>
      </c>
      <c r="O19" s="35">
        <f t="shared" ca="1" si="22"/>
        <v>71.918999999999997</v>
      </c>
      <c r="P19" s="35">
        <f t="shared" ca="1" si="22"/>
        <v>71.918999999999997</v>
      </c>
      <c r="Q19" s="35">
        <f t="shared" ca="1" si="22"/>
        <v>71.92</v>
      </c>
      <c r="R19" s="35">
        <f t="shared" ca="1" si="22"/>
        <v>71.915999999999997</v>
      </c>
      <c r="S19" s="35">
        <f t="shared" ca="1" si="22"/>
        <v>71.947999999999993</v>
      </c>
      <c r="T19" s="35">
        <f t="shared" ca="1" si="22"/>
        <v>71.935000000000002</v>
      </c>
      <c r="U19" s="35">
        <f t="shared" ca="1" si="22"/>
        <v>71.980999999999995</v>
      </c>
      <c r="W19" s="35">
        <f t="shared" ca="1" si="10"/>
        <v>71.937300000000008</v>
      </c>
      <c r="Y19" s="35">
        <f ca="1">Total!E19</f>
        <v>71.908000000000001</v>
      </c>
      <c r="AB19" s="35">
        <f t="shared" ca="1" si="11"/>
        <v>1.0290927295989051E-3</v>
      </c>
      <c r="AC19" s="35">
        <f t="shared" ca="1" si="12"/>
        <v>2.2250653612957311E-4</v>
      </c>
      <c r="AD19" s="35">
        <f t="shared" ca="1" si="13"/>
        <v>2.9203982866997825E-4</v>
      </c>
      <c r="AE19" s="35">
        <f t="shared" ca="1" si="14"/>
        <v>1.5297324358897035E-4</v>
      </c>
      <c r="AF19" s="35">
        <f t="shared" ca="1" si="15"/>
        <v>1.5297324358897035E-4</v>
      </c>
      <c r="AG19" s="35">
        <f t="shared" ca="1" si="16"/>
        <v>1.6687990209713043E-4</v>
      </c>
      <c r="AH19" s="35">
        <f t="shared" ca="1" si="17"/>
        <v>1.1125326806468774E-4</v>
      </c>
      <c r="AI19" s="35">
        <f t="shared" ca="1" si="18"/>
        <v>5.5626634032363638E-4</v>
      </c>
      <c r="AJ19" s="35">
        <f t="shared" ca="1" si="19"/>
        <v>3.7547977971854343E-4</v>
      </c>
      <c r="AK19" s="35">
        <f t="shared" ca="1" si="20"/>
        <v>1.015186071090745E-3</v>
      </c>
      <c r="AM19" s="35">
        <f t="shared" ca="1" si="21"/>
        <v>4.0746509428711405E-3</v>
      </c>
    </row>
    <row r="20" spans="1:39" x14ac:dyDescent="0.3">
      <c r="A20" t="s">
        <v>17</v>
      </c>
      <c r="B20">
        <v>50</v>
      </c>
      <c r="C20">
        <v>1</v>
      </c>
      <c r="D20">
        <v>53.067</v>
      </c>
      <c r="E20">
        <v>19.562000000000001</v>
      </c>
      <c r="F20">
        <v>379</v>
      </c>
    </row>
    <row r="21" spans="1:39" x14ac:dyDescent="0.3">
      <c r="A21" t="s">
        <v>17</v>
      </c>
      <c r="B21">
        <v>100</v>
      </c>
      <c r="C21">
        <v>1</v>
      </c>
      <c r="D21">
        <v>103.28700000000001</v>
      </c>
      <c r="E21">
        <v>102.023</v>
      </c>
      <c r="F21">
        <v>596</v>
      </c>
    </row>
    <row r="22" spans="1:39" x14ac:dyDescent="0.3">
      <c r="A22" t="s">
        <v>17</v>
      </c>
      <c r="B22">
        <v>100</v>
      </c>
      <c r="C22">
        <v>1</v>
      </c>
      <c r="D22">
        <v>103.376</v>
      </c>
      <c r="E22">
        <v>102</v>
      </c>
      <c r="F22">
        <v>602</v>
      </c>
    </row>
    <row r="23" spans="1:39" x14ac:dyDescent="0.3">
      <c r="A23" t="s">
        <v>17</v>
      </c>
      <c r="B23">
        <v>100</v>
      </c>
      <c r="C23">
        <v>1</v>
      </c>
      <c r="D23">
        <v>103.43300000000001</v>
      </c>
      <c r="E23">
        <v>102.072</v>
      </c>
      <c r="F23">
        <v>616</v>
      </c>
    </row>
    <row r="24" spans="1:39" x14ac:dyDescent="0.3">
      <c r="A24" t="s">
        <v>17</v>
      </c>
      <c r="B24">
        <v>100</v>
      </c>
      <c r="C24">
        <v>1</v>
      </c>
      <c r="D24">
        <v>103.27200000000001</v>
      </c>
      <c r="E24">
        <v>102.029</v>
      </c>
      <c r="F24">
        <v>575</v>
      </c>
    </row>
    <row r="25" spans="1:39" x14ac:dyDescent="0.3">
      <c r="A25" t="s">
        <v>17</v>
      </c>
      <c r="B25">
        <v>100</v>
      </c>
      <c r="C25">
        <v>1</v>
      </c>
      <c r="D25">
        <v>103.271</v>
      </c>
      <c r="E25">
        <v>102.102</v>
      </c>
      <c r="F25">
        <v>623</v>
      </c>
    </row>
    <row r="26" spans="1:39" x14ac:dyDescent="0.3">
      <c r="A26" t="s">
        <v>17</v>
      </c>
      <c r="B26">
        <v>100</v>
      </c>
      <c r="C26">
        <v>1</v>
      </c>
      <c r="D26">
        <v>103.265</v>
      </c>
      <c r="E26">
        <v>102.009</v>
      </c>
      <c r="F26">
        <v>588</v>
      </c>
    </row>
    <row r="27" spans="1:39" x14ac:dyDescent="0.3">
      <c r="A27" t="s">
        <v>17</v>
      </c>
      <c r="B27">
        <v>100</v>
      </c>
      <c r="C27">
        <v>1</v>
      </c>
      <c r="D27">
        <v>103.271</v>
      </c>
      <c r="E27">
        <v>102.11499999999999</v>
      </c>
      <c r="F27">
        <v>595</v>
      </c>
    </row>
    <row r="28" spans="1:39" x14ac:dyDescent="0.3">
      <c r="A28" t="s">
        <v>17</v>
      </c>
      <c r="B28">
        <v>100</v>
      </c>
      <c r="C28">
        <v>1</v>
      </c>
      <c r="D28">
        <v>103.086</v>
      </c>
      <c r="E28">
        <v>102.003</v>
      </c>
      <c r="F28">
        <v>620</v>
      </c>
    </row>
    <row r="29" spans="1:39" x14ac:dyDescent="0.3">
      <c r="A29" t="s">
        <v>17</v>
      </c>
      <c r="B29">
        <v>100</v>
      </c>
      <c r="C29">
        <v>1</v>
      </c>
      <c r="D29">
        <v>103.245</v>
      </c>
      <c r="E29">
        <v>102.015</v>
      </c>
      <c r="F29">
        <v>572</v>
      </c>
    </row>
    <row r="30" spans="1:39" x14ac:dyDescent="0.3">
      <c r="A30" t="s">
        <v>17</v>
      </c>
      <c r="B30">
        <v>100</v>
      </c>
      <c r="C30">
        <v>1</v>
      </c>
      <c r="D30">
        <v>103.318</v>
      </c>
      <c r="E30">
        <v>102.069</v>
      </c>
      <c r="F30">
        <v>626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8.0050000000000008</v>
      </c>
      <c r="F31">
        <v>286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</v>
      </c>
      <c r="F32">
        <v>308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8.0180000000000007</v>
      </c>
      <c r="F33">
        <v>339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7.9980000000000002</v>
      </c>
      <c r="F34">
        <v>290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8.0109999999999992</v>
      </c>
      <c r="F35">
        <v>351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8.0180000000000007</v>
      </c>
      <c r="F36">
        <v>308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8.0050000000000008</v>
      </c>
      <c r="F37">
        <v>319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8.0039999999999996</v>
      </c>
      <c r="F38">
        <v>284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8.0150000000000006</v>
      </c>
      <c r="F39">
        <v>295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8.0020000000000007</v>
      </c>
      <c r="F40">
        <v>308</v>
      </c>
    </row>
    <row r="41" spans="1:6" x14ac:dyDescent="0.3">
      <c r="A41" t="s">
        <v>18</v>
      </c>
      <c r="B41">
        <v>50</v>
      </c>
      <c r="C41">
        <v>1</v>
      </c>
      <c r="D41">
        <v>180.87100000000001</v>
      </c>
      <c r="E41">
        <v>22.408000000000001</v>
      </c>
      <c r="F41">
        <v>501</v>
      </c>
    </row>
    <row r="42" spans="1:6" x14ac:dyDescent="0.3">
      <c r="A42" t="s">
        <v>18</v>
      </c>
      <c r="B42">
        <v>50</v>
      </c>
      <c r="C42">
        <v>1</v>
      </c>
      <c r="D42">
        <v>180.87100000000001</v>
      </c>
      <c r="E42">
        <v>22.425999999999998</v>
      </c>
      <c r="F42">
        <v>447</v>
      </c>
    </row>
    <row r="43" spans="1:6" x14ac:dyDescent="0.3">
      <c r="A43" t="s">
        <v>18</v>
      </c>
      <c r="B43">
        <v>50</v>
      </c>
      <c r="C43">
        <v>1</v>
      </c>
      <c r="D43">
        <v>180.87100000000001</v>
      </c>
      <c r="E43">
        <v>22.475999999999999</v>
      </c>
      <c r="F43">
        <v>366</v>
      </c>
    </row>
    <row r="44" spans="1:6" x14ac:dyDescent="0.3">
      <c r="A44" t="s">
        <v>18</v>
      </c>
      <c r="B44">
        <v>50</v>
      </c>
      <c r="C44">
        <v>1</v>
      </c>
      <c r="D44">
        <v>181.59700000000001</v>
      </c>
      <c r="E44">
        <v>22.414999999999999</v>
      </c>
      <c r="F44">
        <v>371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22.417999999999999</v>
      </c>
      <c r="F45">
        <v>373</v>
      </c>
    </row>
    <row r="46" spans="1:6" x14ac:dyDescent="0.3">
      <c r="A46" t="s">
        <v>18</v>
      </c>
      <c r="B46">
        <v>50</v>
      </c>
      <c r="C46">
        <v>1</v>
      </c>
      <c r="D46">
        <v>179.93799999999999</v>
      </c>
      <c r="E46">
        <v>22.408000000000001</v>
      </c>
      <c r="F46">
        <v>366</v>
      </c>
    </row>
    <row r="47" spans="1:6" x14ac:dyDescent="0.3">
      <c r="A47" t="s">
        <v>18</v>
      </c>
      <c r="B47">
        <v>50</v>
      </c>
      <c r="C47">
        <v>1</v>
      </c>
      <c r="D47">
        <v>181.71299999999999</v>
      </c>
      <c r="E47">
        <v>22.417000000000002</v>
      </c>
      <c r="F47">
        <v>372</v>
      </c>
    </row>
    <row r="48" spans="1:6" x14ac:dyDescent="0.3">
      <c r="A48" t="s">
        <v>18</v>
      </c>
      <c r="B48">
        <v>50</v>
      </c>
      <c r="C48">
        <v>1</v>
      </c>
      <c r="D48">
        <v>181.863</v>
      </c>
      <c r="E48">
        <v>22.43</v>
      </c>
      <c r="F48">
        <v>378</v>
      </c>
    </row>
    <row r="49" spans="1:6" x14ac:dyDescent="0.3">
      <c r="A49" t="s">
        <v>18</v>
      </c>
      <c r="B49">
        <v>50</v>
      </c>
      <c r="C49">
        <v>1</v>
      </c>
      <c r="D49">
        <v>182.523</v>
      </c>
      <c r="E49">
        <v>22.416</v>
      </c>
      <c r="F49">
        <v>360</v>
      </c>
    </row>
    <row r="50" spans="1:6" x14ac:dyDescent="0.3">
      <c r="A50" t="s">
        <v>18</v>
      </c>
      <c r="B50">
        <v>50</v>
      </c>
      <c r="C50">
        <v>1</v>
      </c>
      <c r="D50">
        <v>180.685</v>
      </c>
      <c r="E50">
        <v>22.46</v>
      </c>
      <c r="F50">
        <v>364</v>
      </c>
    </row>
    <row r="51" spans="1:6" x14ac:dyDescent="0.3">
      <c r="A51" t="s">
        <v>18</v>
      </c>
      <c r="B51">
        <v>100</v>
      </c>
      <c r="C51">
        <v>1</v>
      </c>
      <c r="D51">
        <v>239.267</v>
      </c>
      <c r="E51">
        <v>138.56299999999999</v>
      </c>
      <c r="F51">
        <v>762</v>
      </c>
    </row>
    <row r="52" spans="1:6" x14ac:dyDescent="0.3">
      <c r="A52" t="s">
        <v>18</v>
      </c>
      <c r="B52">
        <v>100</v>
      </c>
      <c r="C52">
        <v>1</v>
      </c>
      <c r="D52">
        <v>239.476</v>
      </c>
      <c r="E52">
        <v>138.471</v>
      </c>
      <c r="F52">
        <v>770</v>
      </c>
    </row>
    <row r="53" spans="1:6" x14ac:dyDescent="0.3">
      <c r="A53" t="s">
        <v>18</v>
      </c>
      <c r="B53">
        <v>100</v>
      </c>
      <c r="C53">
        <v>1</v>
      </c>
      <c r="D53">
        <v>239.566</v>
      </c>
      <c r="E53">
        <v>138.61500000000001</v>
      </c>
      <c r="F53">
        <v>659</v>
      </c>
    </row>
    <row r="54" spans="1:6" x14ac:dyDescent="0.3">
      <c r="A54" t="s">
        <v>18</v>
      </c>
      <c r="B54">
        <v>100</v>
      </c>
      <c r="C54">
        <v>1</v>
      </c>
      <c r="D54">
        <v>239.09299999999999</v>
      </c>
      <c r="E54">
        <v>138.59100000000001</v>
      </c>
      <c r="F54">
        <v>657</v>
      </c>
    </row>
    <row r="55" spans="1:6" x14ac:dyDescent="0.3">
      <c r="A55" t="s">
        <v>18</v>
      </c>
      <c r="B55">
        <v>100</v>
      </c>
      <c r="C55">
        <v>1</v>
      </c>
      <c r="D55">
        <v>239.047</v>
      </c>
      <c r="E55">
        <v>138.536</v>
      </c>
      <c r="F55">
        <v>649</v>
      </c>
    </row>
    <row r="56" spans="1:6" x14ac:dyDescent="0.3">
      <c r="A56" t="s">
        <v>18</v>
      </c>
      <c r="B56">
        <v>100</v>
      </c>
      <c r="C56">
        <v>1</v>
      </c>
      <c r="D56">
        <v>239.642</v>
      </c>
      <c r="E56">
        <v>138.50399999999999</v>
      </c>
      <c r="F56">
        <v>646</v>
      </c>
    </row>
    <row r="57" spans="1:6" x14ac:dyDescent="0.3">
      <c r="A57" t="s">
        <v>18</v>
      </c>
      <c r="B57">
        <v>100</v>
      </c>
      <c r="C57">
        <v>1</v>
      </c>
      <c r="D57">
        <v>239.65700000000001</v>
      </c>
      <c r="E57">
        <v>138.6</v>
      </c>
      <c r="F57">
        <v>690</v>
      </c>
    </row>
    <row r="58" spans="1:6" x14ac:dyDescent="0.3">
      <c r="A58" t="s">
        <v>18</v>
      </c>
      <c r="B58">
        <v>100</v>
      </c>
      <c r="C58">
        <v>1</v>
      </c>
      <c r="D58">
        <v>239.33</v>
      </c>
      <c r="E58">
        <v>138.59100000000001</v>
      </c>
      <c r="F58">
        <v>766</v>
      </c>
    </row>
    <row r="59" spans="1:6" x14ac:dyDescent="0.3">
      <c r="A59" t="s">
        <v>18</v>
      </c>
      <c r="B59">
        <v>100</v>
      </c>
      <c r="C59">
        <v>1</v>
      </c>
      <c r="D59">
        <v>240.89699999999999</v>
      </c>
      <c r="E59">
        <v>138.602</v>
      </c>
      <c r="F59">
        <v>716</v>
      </c>
    </row>
    <row r="60" spans="1:6" x14ac:dyDescent="0.3">
      <c r="A60" t="s">
        <v>18</v>
      </c>
      <c r="B60">
        <v>100</v>
      </c>
      <c r="C60">
        <v>1</v>
      </c>
      <c r="D60">
        <v>239.2</v>
      </c>
      <c r="E60">
        <v>138.542</v>
      </c>
      <c r="F60">
        <v>654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4.3369999999999997</v>
      </c>
      <c r="F61">
        <v>209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4.3280000000000003</v>
      </c>
      <c r="F62">
        <v>245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4.3380000000000001</v>
      </c>
      <c r="F63">
        <v>221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4.3150000000000004</v>
      </c>
      <c r="F64">
        <v>186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4.319</v>
      </c>
      <c r="F65">
        <v>219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4.3120000000000003</v>
      </c>
      <c r="F66">
        <v>236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4.3339999999999996</v>
      </c>
      <c r="F67">
        <v>199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4.319</v>
      </c>
      <c r="F68">
        <v>207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4.3209999999999997</v>
      </c>
      <c r="F69">
        <v>217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4.3360000000000003</v>
      </c>
      <c r="F70">
        <v>284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13.215999999999999</v>
      </c>
      <c r="F71">
        <v>281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13.215</v>
      </c>
      <c r="F72">
        <v>292</v>
      </c>
    </row>
    <row r="73" spans="1:6" x14ac:dyDescent="0.3">
      <c r="A73" t="s">
        <v>19</v>
      </c>
      <c r="B73">
        <v>47</v>
      </c>
      <c r="C73">
        <v>1</v>
      </c>
      <c r="D73">
        <v>4318.4880000000003</v>
      </c>
      <c r="E73">
        <v>13.23</v>
      </c>
      <c r="F73">
        <v>284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13.205</v>
      </c>
      <c r="F74">
        <v>260</v>
      </c>
    </row>
    <row r="75" spans="1:6" x14ac:dyDescent="0.3">
      <c r="A75" t="s">
        <v>19</v>
      </c>
      <c r="B75">
        <v>47</v>
      </c>
      <c r="C75">
        <v>1</v>
      </c>
      <c r="D75">
        <v>4318.4880000000003</v>
      </c>
      <c r="E75">
        <v>13.202999999999999</v>
      </c>
      <c r="F75">
        <v>251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13.215</v>
      </c>
      <c r="F76">
        <v>272</v>
      </c>
    </row>
    <row r="77" spans="1:6" x14ac:dyDescent="0.3">
      <c r="A77" t="s">
        <v>19</v>
      </c>
      <c r="B77">
        <v>47</v>
      </c>
      <c r="C77">
        <v>1</v>
      </c>
      <c r="D77">
        <v>4318.4880000000003</v>
      </c>
      <c r="E77">
        <v>13.238</v>
      </c>
      <c r="F77">
        <v>277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13.227</v>
      </c>
      <c r="F78">
        <v>290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13.218999999999999</v>
      </c>
      <c r="F79">
        <v>270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13.202</v>
      </c>
      <c r="F80">
        <v>285</v>
      </c>
    </row>
    <row r="81" spans="1:6" x14ac:dyDescent="0.3">
      <c r="A81" t="s">
        <v>19</v>
      </c>
      <c r="B81">
        <v>100</v>
      </c>
      <c r="C81">
        <v>1</v>
      </c>
      <c r="D81">
        <v>35253.747000000003</v>
      </c>
      <c r="E81">
        <v>54.948</v>
      </c>
      <c r="F81">
        <v>309</v>
      </c>
    </row>
    <row r="82" spans="1:6" x14ac:dyDescent="0.3">
      <c r="A82" t="s">
        <v>19</v>
      </c>
      <c r="B82">
        <v>100</v>
      </c>
      <c r="C82">
        <v>1</v>
      </c>
      <c r="D82">
        <v>35277.131000000001</v>
      </c>
      <c r="E82">
        <v>54.883000000000003</v>
      </c>
      <c r="F82">
        <v>313</v>
      </c>
    </row>
    <row r="83" spans="1:6" x14ac:dyDescent="0.3">
      <c r="A83" t="s">
        <v>19</v>
      </c>
      <c r="B83">
        <v>100</v>
      </c>
      <c r="C83">
        <v>1</v>
      </c>
      <c r="D83">
        <v>35273.300999999999</v>
      </c>
      <c r="E83">
        <v>54.838999999999999</v>
      </c>
      <c r="F83">
        <v>310</v>
      </c>
    </row>
    <row r="84" spans="1:6" x14ac:dyDescent="0.3">
      <c r="A84" t="s">
        <v>19</v>
      </c>
      <c r="B84">
        <v>100</v>
      </c>
      <c r="C84">
        <v>1</v>
      </c>
      <c r="D84">
        <v>35275.375999999997</v>
      </c>
      <c r="E84">
        <v>54.933999999999997</v>
      </c>
      <c r="F84">
        <v>311</v>
      </c>
    </row>
    <row r="85" spans="1:6" x14ac:dyDescent="0.3">
      <c r="A85" t="s">
        <v>19</v>
      </c>
      <c r="B85">
        <v>100</v>
      </c>
      <c r="C85">
        <v>1</v>
      </c>
      <c r="D85">
        <v>35272.953000000001</v>
      </c>
      <c r="E85">
        <v>54.886000000000003</v>
      </c>
      <c r="F85">
        <v>312</v>
      </c>
    </row>
    <row r="86" spans="1:6" x14ac:dyDescent="0.3">
      <c r="A86" t="s">
        <v>19</v>
      </c>
      <c r="B86">
        <v>100</v>
      </c>
      <c r="C86">
        <v>1</v>
      </c>
      <c r="D86">
        <v>35273.343000000001</v>
      </c>
      <c r="E86">
        <v>54.850999999999999</v>
      </c>
      <c r="F86">
        <v>307</v>
      </c>
    </row>
    <row r="87" spans="1:6" x14ac:dyDescent="0.3">
      <c r="A87" t="s">
        <v>19</v>
      </c>
      <c r="B87">
        <v>100</v>
      </c>
      <c r="C87">
        <v>1</v>
      </c>
      <c r="D87">
        <v>35282.481</v>
      </c>
      <c r="E87">
        <v>54.863</v>
      </c>
      <c r="F87">
        <v>313</v>
      </c>
    </row>
    <row r="88" spans="1:6" x14ac:dyDescent="0.3">
      <c r="A88" t="s">
        <v>19</v>
      </c>
      <c r="B88">
        <v>100</v>
      </c>
      <c r="C88">
        <v>1</v>
      </c>
      <c r="D88">
        <v>35282.184000000001</v>
      </c>
      <c r="E88">
        <v>54.848999999999997</v>
      </c>
      <c r="F88">
        <v>311</v>
      </c>
    </row>
    <row r="89" spans="1:6" x14ac:dyDescent="0.3">
      <c r="A89" t="s">
        <v>19</v>
      </c>
      <c r="B89">
        <v>100</v>
      </c>
      <c r="C89">
        <v>1</v>
      </c>
      <c r="D89">
        <v>35248.076000000001</v>
      </c>
      <c r="E89">
        <v>54.83</v>
      </c>
      <c r="F89">
        <v>316</v>
      </c>
    </row>
    <row r="90" spans="1:6" x14ac:dyDescent="0.3">
      <c r="A90" t="s">
        <v>19</v>
      </c>
      <c r="B90">
        <v>100</v>
      </c>
      <c r="C90">
        <v>1</v>
      </c>
      <c r="D90">
        <v>35272.953000000001</v>
      </c>
      <c r="E90">
        <v>54.795999999999999</v>
      </c>
      <c r="F90">
        <v>345</v>
      </c>
    </row>
    <row r="91" spans="1:6" x14ac:dyDescent="0.3">
      <c r="A91" t="s">
        <v>20</v>
      </c>
      <c r="B91">
        <v>30</v>
      </c>
      <c r="C91">
        <v>1</v>
      </c>
      <c r="D91">
        <v>658.005</v>
      </c>
      <c r="E91">
        <v>6.4749999999999996</v>
      </c>
      <c r="F91">
        <v>256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6.4870000000000001</v>
      </c>
      <c r="F92">
        <v>298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6.48</v>
      </c>
      <c r="F93">
        <v>278</v>
      </c>
    </row>
    <row r="94" spans="1:6" x14ac:dyDescent="0.3">
      <c r="A94" t="s">
        <v>20</v>
      </c>
      <c r="B94">
        <v>30</v>
      </c>
      <c r="C94">
        <v>1</v>
      </c>
      <c r="D94">
        <v>658.005</v>
      </c>
      <c r="E94">
        <v>6.4880000000000004</v>
      </c>
      <c r="F94">
        <v>265</v>
      </c>
    </row>
    <row r="95" spans="1:6" x14ac:dyDescent="0.3">
      <c r="A95" t="s">
        <v>20</v>
      </c>
      <c r="B95">
        <v>30</v>
      </c>
      <c r="C95">
        <v>1</v>
      </c>
      <c r="D95">
        <v>658.23299999999995</v>
      </c>
      <c r="E95">
        <v>6.484</v>
      </c>
      <c r="F95">
        <v>272</v>
      </c>
    </row>
    <row r="96" spans="1:6" x14ac:dyDescent="0.3">
      <c r="A96" t="s">
        <v>20</v>
      </c>
      <c r="B96">
        <v>30</v>
      </c>
      <c r="C96">
        <v>1</v>
      </c>
      <c r="D96">
        <v>658.005</v>
      </c>
      <c r="E96">
        <v>6.4829999999999997</v>
      </c>
      <c r="F96">
        <v>254</v>
      </c>
    </row>
    <row r="97" spans="1:6" x14ac:dyDescent="0.3">
      <c r="A97" t="s">
        <v>20</v>
      </c>
      <c r="B97">
        <v>30</v>
      </c>
      <c r="C97">
        <v>1</v>
      </c>
      <c r="D97">
        <v>658.005</v>
      </c>
      <c r="E97">
        <v>6.4749999999999996</v>
      </c>
      <c r="F97">
        <v>242</v>
      </c>
    </row>
    <row r="98" spans="1:6" x14ac:dyDescent="0.3">
      <c r="A98" t="s">
        <v>20</v>
      </c>
      <c r="B98">
        <v>30</v>
      </c>
      <c r="C98">
        <v>1</v>
      </c>
      <c r="D98">
        <v>658.005</v>
      </c>
      <c r="E98">
        <v>6.4660000000000002</v>
      </c>
      <c r="F98">
        <v>257</v>
      </c>
    </row>
    <row r="99" spans="1:6" x14ac:dyDescent="0.3">
      <c r="A99" t="s">
        <v>20</v>
      </c>
      <c r="B99">
        <v>30</v>
      </c>
      <c r="C99">
        <v>1</v>
      </c>
      <c r="D99">
        <v>658.23299999999995</v>
      </c>
      <c r="E99">
        <v>6.4710000000000001</v>
      </c>
      <c r="F99">
        <v>249</v>
      </c>
    </row>
    <row r="100" spans="1:6" x14ac:dyDescent="0.3">
      <c r="A100" t="s">
        <v>20</v>
      </c>
      <c r="B100">
        <v>30</v>
      </c>
      <c r="C100">
        <v>1</v>
      </c>
      <c r="D100">
        <v>659.84500000000003</v>
      </c>
      <c r="E100">
        <v>6.4960000000000004</v>
      </c>
      <c r="F100">
        <v>277</v>
      </c>
    </row>
    <row r="101" spans="1:6" x14ac:dyDescent="0.3">
      <c r="A101" t="s">
        <v>20</v>
      </c>
      <c r="B101">
        <v>50</v>
      </c>
      <c r="C101">
        <v>1</v>
      </c>
      <c r="D101">
        <v>997.346</v>
      </c>
      <c r="E101">
        <v>14.686</v>
      </c>
      <c r="F101">
        <v>274</v>
      </c>
    </row>
    <row r="102" spans="1:6" x14ac:dyDescent="0.3">
      <c r="A102" t="s">
        <v>20</v>
      </c>
      <c r="B102">
        <v>50</v>
      </c>
      <c r="C102">
        <v>1</v>
      </c>
      <c r="D102">
        <v>995.48199999999997</v>
      </c>
      <c r="E102">
        <v>14.699</v>
      </c>
      <c r="F102">
        <v>278</v>
      </c>
    </row>
    <row r="103" spans="1:6" x14ac:dyDescent="0.3">
      <c r="A103" t="s">
        <v>20</v>
      </c>
      <c r="B103">
        <v>50</v>
      </c>
      <c r="C103">
        <v>1</v>
      </c>
      <c r="D103">
        <v>996.85599999999999</v>
      </c>
      <c r="E103">
        <v>14.707000000000001</v>
      </c>
      <c r="F103">
        <v>289</v>
      </c>
    </row>
    <row r="104" spans="1:6" x14ac:dyDescent="0.3">
      <c r="A104" t="s">
        <v>20</v>
      </c>
      <c r="B104">
        <v>50</v>
      </c>
      <c r="C104">
        <v>1</v>
      </c>
      <c r="D104">
        <v>992.70799999999997</v>
      </c>
      <c r="E104">
        <v>14.685</v>
      </c>
      <c r="F104">
        <v>286</v>
      </c>
    </row>
    <row r="105" spans="1:6" x14ac:dyDescent="0.3">
      <c r="A105" t="s">
        <v>20</v>
      </c>
      <c r="B105">
        <v>50</v>
      </c>
      <c r="C105">
        <v>1</v>
      </c>
      <c r="D105">
        <v>995.39300000000003</v>
      </c>
      <c r="E105">
        <v>14.683999999999999</v>
      </c>
      <c r="F105">
        <v>292</v>
      </c>
    </row>
    <row r="106" spans="1:6" x14ac:dyDescent="0.3">
      <c r="A106" t="s">
        <v>20</v>
      </c>
      <c r="B106">
        <v>50</v>
      </c>
      <c r="C106">
        <v>1</v>
      </c>
      <c r="D106">
        <v>996.29</v>
      </c>
      <c r="E106">
        <v>14.705</v>
      </c>
      <c r="F106">
        <v>279</v>
      </c>
    </row>
    <row r="107" spans="1:6" x14ac:dyDescent="0.3">
      <c r="A107" t="s">
        <v>20</v>
      </c>
      <c r="B107">
        <v>50</v>
      </c>
      <c r="C107">
        <v>1</v>
      </c>
      <c r="D107">
        <v>997.59500000000003</v>
      </c>
      <c r="E107">
        <v>14.725</v>
      </c>
      <c r="F107">
        <v>285</v>
      </c>
    </row>
    <row r="108" spans="1:6" x14ac:dyDescent="0.3">
      <c r="A108" t="s">
        <v>20</v>
      </c>
      <c r="B108">
        <v>50</v>
      </c>
      <c r="C108">
        <v>1</v>
      </c>
      <c r="D108">
        <v>997.66499999999996</v>
      </c>
      <c r="E108">
        <v>14.704000000000001</v>
      </c>
      <c r="F108">
        <v>284</v>
      </c>
    </row>
    <row r="109" spans="1:6" x14ac:dyDescent="0.3">
      <c r="A109" t="s">
        <v>20</v>
      </c>
      <c r="B109">
        <v>50</v>
      </c>
      <c r="C109">
        <v>1</v>
      </c>
      <c r="D109">
        <v>994.62900000000002</v>
      </c>
      <c r="E109">
        <v>14.72</v>
      </c>
      <c r="F109">
        <v>280</v>
      </c>
    </row>
    <row r="110" spans="1:6" x14ac:dyDescent="0.3">
      <c r="A110" t="s">
        <v>20</v>
      </c>
      <c r="B110">
        <v>50</v>
      </c>
      <c r="C110">
        <v>1</v>
      </c>
      <c r="D110">
        <v>992.85299999999995</v>
      </c>
      <c r="E110">
        <v>14.701000000000001</v>
      </c>
      <c r="F110">
        <v>287</v>
      </c>
    </row>
    <row r="111" spans="1:6" x14ac:dyDescent="0.3">
      <c r="A111" t="s">
        <v>20</v>
      </c>
      <c r="B111">
        <v>100</v>
      </c>
      <c r="C111">
        <v>1</v>
      </c>
      <c r="D111">
        <v>1754.606</v>
      </c>
      <c r="E111">
        <v>32.479999999999997</v>
      </c>
      <c r="F111">
        <v>209</v>
      </c>
    </row>
    <row r="112" spans="1:6" x14ac:dyDescent="0.3">
      <c r="A112" t="s">
        <v>20</v>
      </c>
      <c r="B112">
        <v>100</v>
      </c>
      <c r="C112">
        <v>1</v>
      </c>
      <c r="D112">
        <v>1758.7529999999999</v>
      </c>
      <c r="E112">
        <v>32.512</v>
      </c>
      <c r="F112">
        <v>207</v>
      </c>
    </row>
    <row r="113" spans="1:6" x14ac:dyDescent="0.3">
      <c r="A113" t="s">
        <v>20</v>
      </c>
      <c r="B113">
        <v>100</v>
      </c>
      <c r="C113">
        <v>1</v>
      </c>
      <c r="D113">
        <v>1755.94</v>
      </c>
      <c r="E113">
        <v>32.484000000000002</v>
      </c>
      <c r="F113">
        <v>209</v>
      </c>
    </row>
    <row r="114" spans="1:6" x14ac:dyDescent="0.3">
      <c r="A114" t="s">
        <v>20</v>
      </c>
      <c r="B114">
        <v>100</v>
      </c>
      <c r="C114">
        <v>1</v>
      </c>
      <c r="D114">
        <v>1754.681</v>
      </c>
      <c r="E114">
        <v>32.555999999999997</v>
      </c>
      <c r="F114">
        <v>207</v>
      </c>
    </row>
    <row r="115" spans="1:6" x14ac:dyDescent="0.3">
      <c r="A115" t="s">
        <v>20</v>
      </c>
      <c r="B115">
        <v>100</v>
      </c>
      <c r="C115">
        <v>1</v>
      </c>
      <c r="D115">
        <v>1753.79</v>
      </c>
      <c r="E115">
        <v>32.509</v>
      </c>
      <c r="F115">
        <v>207</v>
      </c>
    </row>
    <row r="116" spans="1:6" x14ac:dyDescent="0.3">
      <c r="A116" t="s">
        <v>20</v>
      </c>
      <c r="B116">
        <v>100</v>
      </c>
      <c r="C116">
        <v>1</v>
      </c>
      <c r="D116">
        <v>1758.653</v>
      </c>
      <c r="E116">
        <v>32.457999999999998</v>
      </c>
      <c r="F116">
        <v>233</v>
      </c>
    </row>
    <row r="117" spans="1:6" x14ac:dyDescent="0.3">
      <c r="A117" t="s">
        <v>20</v>
      </c>
      <c r="B117">
        <v>100</v>
      </c>
      <c r="C117">
        <v>1</v>
      </c>
      <c r="D117">
        <v>1760.79</v>
      </c>
      <c r="E117">
        <v>32.512999999999998</v>
      </c>
      <c r="F117">
        <v>247</v>
      </c>
    </row>
    <row r="118" spans="1:6" x14ac:dyDescent="0.3">
      <c r="A118" t="s">
        <v>20</v>
      </c>
      <c r="B118">
        <v>100</v>
      </c>
      <c r="C118">
        <v>1</v>
      </c>
      <c r="D118">
        <v>1755.7629999999999</v>
      </c>
      <c r="E118">
        <v>32.500999999999998</v>
      </c>
      <c r="F118">
        <v>257</v>
      </c>
    </row>
    <row r="119" spans="1:6" x14ac:dyDescent="0.3">
      <c r="A119" t="s">
        <v>20</v>
      </c>
      <c r="B119">
        <v>100</v>
      </c>
      <c r="C119">
        <v>1</v>
      </c>
      <c r="D119">
        <v>1755.9670000000001</v>
      </c>
      <c r="E119">
        <v>32.552</v>
      </c>
      <c r="F119">
        <v>261</v>
      </c>
    </row>
    <row r="120" spans="1:6" x14ac:dyDescent="0.3">
      <c r="A120" t="s">
        <v>20</v>
      </c>
      <c r="B120">
        <v>100</v>
      </c>
      <c r="C120">
        <v>1</v>
      </c>
      <c r="D120">
        <v>1758.123</v>
      </c>
      <c r="E120">
        <v>32.503999999999998</v>
      </c>
      <c r="F120">
        <v>261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1.37</v>
      </c>
      <c r="F121">
        <v>269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1.379</v>
      </c>
      <c r="F122">
        <v>239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1.3640000000000001</v>
      </c>
      <c r="F123">
        <v>139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1.3680000000000001</v>
      </c>
      <c r="F124">
        <v>279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1.367</v>
      </c>
      <c r="F125">
        <v>220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1.3640000000000001</v>
      </c>
      <c r="F126">
        <v>578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1.381</v>
      </c>
      <c r="F127">
        <v>173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1.3660000000000001</v>
      </c>
      <c r="F128">
        <v>106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1.395</v>
      </c>
      <c r="F129">
        <v>117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1.3919999999999999</v>
      </c>
      <c r="F130">
        <v>67</v>
      </c>
    </row>
    <row r="131" spans="1:6" x14ac:dyDescent="0.3">
      <c r="A131" t="s">
        <v>33</v>
      </c>
      <c r="B131">
        <v>209</v>
      </c>
      <c r="C131">
        <v>1</v>
      </c>
      <c r="D131">
        <v>76.611999999999995</v>
      </c>
      <c r="E131">
        <v>181.24100000000001</v>
      </c>
      <c r="F131">
        <v>272</v>
      </c>
    </row>
    <row r="132" spans="1:6" x14ac:dyDescent="0.3">
      <c r="A132" t="s">
        <v>33</v>
      </c>
      <c r="B132">
        <v>209</v>
      </c>
      <c r="C132">
        <v>1</v>
      </c>
      <c r="D132">
        <v>76.332999999999998</v>
      </c>
      <c r="E132">
        <v>180.74700000000001</v>
      </c>
      <c r="F132">
        <v>275</v>
      </c>
    </row>
    <row r="133" spans="1:6" x14ac:dyDescent="0.3">
      <c r="A133" t="s">
        <v>33</v>
      </c>
      <c r="B133">
        <v>209</v>
      </c>
      <c r="C133">
        <v>1</v>
      </c>
      <c r="D133">
        <v>76.590999999999994</v>
      </c>
      <c r="E133">
        <v>180.77600000000001</v>
      </c>
      <c r="F133">
        <v>262</v>
      </c>
    </row>
    <row r="134" spans="1:6" x14ac:dyDescent="0.3">
      <c r="A134" t="s">
        <v>33</v>
      </c>
      <c r="B134">
        <v>209</v>
      </c>
      <c r="C134">
        <v>1</v>
      </c>
      <c r="D134">
        <v>76.766000000000005</v>
      </c>
      <c r="E134">
        <v>181.02500000000001</v>
      </c>
      <c r="F134">
        <v>268</v>
      </c>
    </row>
    <row r="135" spans="1:6" x14ac:dyDescent="0.3">
      <c r="A135" t="s">
        <v>33</v>
      </c>
      <c r="B135">
        <v>209</v>
      </c>
      <c r="C135">
        <v>1</v>
      </c>
      <c r="D135">
        <v>76.510000000000005</v>
      </c>
      <c r="E135">
        <v>181.005</v>
      </c>
      <c r="F135">
        <v>274</v>
      </c>
    </row>
    <row r="136" spans="1:6" x14ac:dyDescent="0.3">
      <c r="A136" t="s">
        <v>33</v>
      </c>
      <c r="B136">
        <v>209</v>
      </c>
      <c r="C136">
        <v>1</v>
      </c>
      <c r="D136">
        <v>76.236000000000004</v>
      </c>
      <c r="E136">
        <v>180.93799999999999</v>
      </c>
      <c r="F136">
        <v>264</v>
      </c>
    </row>
    <row r="137" spans="1:6" x14ac:dyDescent="0.3">
      <c r="A137" t="s">
        <v>33</v>
      </c>
      <c r="B137">
        <v>209</v>
      </c>
      <c r="C137">
        <v>1</v>
      </c>
      <c r="D137">
        <v>76.137</v>
      </c>
      <c r="E137">
        <v>181.042</v>
      </c>
      <c r="F137">
        <v>278</v>
      </c>
    </row>
    <row r="138" spans="1:6" x14ac:dyDescent="0.3">
      <c r="A138" t="s">
        <v>33</v>
      </c>
      <c r="B138">
        <v>209</v>
      </c>
      <c r="C138">
        <v>1</v>
      </c>
      <c r="D138">
        <v>76.096999999999994</v>
      </c>
      <c r="E138">
        <v>181.12200000000001</v>
      </c>
      <c r="F138">
        <v>273</v>
      </c>
    </row>
    <row r="139" spans="1:6" x14ac:dyDescent="0.3">
      <c r="A139" t="s">
        <v>33</v>
      </c>
      <c r="B139">
        <v>209</v>
      </c>
      <c r="C139">
        <v>1</v>
      </c>
      <c r="D139">
        <v>76.498000000000005</v>
      </c>
      <c r="E139">
        <v>180.989</v>
      </c>
      <c r="F139">
        <v>268</v>
      </c>
    </row>
    <row r="140" spans="1:6" x14ac:dyDescent="0.3">
      <c r="A140" t="s">
        <v>33</v>
      </c>
      <c r="B140">
        <v>209</v>
      </c>
      <c r="C140">
        <v>1</v>
      </c>
      <c r="D140">
        <v>76.179000000000002</v>
      </c>
      <c r="E140">
        <v>180.99100000000001</v>
      </c>
      <c r="F140">
        <v>269</v>
      </c>
    </row>
    <row r="141" spans="1:6" x14ac:dyDescent="0.3">
      <c r="A141" t="s">
        <v>33</v>
      </c>
      <c r="B141">
        <v>324</v>
      </c>
      <c r="C141">
        <v>1</v>
      </c>
      <c r="D141">
        <v>119.27</v>
      </c>
      <c r="E141">
        <v>419.35899999999998</v>
      </c>
      <c r="F141">
        <v>225</v>
      </c>
    </row>
    <row r="142" spans="1:6" x14ac:dyDescent="0.3">
      <c r="A142" t="s">
        <v>33</v>
      </c>
      <c r="B142">
        <v>324</v>
      </c>
      <c r="C142">
        <v>1</v>
      </c>
      <c r="D142">
        <v>118.617</v>
      </c>
      <c r="E142">
        <v>420.06099999999998</v>
      </c>
      <c r="F142">
        <v>239</v>
      </c>
    </row>
    <row r="143" spans="1:6" x14ac:dyDescent="0.3">
      <c r="A143" t="s">
        <v>33</v>
      </c>
      <c r="B143">
        <v>324</v>
      </c>
      <c r="C143">
        <v>1</v>
      </c>
      <c r="D143">
        <v>118.83499999999999</v>
      </c>
      <c r="E143">
        <v>420.00299999999999</v>
      </c>
      <c r="F143">
        <v>234</v>
      </c>
    </row>
    <row r="144" spans="1:6" x14ac:dyDescent="0.3">
      <c r="A144" t="s">
        <v>33</v>
      </c>
      <c r="B144">
        <v>324</v>
      </c>
      <c r="C144">
        <v>1</v>
      </c>
      <c r="D144">
        <v>118.642</v>
      </c>
      <c r="E144">
        <v>420.39699999999999</v>
      </c>
      <c r="F144">
        <v>230</v>
      </c>
    </row>
    <row r="145" spans="1:6" x14ac:dyDescent="0.3">
      <c r="A145" t="s">
        <v>33</v>
      </c>
      <c r="B145">
        <v>324</v>
      </c>
      <c r="C145">
        <v>1</v>
      </c>
      <c r="D145">
        <v>118.456</v>
      </c>
      <c r="E145">
        <v>420.41</v>
      </c>
      <c r="F145">
        <v>236</v>
      </c>
    </row>
    <row r="146" spans="1:6" x14ac:dyDescent="0.3">
      <c r="A146" t="s">
        <v>33</v>
      </c>
      <c r="B146">
        <v>324</v>
      </c>
      <c r="C146">
        <v>1</v>
      </c>
      <c r="D146">
        <v>118.88800000000001</v>
      </c>
      <c r="E146">
        <v>419.65199999999999</v>
      </c>
      <c r="F146">
        <v>232</v>
      </c>
    </row>
    <row r="147" spans="1:6" x14ac:dyDescent="0.3">
      <c r="A147" t="s">
        <v>33</v>
      </c>
      <c r="B147">
        <v>324</v>
      </c>
      <c r="C147">
        <v>1</v>
      </c>
      <c r="D147">
        <v>118.358</v>
      </c>
      <c r="E147">
        <v>420.35899999999998</v>
      </c>
      <c r="F147">
        <v>238</v>
      </c>
    </row>
    <row r="148" spans="1:6" x14ac:dyDescent="0.3">
      <c r="A148" t="s">
        <v>33</v>
      </c>
      <c r="B148">
        <v>324</v>
      </c>
      <c r="C148">
        <v>1</v>
      </c>
      <c r="D148">
        <v>118.625</v>
      </c>
      <c r="E148">
        <v>420.334</v>
      </c>
      <c r="F148">
        <v>237</v>
      </c>
    </row>
    <row r="149" spans="1:6" x14ac:dyDescent="0.3">
      <c r="A149" t="s">
        <v>33</v>
      </c>
      <c r="B149">
        <v>324</v>
      </c>
      <c r="C149">
        <v>1</v>
      </c>
      <c r="D149">
        <v>118.93600000000001</v>
      </c>
      <c r="E149">
        <v>420.33699999999999</v>
      </c>
      <c r="F149">
        <v>233</v>
      </c>
    </row>
    <row r="150" spans="1:6" x14ac:dyDescent="0.3">
      <c r="A150" t="s">
        <v>33</v>
      </c>
      <c r="B150">
        <v>324</v>
      </c>
      <c r="C150">
        <v>1</v>
      </c>
      <c r="D150">
        <v>118.723</v>
      </c>
      <c r="E150">
        <v>420.709</v>
      </c>
      <c r="F150">
        <v>233</v>
      </c>
    </row>
    <row r="151" spans="1:6" x14ac:dyDescent="0.3">
      <c r="A151" t="s">
        <v>34</v>
      </c>
      <c r="B151">
        <v>40</v>
      </c>
      <c r="C151">
        <v>1</v>
      </c>
      <c r="D151">
        <v>16.75</v>
      </c>
      <c r="E151">
        <v>11.616</v>
      </c>
      <c r="F151">
        <v>295</v>
      </c>
    </row>
    <row r="152" spans="1:6" x14ac:dyDescent="0.3">
      <c r="A152" t="s">
        <v>34</v>
      </c>
      <c r="B152">
        <v>40</v>
      </c>
      <c r="C152">
        <v>1</v>
      </c>
      <c r="D152">
        <v>16.632999999999999</v>
      </c>
      <c r="E152">
        <v>11.608000000000001</v>
      </c>
      <c r="F152">
        <v>310</v>
      </c>
    </row>
    <row r="153" spans="1:6" x14ac:dyDescent="0.3">
      <c r="A153" t="s">
        <v>34</v>
      </c>
      <c r="B153">
        <v>40</v>
      </c>
      <c r="C153">
        <v>1</v>
      </c>
      <c r="D153">
        <v>16.753</v>
      </c>
      <c r="E153">
        <v>11.64</v>
      </c>
      <c r="F153">
        <v>305</v>
      </c>
    </row>
    <row r="154" spans="1:6" x14ac:dyDescent="0.3">
      <c r="A154" t="s">
        <v>34</v>
      </c>
      <c r="B154">
        <v>40</v>
      </c>
      <c r="C154">
        <v>1</v>
      </c>
      <c r="D154">
        <v>16.616</v>
      </c>
      <c r="E154">
        <v>11.612</v>
      </c>
      <c r="F154">
        <v>315</v>
      </c>
    </row>
    <row r="155" spans="1:6" x14ac:dyDescent="0.3">
      <c r="A155" t="s">
        <v>34</v>
      </c>
      <c r="B155">
        <v>40</v>
      </c>
      <c r="C155">
        <v>1</v>
      </c>
      <c r="D155">
        <v>16.806000000000001</v>
      </c>
      <c r="E155">
        <v>11.625999999999999</v>
      </c>
      <c r="F155">
        <v>305</v>
      </c>
    </row>
    <row r="156" spans="1:6" x14ac:dyDescent="0.3">
      <c r="A156" t="s">
        <v>34</v>
      </c>
      <c r="B156">
        <v>40</v>
      </c>
      <c r="C156">
        <v>1</v>
      </c>
      <c r="D156">
        <v>16.640999999999998</v>
      </c>
      <c r="E156">
        <v>11.647</v>
      </c>
      <c r="F156">
        <v>291</v>
      </c>
    </row>
    <row r="157" spans="1:6" x14ac:dyDescent="0.3">
      <c r="A157" t="s">
        <v>34</v>
      </c>
      <c r="B157">
        <v>40</v>
      </c>
      <c r="C157">
        <v>1</v>
      </c>
      <c r="D157">
        <v>16.638999999999999</v>
      </c>
      <c r="E157">
        <v>11.618</v>
      </c>
      <c r="F157">
        <v>293</v>
      </c>
    </row>
    <row r="158" spans="1:6" x14ac:dyDescent="0.3">
      <c r="A158" t="s">
        <v>34</v>
      </c>
      <c r="B158">
        <v>40</v>
      </c>
      <c r="C158">
        <v>1</v>
      </c>
      <c r="D158">
        <v>16.75</v>
      </c>
      <c r="E158">
        <v>11.629</v>
      </c>
      <c r="F158">
        <v>317</v>
      </c>
    </row>
    <row r="159" spans="1:6" x14ac:dyDescent="0.3">
      <c r="A159" t="s">
        <v>34</v>
      </c>
      <c r="B159">
        <v>40</v>
      </c>
      <c r="C159">
        <v>1</v>
      </c>
      <c r="D159">
        <v>16.771000000000001</v>
      </c>
      <c r="E159">
        <v>11.64</v>
      </c>
      <c r="F159">
        <v>333</v>
      </c>
    </row>
    <row r="160" spans="1:6" x14ac:dyDescent="0.3">
      <c r="A160" t="s">
        <v>34</v>
      </c>
      <c r="B160">
        <v>40</v>
      </c>
      <c r="C160">
        <v>1</v>
      </c>
      <c r="D160">
        <v>16.664999999999999</v>
      </c>
      <c r="E160">
        <v>11.618</v>
      </c>
      <c r="F160">
        <v>322</v>
      </c>
    </row>
    <row r="161" spans="1:6" x14ac:dyDescent="0.3">
      <c r="A161" t="s">
        <v>34</v>
      </c>
      <c r="B161">
        <v>96</v>
      </c>
      <c r="C161">
        <v>1</v>
      </c>
      <c r="D161">
        <v>35.195999999999998</v>
      </c>
      <c r="E161">
        <v>51.267000000000003</v>
      </c>
      <c r="F161">
        <v>348</v>
      </c>
    </row>
    <row r="162" spans="1:6" x14ac:dyDescent="0.3">
      <c r="A162" t="s">
        <v>34</v>
      </c>
      <c r="B162">
        <v>96</v>
      </c>
      <c r="C162">
        <v>1</v>
      </c>
      <c r="D162">
        <v>35.090000000000003</v>
      </c>
      <c r="E162">
        <v>51.311999999999998</v>
      </c>
      <c r="F162">
        <v>351</v>
      </c>
    </row>
    <row r="163" spans="1:6" x14ac:dyDescent="0.3">
      <c r="A163" t="s">
        <v>34</v>
      </c>
      <c r="B163">
        <v>96</v>
      </c>
      <c r="C163">
        <v>1</v>
      </c>
      <c r="D163">
        <v>35.186</v>
      </c>
      <c r="E163">
        <v>51.319000000000003</v>
      </c>
      <c r="F163">
        <v>350</v>
      </c>
    </row>
    <row r="164" spans="1:6" x14ac:dyDescent="0.3">
      <c r="A164" t="s">
        <v>34</v>
      </c>
      <c r="B164">
        <v>96</v>
      </c>
      <c r="C164">
        <v>1</v>
      </c>
      <c r="D164">
        <v>35.228000000000002</v>
      </c>
      <c r="E164">
        <v>51.357999999999997</v>
      </c>
      <c r="F164">
        <v>363</v>
      </c>
    </row>
    <row r="165" spans="1:6" x14ac:dyDescent="0.3">
      <c r="A165" t="s">
        <v>34</v>
      </c>
      <c r="B165">
        <v>96</v>
      </c>
      <c r="C165">
        <v>1</v>
      </c>
      <c r="D165">
        <v>35.177999999999997</v>
      </c>
      <c r="E165">
        <v>51.323</v>
      </c>
      <c r="F165">
        <v>357</v>
      </c>
    </row>
    <row r="166" spans="1:6" x14ac:dyDescent="0.3">
      <c r="A166" t="s">
        <v>34</v>
      </c>
      <c r="B166">
        <v>96</v>
      </c>
      <c r="C166">
        <v>1</v>
      </c>
      <c r="D166">
        <v>35.192</v>
      </c>
      <c r="E166">
        <v>51.276000000000003</v>
      </c>
      <c r="F166">
        <v>348</v>
      </c>
    </row>
    <row r="167" spans="1:6" x14ac:dyDescent="0.3">
      <c r="A167" t="s">
        <v>34</v>
      </c>
      <c r="B167">
        <v>96</v>
      </c>
      <c r="C167">
        <v>1</v>
      </c>
      <c r="D167">
        <v>35.170999999999999</v>
      </c>
      <c r="E167">
        <v>51.396999999999998</v>
      </c>
      <c r="F167">
        <v>375</v>
      </c>
    </row>
    <row r="168" spans="1:6" x14ac:dyDescent="0.3">
      <c r="A168" t="s">
        <v>34</v>
      </c>
      <c r="B168">
        <v>96</v>
      </c>
      <c r="C168">
        <v>1</v>
      </c>
      <c r="D168">
        <v>35.18</v>
      </c>
      <c r="E168">
        <v>51.356000000000002</v>
      </c>
      <c r="F168">
        <v>349</v>
      </c>
    </row>
    <row r="169" spans="1:6" x14ac:dyDescent="0.3">
      <c r="A169" t="s">
        <v>34</v>
      </c>
      <c r="B169">
        <v>96</v>
      </c>
      <c r="C169">
        <v>1</v>
      </c>
      <c r="D169">
        <v>35.097999999999999</v>
      </c>
      <c r="E169">
        <v>51.378</v>
      </c>
      <c r="F169">
        <v>353</v>
      </c>
    </row>
    <row r="170" spans="1:6" x14ac:dyDescent="0.3">
      <c r="A170" t="s">
        <v>34</v>
      </c>
      <c r="B170">
        <v>96</v>
      </c>
      <c r="C170">
        <v>1</v>
      </c>
      <c r="D170">
        <v>35.213999999999999</v>
      </c>
      <c r="E170">
        <v>51.372</v>
      </c>
      <c r="F170">
        <v>367</v>
      </c>
    </row>
    <row r="171" spans="1:6" x14ac:dyDescent="0.3">
      <c r="A171" t="s">
        <v>34</v>
      </c>
      <c r="B171">
        <v>224</v>
      </c>
      <c r="C171">
        <v>1</v>
      </c>
      <c r="D171">
        <v>71.981999999999999</v>
      </c>
      <c r="E171">
        <v>255.727</v>
      </c>
      <c r="F171">
        <v>325</v>
      </c>
    </row>
    <row r="172" spans="1:6" x14ac:dyDescent="0.3">
      <c r="A172" t="s">
        <v>34</v>
      </c>
      <c r="B172">
        <v>224</v>
      </c>
      <c r="C172">
        <v>1</v>
      </c>
      <c r="D172">
        <v>71.924000000000007</v>
      </c>
      <c r="E172">
        <v>255.93799999999999</v>
      </c>
      <c r="F172">
        <v>327</v>
      </c>
    </row>
    <row r="173" spans="1:6" x14ac:dyDescent="0.3">
      <c r="A173" t="s">
        <v>34</v>
      </c>
      <c r="B173">
        <v>224</v>
      </c>
      <c r="C173">
        <v>1</v>
      </c>
      <c r="D173">
        <v>71.929000000000002</v>
      </c>
      <c r="E173">
        <v>255.65899999999999</v>
      </c>
      <c r="F173">
        <v>318</v>
      </c>
    </row>
    <row r="174" spans="1:6" x14ac:dyDescent="0.3">
      <c r="A174" t="s">
        <v>34</v>
      </c>
      <c r="B174">
        <v>224</v>
      </c>
      <c r="C174">
        <v>1</v>
      </c>
      <c r="D174">
        <v>71.918999999999997</v>
      </c>
      <c r="E174">
        <v>255.929</v>
      </c>
      <c r="F174">
        <v>336</v>
      </c>
    </row>
    <row r="175" spans="1:6" x14ac:dyDescent="0.3">
      <c r="A175" t="s">
        <v>34</v>
      </c>
      <c r="B175">
        <v>224</v>
      </c>
      <c r="C175">
        <v>1</v>
      </c>
      <c r="D175">
        <v>71.918999999999997</v>
      </c>
      <c r="E175">
        <v>256.101</v>
      </c>
      <c r="F175">
        <v>324</v>
      </c>
    </row>
    <row r="176" spans="1:6" x14ac:dyDescent="0.3">
      <c r="A176" t="s">
        <v>34</v>
      </c>
      <c r="B176">
        <v>224</v>
      </c>
      <c r="C176">
        <v>1</v>
      </c>
      <c r="D176">
        <v>71.92</v>
      </c>
      <c r="E176">
        <v>255.87700000000001</v>
      </c>
      <c r="F176">
        <v>334</v>
      </c>
    </row>
    <row r="177" spans="1:6" x14ac:dyDescent="0.3">
      <c r="A177" t="s">
        <v>34</v>
      </c>
      <c r="B177">
        <v>224</v>
      </c>
      <c r="C177">
        <v>1</v>
      </c>
      <c r="D177">
        <v>71.915999999999997</v>
      </c>
      <c r="E177">
        <v>256.00400000000002</v>
      </c>
      <c r="F177">
        <v>326</v>
      </c>
    </row>
    <row r="178" spans="1:6" x14ac:dyDescent="0.3">
      <c r="A178" t="s">
        <v>34</v>
      </c>
      <c r="B178">
        <v>224</v>
      </c>
      <c r="C178">
        <v>1</v>
      </c>
      <c r="D178">
        <v>71.947999999999993</v>
      </c>
      <c r="E178">
        <v>255.70699999999999</v>
      </c>
      <c r="F178">
        <v>328</v>
      </c>
    </row>
    <row r="179" spans="1:6" x14ac:dyDescent="0.3">
      <c r="A179" t="s">
        <v>34</v>
      </c>
      <c r="B179">
        <v>224</v>
      </c>
      <c r="C179">
        <v>1</v>
      </c>
      <c r="D179">
        <v>71.935000000000002</v>
      </c>
      <c r="E179">
        <v>255.54599999999999</v>
      </c>
      <c r="F179">
        <v>319</v>
      </c>
    </row>
    <row r="180" spans="1:6" x14ac:dyDescent="0.3">
      <c r="A180" t="s">
        <v>34</v>
      </c>
      <c r="B180">
        <v>224</v>
      </c>
      <c r="C180">
        <v>1</v>
      </c>
      <c r="D180">
        <v>71.980999999999995</v>
      </c>
      <c r="E180">
        <v>255.863</v>
      </c>
      <c r="F180">
        <v>330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9.83203125" customWidth="1"/>
    <col min="2" max="2" width="4.33203125"/>
    <col min="3" max="3" width="2.58203125"/>
    <col min="4" max="4" width="9.5"/>
    <col min="5" max="5" width="7.25"/>
    <col min="6" max="6" width="4.83203125" customWidth="1"/>
    <col min="7" max="7" width="2.33203125"/>
    <col min="8" max="8" width="10"/>
    <col min="9" max="9" width="4.33203125"/>
    <col min="10" max="10" width="3.33203125"/>
    <col min="11" max="11" width="2.58203125"/>
    <col min="12" max="21" width="9.5"/>
    <col min="22" max="22" width="2.58203125"/>
    <col min="23" max="23" width="9.5"/>
    <col min="24" max="24" width="3.75"/>
    <col min="25" max="25" width="9.5"/>
    <col min="26" max="26" width="2.25"/>
    <col min="27" max="27" width="2.58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28.591999999999999</v>
      </c>
      <c r="E1">
        <v>5.2750000000000004</v>
      </c>
      <c r="F1">
        <v>211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5.2770000000000001</v>
      </c>
      <c r="F2">
        <v>247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28.591999999999999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28.504000000000001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28.504000000000001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28.537999999999993</v>
      </c>
      <c r="Y2" s="35">
        <f ca="1">Total!E2</f>
        <v>28.504000000000001</v>
      </c>
      <c r="AB2" s="35">
        <f t="shared" ref="AB2:AB19" ca="1" si="11">(L2-$Y2)/$Y2</f>
        <v>3.0872859949479868E-3</v>
      </c>
      <c r="AC2" s="35">
        <f t="shared" ref="AC2:AC19" ca="1" si="12">(M2-$Y2)/$Y2</f>
        <v>1.4734774066796953E-3</v>
      </c>
      <c r="AD2" s="35">
        <f t="shared" ref="AD2:AD19" ca="1" si="13">(N2-$Y2)/$Y2</f>
        <v>0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0</v>
      </c>
      <c r="AH2" s="35">
        <f t="shared" ref="AH2:AH19" ca="1" si="17">(R2-$Y2)/$Y2</f>
        <v>0</v>
      </c>
      <c r="AI2" s="35">
        <f t="shared" ref="AI2:AI19" ca="1" si="18">(S2-$Y2)/$Y2</f>
        <v>1.4734774066796953E-3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1.1928150435026159E-2</v>
      </c>
    </row>
    <row r="3" spans="1:39" x14ac:dyDescent="0.3">
      <c r="A3" t="s">
        <v>17</v>
      </c>
      <c r="B3">
        <v>25</v>
      </c>
      <c r="C3">
        <v>1</v>
      </c>
      <c r="D3">
        <v>28.504000000000001</v>
      </c>
      <c r="E3">
        <v>5.2939999999999996</v>
      </c>
      <c r="F3">
        <v>224</v>
      </c>
      <c r="H3" s="35" t="s">
        <v>17</v>
      </c>
      <c r="I3" s="35">
        <v>50</v>
      </c>
      <c r="J3" s="35">
        <v>1</v>
      </c>
      <c r="L3" s="35">
        <f t="shared" ca="1" si="0"/>
        <v>53.137999999999998</v>
      </c>
      <c r="M3" s="35">
        <f t="shared" ca="1" si="1"/>
        <v>53.031999999999996</v>
      </c>
      <c r="N3" s="35">
        <f t="shared" ca="1" si="2"/>
        <v>53.067999999999998</v>
      </c>
      <c r="O3" s="35">
        <f t="shared" ca="1" si="3"/>
        <v>53.018999999999998</v>
      </c>
      <c r="P3" s="35">
        <f t="shared" ca="1" si="4"/>
        <v>53.078000000000003</v>
      </c>
      <c r="Q3" s="35">
        <f t="shared" ca="1" si="5"/>
        <v>53.006999999999998</v>
      </c>
      <c r="R3" s="35">
        <f t="shared" ca="1" si="6"/>
        <v>52.957000000000001</v>
      </c>
      <c r="S3" s="35">
        <f t="shared" ca="1" si="7"/>
        <v>53.081000000000003</v>
      </c>
      <c r="T3" s="35">
        <f t="shared" ca="1" si="8"/>
        <v>53.237000000000002</v>
      </c>
      <c r="U3" s="35">
        <f t="shared" ca="1" si="9"/>
        <v>52.987000000000002</v>
      </c>
      <c r="W3" s="35">
        <f t="shared" ca="1" si="10"/>
        <v>53.060400000000001</v>
      </c>
      <c r="Y3" s="35">
        <f ca="1">Total!E3</f>
        <v>52.927</v>
      </c>
      <c r="AB3" s="35">
        <f t="shared" ca="1" si="11"/>
        <v>3.9866230846259667E-3</v>
      </c>
      <c r="AC3" s="35">
        <f t="shared" ca="1" si="12"/>
        <v>1.9838645681787533E-3</v>
      </c>
      <c r="AD3" s="35">
        <f t="shared" ca="1" si="13"/>
        <v>2.6640467058400862E-3</v>
      </c>
      <c r="AE3" s="35">
        <f t="shared" ca="1" si="14"/>
        <v>1.7382432406899833E-3</v>
      </c>
      <c r="AF3" s="35">
        <f t="shared" ca="1" si="15"/>
        <v>2.8529861885238793E-3</v>
      </c>
      <c r="AG3" s="35">
        <f t="shared" ca="1" si="16"/>
        <v>1.5115158614695391E-3</v>
      </c>
      <c r="AH3" s="35">
        <f t="shared" ca="1" si="17"/>
        <v>5.6681844805111072E-4</v>
      </c>
      <c r="AI3" s="35">
        <f t="shared" ca="1" si="18"/>
        <v>2.9096680333289904E-3</v>
      </c>
      <c r="AJ3" s="35">
        <f t="shared" ca="1" si="19"/>
        <v>5.8571239631946314E-3</v>
      </c>
      <c r="AK3" s="35">
        <f t="shared" ca="1" si="20"/>
        <v>1.1336368961022214E-3</v>
      </c>
      <c r="AM3" s="35">
        <f t="shared" ca="1" si="21"/>
        <v>2.5204526990005159E-2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5.282</v>
      </c>
      <c r="F4">
        <v>250</v>
      </c>
      <c r="H4" s="35" t="s">
        <v>17</v>
      </c>
      <c r="I4" s="35">
        <v>100</v>
      </c>
      <c r="J4" s="35">
        <v>1</v>
      </c>
      <c r="L4" s="35">
        <f t="shared" ca="1" si="0"/>
        <v>102.968</v>
      </c>
      <c r="M4" s="35">
        <f t="shared" ca="1" si="1"/>
        <v>103.288</v>
      </c>
      <c r="N4" s="35">
        <f t="shared" ca="1" si="2"/>
        <v>103.068</v>
      </c>
      <c r="O4" s="35">
        <f t="shared" ca="1" si="3"/>
        <v>103.351</v>
      </c>
      <c r="P4" s="35">
        <f t="shared" ca="1" si="4"/>
        <v>103.703</v>
      </c>
      <c r="Q4" s="35">
        <f t="shared" ca="1" si="5"/>
        <v>103.247</v>
      </c>
      <c r="R4" s="35">
        <f t="shared" ca="1" si="6"/>
        <v>103.277</v>
      </c>
      <c r="S4" s="35">
        <f t="shared" ca="1" si="7"/>
        <v>103.288</v>
      </c>
      <c r="T4" s="35">
        <f t="shared" ca="1" si="8"/>
        <v>103.256</v>
      </c>
      <c r="U4" s="35">
        <f t="shared" ca="1" si="9"/>
        <v>103.568</v>
      </c>
      <c r="W4" s="35">
        <f t="shared" ca="1" si="10"/>
        <v>103.30140000000002</v>
      </c>
      <c r="Y4" s="35">
        <f ca="1">Total!E4</f>
        <v>102.80200000000001</v>
      </c>
      <c r="AB4" s="35">
        <f t="shared" ca="1" si="11"/>
        <v>1.6147545767591759E-3</v>
      </c>
      <c r="AC4" s="35">
        <f t="shared" ca="1" si="12"/>
        <v>4.7275344837648097E-3</v>
      </c>
      <c r="AD4" s="35">
        <f t="shared" ca="1" si="13"/>
        <v>2.5874982976984021E-3</v>
      </c>
      <c r="AE4" s="35">
        <f t="shared" ca="1" si="14"/>
        <v>5.3403630279565805E-3</v>
      </c>
      <c r="AF4" s="35">
        <f t="shared" ca="1" si="15"/>
        <v>8.7644209256628886E-3</v>
      </c>
      <c r="AG4" s="35">
        <f t="shared" ca="1" si="16"/>
        <v>4.3287095581797351E-3</v>
      </c>
      <c r="AH4" s="35">
        <f t="shared" ca="1" si="17"/>
        <v>4.620532674461531E-3</v>
      </c>
      <c r="AI4" s="35">
        <f t="shared" ca="1" si="18"/>
        <v>4.7275344837648097E-3</v>
      </c>
      <c r="AJ4" s="35">
        <f t="shared" ca="1" si="19"/>
        <v>4.4162564930642738E-3</v>
      </c>
      <c r="AK4" s="35">
        <f t="shared" ca="1" si="20"/>
        <v>7.4512169023948083E-3</v>
      </c>
      <c r="AM4" s="35">
        <f t="shared" ca="1" si="21"/>
        <v>4.8578821423707008E-2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5.2750000000000004</v>
      </c>
      <c r="F5">
        <v>261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28.504000000000001</v>
      </c>
      <c r="E6">
        <v>5.2789999999999999</v>
      </c>
      <c r="F6">
        <v>244</v>
      </c>
      <c r="H6" s="35" t="s">
        <v>18</v>
      </c>
      <c r="I6" s="35">
        <v>50</v>
      </c>
      <c r="J6" s="35">
        <v>1</v>
      </c>
      <c r="L6" s="35">
        <f t="shared" ca="1" si="0"/>
        <v>180.87100000000001</v>
      </c>
      <c r="M6" s="35">
        <f t="shared" ca="1" si="1"/>
        <v>179.93799999999999</v>
      </c>
      <c r="N6" s="35">
        <f t="shared" ca="1" si="2"/>
        <v>179.953</v>
      </c>
      <c r="O6" s="35">
        <f t="shared" ca="1" si="3"/>
        <v>179.93799999999999</v>
      </c>
      <c r="P6" s="35">
        <f t="shared" ca="1" si="4"/>
        <v>179.93799999999999</v>
      </c>
      <c r="Q6" s="35">
        <f t="shared" ca="1" si="5"/>
        <v>181.71299999999999</v>
      </c>
      <c r="R6" s="35">
        <f t="shared" ca="1" si="6"/>
        <v>179.93799999999999</v>
      </c>
      <c r="S6" s="35">
        <f t="shared" ca="1" si="7"/>
        <v>180.685</v>
      </c>
      <c r="T6" s="35">
        <f t="shared" ca="1" si="8"/>
        <v>181.64500000000001</v>
      </c>
      <c r="U6" s="35">
        <f t="shared" ca="1" si="9"/>
        <v>180.87100000000001</v>
      </c>
      <c r="W6" s="35">
        <f t="shared" ca="1" si="10"/>
        <v>180.54899999999998</v>
      </c>
      <c r="Y6" s="35">
        <f ca="1">Total!E6</f>
        <v>179.673</v>
      </c>
      <c r="AB6" s="35">
        <f t="shared" ca="1" si="11"/>
        <v>6.667668486639659E-3</v>
      </c>
      <c r="AC6" s="35">
        <f t="shared" ca="1" si="12"/>
        <v>1.4749016268442469E-3</v>
      </c>
      <c r="AD6" s="35">
        <f t="shared" ca="1" si="13"/>
        <v>1.5583866245902341E-3</v>
      </c>
      <c r="AE6" s="35">
        <f t="shared" ca="1" si="14"/>
        <v>1.4749016268442469E-3</v>
      </c>
      <c r="AF6" s="35">
        <f t="shared" ca="1" si="15"/>
        <v>1.4749016268442469E-3</v>
      </c>
      <c r="AG6" s="35">
        <f t="shared" ca="1" si="16"/>
        <v>1.1353959693443045E-2</v>
      </c>
      <c r="AH6" s="35">
        <f t="shared" ca="1" si="17"/>
        <v>1.4749016268442469E-3</v>
      </c>
      <c r="AI6" s="35">
        <f t="shared" ca="1" si="18"/>
        <v>5.6324545145903975E-3</v>
      </c>
      <c r="AJ6" s="35">
        <f t="shared" ca="1" si="19"/>
        <v>1.0975494370328366E-2</v>
      </c>
      <c r="AK6" s="35">
        <f t="shared" ca="1" si="20"/>
        <v>6.667668486639659E-3</v>
      </c>
      <c r="AM6" s="35">
        <f t="shared" ca="1" si="21"/>
        <v>4.875523868360835E-2</v>
      </c>
    </row>
    <row r="7" spans="1:39" x14ac:dyDescent="0.3">
      <c r="A7" t="s">
        <v>17</v>
      </c>
      <c r="B7">
        <v>25</v>
      </c>
      <c r="C7">
        <v>1</v>
      </c>
      <c r="D7">
        <v>28.504000000000001</v>
      </c>
      <c r="E7">
        <v>5.2850000000000001</v>
      </c>
      <c r="F7">
        <v>258</v>
      </c>
      <c r="H7" s="35" t="s">
        <v>18</v>
      </c>
      <c r="I7" s="35">
        <v>100</v>
      </c>
      <c r="J7" s="35">
        <v>1</v>
      </c>
      <c r="L7" s="35">
        <f t="shared" ca="1" si="0"/>
        <v>239.48699999999999</v>
      </c>
      <c r="M7" s="35">
        <f t="shared" ca="1" si="1"/>
        <v>239.28700000000001</v>
      </c>
      <c r="N7" s="35">
        <f t="shared" ca="1" si="2"/>
        <v>239.20099999999999</v>
      </c>
      <c r="O7" s="35">
        <f t="shared" ca="1" si="3"/>
        <v>239.494</v>
      </c>
      <c r="P7" s="35">
        <f t="shared" ca="1" si="4"/>
        <v>239.22800000000001</v>
      </c>
      <c r="Q7" s="35">
        <f t="shared" ca="1" si="5"/>
        <v>239.19900000000001</v>
      </c>
      <c r="R7" s="35">
        <f t="shared" ca="1" si="6"/>
        <v>239.363</v>
      </c>
      <c r="S7" s="35">
        <f t="shared" ca="1" si="7"/>
        <v>239.31299999999999</v>
      </c>
      <c r="T7" s="35">
        <f t="shared" ca="1" si="8"/>
        <v>239.63</v>
      </c>
      <c r="U7" s="35">
        <f t="shared" ca="1" si="9"/>
        <v>239.21199999999999</v>
      </c>
      <c r="W7" s="35">
        <f t="shared" ca="1" si="10"/>
        <v>239.34140000000002</v>
      </c>
      <c r="Y7" s="35">
        <f ca="1">Total!E7</f>
        <v>238.86699999999999</v>
      </c>
      <c r="AB7" s="35">
        <f t="shared" ca="1" si="11"/>
        <v>2.5955866653828473E-3</v>
      </c>
      <c r="AC7" s="35">
        <f t="shared" ca="1" si="12"/>
        <v>1.7583006442916599E-3</v>
      </c>
      <c r="AD7" s="35">
        <f t="shared" ca="1" si="13"/>
        <v>1.3982676552223756E-3</v>
      </c>
      <c r="AE7" s="35">
        <f t="shared" ca="1" si="14"/>
        <v>2.6248916761210613E-3</v>
      </c>
      <c r="AF7" s="35">
        <f t="shared" ca="1" si="15"/>
        <v>1.5113012680697561E-3</v>
      </c>
      <c r="AG7" s="35">
        <f t="shared" ca="1" si="16"/>
        <v>1.3898947950115423E-3</v>
      </c>
      <c r="AH7" s="35">
        <f t="shared" ca="1" si="17"/>
        <v>2.0764693323063015E-3</v>
      </c>
      <c r="AI7" s="35">
        <f t="shared" ca="1" si="18"/>
        <v>1.8671478270334452E-3</v>
      </c>
      <c r="AJ7" s="35">
        <f t="shared" ca="1" si="19"/>
        <v>3.1942461704630829E-3</v>
      </c>
      <c r="AK7" s="35">
        <f t="shared" ca="1" si="20"/>
        <v>1.4443183863823755E-3</v>
      </c>
      <c r="AM7" s="35">
        <f t="shared" ca="1" si="21"/>
        <v>1.9860424420284444E-2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5.2770000000000001</v>
      </c>
      <c r="F8">
        <v>253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5.2859999999999996</v>
      </c>
      <c r="F9">
        <v>256</v>
      </c>
      <c r="H9" s="35" t="s">
        <v>19</v>
      </c>
      <c r="I9" s="35">
        <v>47</v>
      </c>
      <c r="J9" s="35">
        <v>1</v>
      </c>
      <c r="L9" s="35">
        <f t="shared" ca="1" si="0"/>
        <v>4318.4880000000003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4318.4880000000003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4318.4880000000003</v>
      </c>
      <c r="U9" s="35">
        <f t="shared" ca="1" si="9"/>
        <v>4313.6099999999997</v>
      </c>
      <c r="W9" s="35">
        <f t="shared" ca="1" si="10"/>
        <v>4315.0733999999993</v>
      </c>
      <c r="Y9" s="35">
        <f ca="1">Total!E9</f>
        <v>4313.6099999999997</v>
      </c>
      <c r="AB9" s="35">
        <f t="shared" ca="1" si="11"/>
        <v>1.130839366563183E-3</v>
      </c>
      <c r="AC9" s="35">
        <f t="shared" ca="1" si="12"/>
        <v>0</v>
      </c>
      <c r="AD9" s="35">
        <f t="shared" ca="1" si="13"/>
        <v>0</v>
      </c>
      <c r="AE9" s="35">
        <f t="shared" ca="1" si="14"/>
        <v>1.130839366563183E-3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1.130839366563183E-3</v>
      </c>
      <c r="AK9" s="35">
        <f t="shared" ca="1" si="20"/>
        <v>0</v>
      </c>
      <c r="AM9" s="35">
        <f t="shared" ca="1" si="21"/>
        <v>3.3925180996895489E-3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5.2960000000000003</v>
      </c>
      <c r="F10">
        <v>264</v>
      </c>
      <c r="H10" s="35" t="s">
        <v>19</v>
      </c>
      <c r="I10" s="35">
        <v>100</v>
      </c>
      <c r="J10" s="35">
        <v>1</v>
      </c>
      <c r="L10" s="35">
        <f t="shared" ca="1" si="0"/>
        <v>35272.953000000001</v>
      </c>
      <c r="M10" s="35">
        <f t="shared" ca="1" si="1"/>
        <v>35229.89</v>
      </c>
      <c r="N10" s="35">
        <f t="shared" ca="1" si="2"/>
        <v>35228.038</v>
      </c>
      <c r="O10" s="35">
        <f t="shared" ca="1" si="3"/>
        <v>35272.953000000001</v>
      </c>
      <c r="P10" s="35">
        <f t="shared" ca="1" si="4"/>
        <v>35272.953000000001</v>
      </c>
      <c r="Q10" s="35">
        <f t="shared" ca="1" si="5"/>
        <v>35245.864999999998</v>
      </c>
      <c r="R10" s="35">
        <f t="shared" ca="1" si="6"/>
        <v>35225.625999999997</v>
      </c>
      <c r="S10" s="35">
        <f t="shared" ca="1" si="7"/>
        <v>35267.139000000003</v>
      </c>
      <c r="T10" s="35">
        <f t="shared" ca="1" si="8"/>
        <v>35264.461000000003</v>
      </c>
      <c r="U10" s="35">
        <f t="shared" ca="1" si="9"/>
        <v>35272.953000000001</v>
      </c>
      <c r="W10" s="35">
        <f t="shared" ca="1" si="10"/>
        <v>35255.283100000001</v>
      </c>
      <c r="Y10" s="35">
        <f ca="1">Total!E10</f>
        <v>35210.383000000002</v>
      </c>
      <c r="AB10" s="35">
        <f t="shared" ca="1" si="11"/>
        <v>1.7770326440357013E-3</v>
      </c>
      <c r="AC10" s="35">
        <f t="shared" ca="1" si="12"/>
        <v>5.5401271835065771E-4</v>
      </c>
      <c r="AD10" s="35">
        <f t="shared" ca="1" si="13"/>
        <v>5.0141459693860287E-4</v>
      </c>
      <c r="AE10" s="35">
        <f t="shared" ca="1" si="14"/>
        <v>1.7770326440357013E-3</v>
      </c>
      <c r="AF10" s="35">
        <f t="shared" ca="1" si="15"/>
        <v>1.7770326440357013E-3</v>
      </c>
      <c r="AG10" s="35">
        <f t="shared" ca="1" si="16"/>
        <v>1.0077141166001044E-3</v>
      </c>
      <c r="AH10" s="35">
        <f t="shared" ca="1" si="17"/>
        <v>4.3291207596335819E-4</v>
      </c>
      <c r="AI10" s="35">
        <f t="shared" ca="1" si="18"/>
        <v>1.6119108957150855E-3</v>
      </c>
      <c r="AJ10" s="35">
        <f t="shared" ca="1" si="19"/>
        <v>1.5358537849475065E-3</v>
      </c>
      <c r="AK10" s="35">
        <f t="shared" ca="1" si="20"/>
        <v>1.7770326440357013E-3</v>
      </c>
      <c r="AM10" s="35">
        <f t="shared" ca="1" si="21"/>
        <v>1.2751948764658119E-2</v>
      </c>
    </row>
    <row r="11" spans="1:39" x14ac:dyDescent="0.3">
      <c r="A11" t="s">
        <v>17</v>
      </c>
      <c r="B11">
        <v>50</v>
      </c>
      <c r="C11">
        <v>1</v>
      </c>
      <c r="D11">
        <v>53.137999999999998</v>
      </c>
      <c r="E11">
        <v>19.600999999999999</v>
      </c>
      <c r="F11">
        <v>317</v>
      </c>
      <c r="H11" s="35" t="s">
        <v>20</v>
      </c>
      <c r="I11" s="35">
        <v>30</v>
      </c>
      <c r="J11" s="35">
        <v>1</v>
      </c>
      <c r="L11" s="35">
        <f t="shared" ca="1" si="0"/>
        <v>657.52200000000005</v>
      </c>
      <c r="M11" s="35">
        <f t="shared" ca="1" si="1"/>
        <v>657.35599999999999</v>
      </c>
      <c r="N11" s="35">
        <f t="shared" ca="1" si="2"/>
        <v>657.35599999999999</v>
      </c>
      <c r="O11" s="35">
        <f t="shared" ca="1" si="3"/>
        <v>657.35599999999999</v>
      </c>
      <c r="P11" s="35">
        <f t="shared" ca="1" si="4"/>
        <v>659.84500000000003</v>
      </c>
      <c r="Q11" s="35">
        <f t="shared" ca="1" si="5"/>
        <v>658.23299999999995</v>
      </c>
      <c r="R11" s="35">
        <f t="shared" ca="1" si="6"/>
        <v>657.35599999999999</v>
      </c>
      <c r="S11" s="35">
        <f t="shared" ca="1" si="7"/>
        <v>658.23299999999995</v>
      </c>
      <c r="T11" s="35">
        <f t="shared" ca="1" si="8"/>
        <v>657.35599999999999</v>
      </c>
      <c r="U11" s="35">
        <f t="shared" ca="1" si="9"/>
        <v>658.19299999999998</v>
      </c>
      <c r="W11" s="35">
        <f t="shared" ca="1" si="10"/>
        <v>657.88060000000007</v>
      </c>
      <c r="Y11" s="35">
        <f ca="1">Total!E11</f>
        <v>655.46500000000003</v>
      </c>
      <c r="AB11" s="35">
        <f t="shared" ca="1" si="11"/>
        <v>3.1382301114476229E-3</v>
      </c>
      <c r="AC11" s="35">
        <f t="shared" ca="1" si="12"/>
        <v>2.8849747888902728E-3</v>
      </c>
      <c r="AD11" s="35">
        <f t="shared" ca="1" si="13"/>
        <v>2.8849747888902728E-3</v>
      </c>
      <c r="AE11" s="35">
        <f t="shared" ca="1" si="14"/>
        <v>2.8849747888902728E-3</v>
      </c>
      <c r="AF11" s="35">
        <f t="shared" ca="1" si="15"/>
        <v>6.6822789927761138E-3</v>
      </c>
      <c r="AG11" s="35">
        <f t="shared" ca="1" si="16"/>
        <v>4.2229562219186613E-3</v>
      </c>
      <c r="AH11" s="35">
        <f t="shared" ca="1" si="17"/>
        <v>2.8849747888902728E-3</v>
      </c>
      <c r="AI11" s="35">
        <f t="shared" ca="1" si="18"/>
        <v>4.2229562219186613E-3</v>
      </c>
      <c r="AJ11" s="35">
        <f t="shared" ca="1" si="19"/>
        <v>2.8849747888902728E-3</v>
      </c>
      <c r="AK11" s="35">
        <f t="shared" ca="1" si="20"/>
        <v>4.1619308429892542E-3</v>
      </c>
      <c r="AM11" s="35">
        <f t="shared" ca="1" si="21"/>
        <v>3.6853226335501678E-2</v>
      </c>
    </row>
    <row r="12" spans="1:39" x14ac:dyDescent="0.3">
      <c r="A12" t="s">
        <v>17</v>
      </c>
      <c r="B12">
        <v>50</v>
      </c>
      <c r="C12">
        <v>1</v>
      </c>
      <c r="D12">
        <v>53.031999999999996</v>
      </c>
      <c r="E12">
        <v>19.545999999999999</v>
      </c>
      <c r="F12">
        <v>313</v>
      </c>
      <c r="H12" s="35" t="s">
        <v>20</v>
      </c>
      <c r="I12" s="35">
        <v>50</v>
      </c>
      <c r="J12" s="35">
        <v>1</v>
      </c>
      <c r="L12" s="35">
        <f t="shared" ca="1" si="0"/>
        <v>994.94899999999996</v>
      </c>
      <c r="M12" s="35">
        <f t="shared" ca="1" si="1"/>
        <v>995.57600000000002</v>
      </c>
      <c r="N12" s="35">
        <f t="shared" ca="1" si="2"/>
        <v>994.00800000000004</v>
      </c>
      <c r="O12" s="35">
        <f t="shared" ca="1" si="3"/>
        <v>996.58100000000002</v>
      </c>
      <c r="P12" s="35">
        <f t="shared" ca="1" si="4"/>
        <v>993.96100000000001</v>
      </c>
      <c r="Q12" s="35">
        <f t="shared" ca="1" si="5"/>
        <v>991.798</v>
      </c>
      <c r="R12" s="35">
        <f t="shared" ca="1" si="6"/>
        <v>993.83799999999997</v>
      </c>
      <c r="S12" s="35">
        <f t="shared" ca="1" si="7"/>
        <v>993.87099999999998</v>
      </c>
      <c r="T12" s="35">
        <f t="shared" ca="1" si="8"/>
        <v>996.37300000000005</v>
      </c>
      <c r="U12" s="35">
        <f t="shared" ca="1" si="9"/>
        <v>995.95399999999995</v>
      </c>
      <c r="W12" s="35">
        <f t="shared" ca="1" si="10"/>
        <v>994.69089999999994</v>
      </c>
      <c r="Y12" s="35">
        <f ca="1">Total!E12</f>
        <v>990.096</v>
      </c>
      <c r="AB12" s="35">
        <f t="shared" ca="1" si="11"/>
        <v>4.9015449006964496E-3</v>
      </c>
      <c r="AC12" s="35">
        <f t="shared" ca="1" si="12"/>
        <v>5.5348168258431687E-3</v>
      </c>
      <c r="AD12" s="35">
        <f t="shared" ca="1" si="13"/>
        <v>3.95113201144135E-3</v>
      </c>
      <c r="AE12" s="35">
        <f t="shared" ca="1" si="14"/>
        <v>6.5498699116045452E-3</v>
      </c>
      <c r="AF12" s="35">
        <f t="shared" ca="1" si="15"/>
        <v>3.9036618671320854E-3</v>
      </c>
      <c r="AG12" s="35">
        <f t="shared" ca="1" si="16"/>
        <v>1.7190252258366847E-3</v>
      </c>
      <c r="AH12" s="35">
        <f t="shared" ca="1" si="17"/>
        <v>3.7794314894716895E-3</v>
      </c>
      <c r="AI12" s="35">
        <f t="shared" ca="1" si="18"/>
        <v>3.8127615907952131E-3</v>
      </c>
      <c r="AJ12" s="35">
        <f t="shared" ca="1" si="19"/>
        <v>6.3397892729594339E-3</v>
      </c>
      <c r="AK12" s="35">
        <f t="shared" ca="1" si="20"/>
        <v>5.9165979864578251E-3</v>
      </c>
      <c r="AM12" s="35">
        <f t="shared" ca="1" si="21"/>
        <v>4.6408631082238444E-2</v>
      </c>
    </row>
    <row r="13" spans="1:39" x14ac:dyDescent="0.3">
      <c r="A13" t="s">
        <v>17</v>
      </c>
      <c r="B13">
        <v>50</v>
      </c>
      <c r="C13">
        <v>1</v>
      </c>
      <c r="D13">
        <v>53.067999999999998</v>
      </c>
      <c r="E13">
        <v>19.571000000000002</v>
      </c>
      <c r="F13">
        <v>307</v>
      </c>
      <c r="H13" s="35" t="s">
        <v>20</v>
      </c>
      <c r="I13" s="35">
        <v>100</v>
      </c>
      <c r="J13" s="35">
        <v>1</v>
      </c>
      <c r="L13" s="35">
        <f t="shared" ca="1" si="0"/>
        <v>1758.607</v>
      </c>
      <c r="M13" s="35">
        <f t="shared" ca="1" si="1"/>
        <v>1756.89</v>
      </c>
      <c r="N13" s="35">
        <f t="shared" ca="1" si="2"/>
        <v>1753.9829999999999</v>
      </c>
      <c r="O13" s="35">
        <f t="shared" ca="1" si="3"/>
        <v>1755.876</v>
      </c>
      <c r="P13" s="35">
        <f t="shared" ca="1" si="4"/>
        <v>1757.71</v>
      </c>
      <c r="Q13" s="35">
        <f t="shared" ca="1" si="5"/>
        <v>1755.6849999999999</v>
      </c>
      <c r="R13" s="35">
        <f t="shared" ca="1" si="6"/>
        <v>1758.96</v>
      </c>
      <c r="S13" s="35">
        <f t="shared" ca="1" si="7"/>
        <v>1758.8920000000001</v>
      </c>
      <c r="T13" s="35">
        <f t="shared" ca="1" si="8"/>
        <v>1756.297</v>
      </c>
      <c r="U13" s="35">
        <f t="shared" ca="1" si="9"/>
        <v>1753.87</v>
      </c>
      <c r="W13" s="35">
        <f t="shared" ca="1" si="10"/>
        <v>1756.6770000000001</v>
      </c>
      <c r="Y13" s="35">
        <f ca="1">Total!E13</f>
        <v>1753.79</v>
      </c>
      <c r="AB13" s="35">
        <f t="shared" ca="1" si="11"/>
        <v>2.7466230278425621E-3</v>
      </c>
      <c r="AC13" s="35">
        <f t="shared" ca="1" si="12"/>
        <v>1.767600453874259E-3</v>
      </c>
      <c r="AD13" s="35">
        <f t="shared" ca="1" si="13"/>
        <v>1.100473830960284E-4</v>
      </c>
      <c r="AE13" s="35">
        <f t="shared" ca="1" si="14"/>
        <v>1.1894240473488916E-3</v>
      </c>
      <c r="AF13" s="35">
        <f t="shared" ca="1" si="15"/>
        <v>2.2351592836086834E-3</v>
      </c>
      <c r="AG13" s="35">
        <f t="shared" ca="1" si="16"/>
        <v>1.0805170516424325E-3</v>
      </c>
      <c r="AH13" s="35">
        <f t="shared" ca="1" si="17"/>
        <v>2.9479014021063371E-3</v>
      </c>
      <c r="AI13" s="35">
        <f t="shared" ca="1" si="18"/>
        <v>2.9091282308600741E-3</v>
      </c>
      <c r="AJ13" s="35">
        <f t="shared" ca="1" si="19"/>
        <v>1.4294755928589294E-3</v>
      </c>
      <c r="AK13" s="35">
        <f t="shared" ca="1" si="20"/>
        <v>4.5615495583808348E-5</v>
      </c>
      <c r="AM13" s="35">
        <f t="shared" ca="1" si="21"/>
        <v>1.6461491968822007E-2</v>
      </c>
    </row>
    <row r="14" spans="1:39" x14ac:dyDescent="0.3">
      <c r="A14" t="s">
        <v>17</v>
      </c>
      <c r="B14">
        <v>50</v>
      </c>
      <c r="C14">
        <v>1</v>
      </c>
      <c r="D14">
        <v>53.018999999999998</v>
      </c>
      <c r="E14">
        <v>19.547000000000001</v>
      </c>
      <c r="F14">
        <v>328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53.078000000000003</v>
      </c>
      <c r="E15">
        <v>19.568000000000001</v>
      </c>
      <c r="F15">
        <v>407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76.475999999999999</v>
      </c>
      <c r="M15" s="35">
        <f t="shared" ca="1" si="1"/>
        <v>76.882000000000005</v>
      </c>
      <c r="N15" s="35">
        <f t="shared" ca="1" si="1"/>
        <v>76.319000000000003</v>
      </c>
      <c r="O15" s="35">
        <f t="shared" ca="1" si="1"/>
        <v>76.212000000000003</v>
      </c>
      <c r="P15" s="35">
        <f t="shared" ca="1" si="1"/>
        <v>76.533000000000001</v>
      </c>
      <c r="Q15" s="35">
        <f t="shared" ca="1" si="1"/>
        <v>76.358000000000004</v>
      </c>
      <c r="R15" s="35">
        <f t="shared" ca="1" si="1"/>
        <v>76.356999999999999</v>
      </c>
      <c r="S15" s="35">
        <f t="shared" ca="1" si="1"/>
        <v>76.694000000000003</v>
      </c>
      <c r="T15" s="35">
        <f t="shared" ca="1" si="1"/>
        <v>76.412000000000006</v>
      </c>
      <c r="U15" s="35">
        <f t="shared" ca="1" si="1"/>
        <v>76.099999999999994</v>
      </c>
      <c r="W15" s="35">
        <f t="shared" ca="1" si="10"/>
        <v>76.434300000000007</v>
      </c>
      <c r="Y15" s="35">
        <f ca="1">Total!E15</f>
        <v>75.998000000000005</v>
      </c>
      <c r="AB15" s="35">
        <f t="shared" ca="1" si="11"/>
        <v>6.2896392010315322E-3</v>
      </c>
      <c r="AC15" s="35">
        <f t="shared" ca="1" si="12"/>
        <v>1.1631885049606572E-2</v>
      </c>
      <c r="AD15" s="35">
        <f t="shared" ca="1" si="13"/>
        <v>4.2237953630358425E-3</v>
      </c>
      <c r="AE15" s="35">
        <f t="shared" ca="1" si="14"/>
        <v>2.8158635753572281E-3</v>
      </c>
      <c r="AF15" s="35">
        <f t="shared" ca="1" si="15"/>
        <v>7.0396589383930706E-3</v>
      </c>
      <c r="AG15" s="35">
        <f t="shared" ca="1" si="16"/>
        <v>4.7369667622832101E-3</v>
      </c>
      <c r="AH15" s="35">
        <f t="shared" ca="1" si="17"/>
        <v>4.7238085212768051E-3</v>
      </c>
      <c r="AI15" s="35">
        <f t="shared" ca="1" si="18"/>
        <v>9.1581357404141948E-3</v>
      </c>
      <c r="AJ15" s="35">
        <f t="shared" ca="1" si="19"/>
        <v>5.4475117766257198E-3</v>
      </c>
      <c r="AK15" s="35">
        <f t="shared" ca="1" si="20"/>
        <v>1.3421405826467756E-3</v>
      </c>
      <c r="AM15" s="35">
        <f t="shared" ca="1" si="21"/>
        <v>5.7409405510670947E-2</v>
      </c>
    </row>
    <row r="16" spans="1:39" x14ac:dyDescent="0.3">
      <c r="A16" t="s">
        <v>17</v>
      </c>
      <c r="B16">
        <v>50</v>
      </c>
      <c r="C16">
        <v>1</v>
      </c>
      <c r="D16">
        <v>53.006999999999998</v>
      </c>
      <c r="E16">
        <v>19.577999999999999</v>
      </c>
      <c r="F16">
        <v>447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118.69199999999999</v>
      </c>
      <c r="M16" s="35">
        <f t="shared" ca="1" si="1"/>
        <v>119.32</v>
      </c>
      <c r="N16" s="35">
        <f t="shared" ca="1" si="1"/>
        <v>118.988</v>
      </c>
      <c r="O16" s="35">
        <f t="shared" ca="1" si="1"/>
        <v>119.062</v>
      </c>
      <c r="P16" s="35">
        <f t="shared" ca="1" si="1"/>
        <v>118.816</v>
      </c>
      <c r="Q16" s="35">
        <f t="shared" ca="1" si="1"/>
        <v>118.83</v>
      </c>
      <c r="R16" s="35">
        <f t="shared" ca="1" si="1"/>
        <v>118.669</v>
      </c>
      <c r="S16" s="35">
        <f t="shared" ca="1" si="1"/>
        <v>118.562</v>
      </c>
      <c r="T16" s="35">
        <f t="shared" ca="1" si="1"/>
        <v>118.01</v>
      </c>
      <c r="U16" s="35">
        <f t="shared" ca="1" si="1"/>
        <v>118.999</v>
      </c>
      <c r="W16" s="35">
        <f t="shared" ca="1" si="10"/>
        <v>118.79480000000001</v>
      </c>
      <c r="Y16" s="35">
        <f ca="1">Total!E16</f>
        <v>118.01</v>
      </c>
      <c r="AB16" s="35">
        <f t="shared" ca="1" si="11"/>
        <v>5.7791712566730609E-3</v>
      </c>
      <c r="AC16" s="35">
        <f t="shared" ca="1" si="12"/>
        <v>1.1100754173375036E-2</v>
      </c>
      <c r="AD16" s="35">
        <f t="shared" ca="1" si="13"/>
        <v>8.2874332683670407E-3</v>
      </c>
      <c r="AE16" s="35">
        <f t="shared" ca="1" si="14"/>
        <v>8.9144987712905053E-3</v>
      </c>
      <c r="AF16" s="35">
        <f t="shared" ca="1" si="15"/>
        <v>6.829929666977352E-3</v>
      </c>
      <c r="AG16" s="35">
        <f t="shared" ca="1" si="16"/>
        <v>6.9485636810439214E-3</v>
      </c>
      <c r="AH16" s="35">
        <f t="shared" ca="1" si="17"/>
        <v>5.5842725192779578E-3</v>
      </c>
      <c r="AI16" s="35">
        <f t="shared" ca="1" si="18"/>
        <v>4.6775696974832E-3</v>
      </c>
      <c r="AJ16" s="35">
        <f t="shared" ca="1" si="19"/>
        <v>0</v>
      </c>
      <c r="AK16" s="35">
        <f t="shared" ca="1" si="20"/>
        <v>8.380645707990764E-3</v>
      </c>
      <c r="AM16" s="35">
        <f t="shared" ca="1" si="21"/>
        <v>6.6502838742478837E-2</v>
      </c>
    </row>
    <row r="17" spans="1:39" x14ac:dyDescent="0.3">
      <c r="A17" t="s">
        <v>17</v>
      </c>
      <c r="B17">
        <v>50</v>
      </c>
      <c r="C17">
        <v>1</v>
      </c>
      <c r="D17">
        <v>52.957000000000001</v>
      </c>
      <c r="E17">
        <v>19.556999999999999</v>
      </c>
      <c r="F17">
        <v>395</v>
      </c>
      <c r="H17" s="35" t="s">
        <v>34</v>
      </c>
      <c r="I17" s="35">
        <v>40</v>
      </c>
      <c r="J17" s="35">
        <v>1</v>
      </c>
      <c r="L17" s="35">
        <f t="shared" ca="1" si="22"/>
        <v>16.75</v>
      </c>
      <c r="M17" s="35">
        <f t="shared" ca="1" si="1"/>
        <v>16.766999999999999</v>
      </c>
      <c r="N17" s="35">
        <f t="shared" ca="1" si="1"/>
        <v>16.771000000000001</v>
      </c>
      <c r="O17" s="35">
        <f t="shared" ca="1" si="1"/>
        <v>16.713000000000001</v>
      </c>
      <c r="P17" s="35">
        <f t="shared" ca="1" si="1"/>
        <v>16.673999999999999</v>
      </c>
      <c r="Q17" s="35">
        <f t="shared" ca="1" si="1"/>
        <v>16.78</v>
      </c>
      <c r="R17" s="35">
        <f t="shared" ca="1" si="1"/>
        <v>16.515000000000001</v>
      </c>
      <c r="S17" s="35">
        <f t="shared" ca="1" si="1"/>
        <v>16.733000000000001</v>
      </c>
      <c r="T17" s="35">
        <f t="shared" ca="1" si="1"/>
        <v>16.803999999999998</v>
      </c>
      <c r="U17" s="35">
        <f t="shared" ca="1" si="1"/>
        <v>16.641999999999999</v>
      </c>
      <c r="W17" s="35">
        <f t="shared" ca="1" si="10"/>
        <v>16.7149</v>
      </c>
      <c r="Y17" s="35">
        <f ca="1">Total!E17</f>
        <v>16.481999999999999</v>
      </c>
      <c r="AB17" s="35">
        <f t="shared" ca="1" si="11"/>
        <v>1.626016260162606E-2</v>
      </c>
      <c r="AC17" s="35">
        <f t="shared" ca="1" si="12"/>
        <v>1.7291590826356035E-2</v>
      </c>
      <c r="AD17" s="35">
        <f t="shared" ca="1" si="13"/>
        <v>1.7534279820410236E-2</v>
      </c>
      <c r="AE17" s="35">
        <f t="shared" ca="1" si="14"/>
        <v>1.401528940662551E-2</v>
      </c>
      <c r="AF17" s="35">
        <f t="shared" ca="1" si="15"/>
        <v>1.1649071714597755E-2</v>
      </c>
      <c r="AG17" s="35">
        <f t="shared" ca="1" si="16"/>
        <v>1.8080330057032024E-2</v>
      </c>
      <c r="AH17" s="35">
        <f t="shared" ca="1" si="17"/>
        <v>2.0021842009465629E-3</v>
      </c>
      <c r="AI17" s="35">
        <f t="shared" ca="1" si="18"/>
        <v>1.5228734376896083E-2</v>
      </c>
      <c r="AJ17" s="35">
        <f t="shared" ca="1" si="19"/>
        <v>1.9536464021356583E-2</v>
      </c>
      <c r="AK17" s="35">
        <f t="shared" ca="1" si="20"/>
        <v>9.7075597621647941E-3</v>
      </c>
      <c r="AM17" s="35">
        <f t="shared" ca="1" si="21"/>
        <v>0.14130566678801165</v>
      </c>
    </row>
    <row r="18" spans="1:39" x14ac:dyDescent="0.3">
      <c r="A18" t="s">
        <v>17</v>
      </c>
      <c r="B18">
        <v>50</v>
      </c>
      <c r="C18">
        <v>1</v>
      </c>
      <c r="D18">
        <v>53.081000000000003</v>
      </c>
      <c r="E18">
        <v>19.547999999999998</v>
      </c>
      <c r="F18">
        <v>313</v>
      </c>
      <c r="H18" s="35" t="s">
        <v>34</v>
      </c>
      <c r="I18" s="35">
        <v>96</v>
      </c>
      <c r="J18" s="35">
        <v>1</v>
      </c>
      <c r="L18" s="35">
        <f t="shared" ca="1" si="22"/>
        <v>35.146999999999998</v>
      </c>
      <c r="M18" s="35">
        <f t="shared" ca="1" si="22"/>
        <v>35.121000000000002</v>
      </c>
      <c r="N18" s="35">
        <f t="shared" ca="1" si="22"/>
        <v>35.155000000000001</v>
      </c>
      <c r="O18" s="35">
        <f t="shared" ca="1" si="22"/>
        <v>35.201000000000001</v>
      </c>
      <c r="P18" s="35">
        <f t="shared" ca="1" si="22"/>
        <v>35.215000000000003</v>
      </c>
      <c r="Q18" s="35">
        <f t="shared" ca="1" si="22"/>
        <v>35.197000000000003</v>
      </c>
      <c r="R18" s="35">
        <f t="shared" ca="1" si="22"/>
        <v>35.098999999999997</v>
      </c>
      <c r="S18" s="35">
        <f t="shared" ca="1" si="22"/>
        <v>35.155000000000001</v>
      </c>
      <c r="T18" s="35">
        <f t="shared" ca="1" si="22"/>
        <v>35.226999999999997</v>
      </c>
      <c r="U18" s="35">
        <f t="shared" ca="1" si="22"/>
        <v>35.207000000000001</v>
      </c>
      <c r="W18" s="35">
        <f t="shared" ca="1" si="10"/>
        <v>35.172399999999996</v>
      </c>
      <c r="Y18" s="35">
        <f ca="1">Total!E18</f>
        <v>35.069000000000003</v>
      </c>
      <c r="AB18" s="35">
        <f t="shared" ca="1" si="11"/>
        <v>2.2241866035528769E-3</v>
      </c>
      <c r="AC18" s="35">
        <f t="shared" ca="1" si="12"/>
        <v>1.4827910690353189E-3</v>
      </c>
      <c r="AD18" s="35">
        <f t="shared" ca="1" si="13"/>
        <v>2.4523083064814655E-3</v>
      </c>
      <c r="AE18" s="35">
        <f t="shared" ca="1" si="14"/>
        <v>3.7640080983203936E-3</v>
      </c>
      <c r="AF18" s="35">
        <f t="shared" ca="1" si="15"/>
        <v>4.1632210784453734E-3</v>
      </c>
      <c r="AG18" s="35">
        <f t="shared" ca="1" si="16"/>
        <v>3.6499472468562006E-3</v>
      </c>
      <c r="AH18" s="35">
        <f t="shared" ca="1" si="17"/>
        <v>8.5545638598175111E-4</v>
      </c>
      <c r="AI18" s="35">
        <f t="shared" ca="1" si="18"/>
        <v>2.4523083064814655E-3</v>
      </c>
      <c r="AJ18" s="35">
        <f t="shared" ca="1" si="19"/>
        <v>4.505403632837952E-3</v>
      </c>
      <c r="AK18" s="35">
        <f t="shared" ca="1" si="20"/>
        <v>3.9350993755167844E-3</v>
      </c>
      <c r="AM18" s="35">
        <f t="shared" ca="1" si="21"/>
        <v>2.948473010350958E-2</v>
      </c>
    </row>
    <row r="19" spans="1:39" x14ac:dyDescent="0.3">
      <c r="A19" t="s">
        <v>17</v>
      </c>
      <c r="B19">
        <v>50</v>
      </c>
      <c r="C19">
        <v>1</v>
      </c>
      <c r="D19">
        <v>53.237000000000002</v>
      </c>
      <c r="E19">
        <v>19.591000000000001</v>
      </c>
      <c r="F19">
        <v>320</v>
      </c>
      <c r="H19" s="35" t="s">
        <v>34</v>
      </c>
      <c r="I19" s="35">
        <v>224</v>
      </c>
      <c r="J19" s="35">
        <v>1</v>
      </c>
      <c r="L19" s="35">
        <f t="shared" ca="1" si="22"/>
        <v>72.019000000000005</v>
      </c>
      <c r="M19" s="35">
        <f t="shared" ca="1" si="22"/>
        <v>71.912000000000006</v>
      </c>
      <c r="N19" s="35">
        <f t="shared" ca="1" si="22"/>
        <v>71.91</v>
      </c>
      <c r="O19" s="35">
        <f t="shared" ca="1" si="22"/>
        <v>71.915000000000006</v>
      </c>
      <c r="P19" s="35">
        <f t="shared" ca="1" si="22"/>
        <v>71.936999999999998</v>
      </c>
      <c r="Q19" s="35">
        <f t="shared" ca="1" si="22"/>
        <v>71.933000000000007</v>
      </c>
      <c r="R19" s="35">
        <f t="shared" ca="1" si="22"/>
        <v>72.010000000000005</v>
      </c>
      <c r="S19" s="35">
        <f t="shared" ca="1" si="22"/>
        <v>71.923000000000002</v>
      </c>
      <c r="T19" s="35">
        <f t="shared" ca="1" si="22"/>
        <v>71.924000000000007</v>
      </c>
      <c r="U19" s="35">
        <f t="shared" ca="1" si="22"/>
        <v>71.921999999999997</v>
      </c>
      <c r="W19" s="35">
        <f t="shared" ca="1" si="10"/>
        <v>71.9405</v>
      </c>
      <c r="Y19" s="35">
        <f ca="1">Total!E19</f>
        <v>71.908000000000001</v>
      </c>
      <c r="AB19" s="35">
        <f t="shared" ca="1" si="11"/>
        <v>1.5436390943984564E-3</v>
      </c>
      <c r="AC19" s="35">
        <f t="shared" ca="1" si="12"/>
        <v>5.5626634032442683E-5</v>
      </c>
      <c r="AD19" s="35">
        <f t="shared" ca="1" si="13"/>
        <v>2.781331701612253E-5</v>
      </c>
      <c r="AE19" s="35">
        <f t="shared" ca="1" si="14"/>
        <v>9.7346609556725285E-5</v>
      </c>
      <c r="AF19" s="35">
        <f t="shared" ca="1" si="15"/>
        <v>4.03293096734666E-4</v>
      </c>
      <c r="AG19" s="35">
        <f t="shared" ca="1" si="16"/>
        <v>3.4766646270242092E-4</v>
      </c>
      <c r="AH19" s="35">
        <f t="shared" ca="1" si="17"/>
        <v>1.4184791678256087E-3</v>
      </c>
      <c r="AI19" s="35">
        <f t="shared" ca="1" si="18"/>
        <v>2.0859987762141303E-4</v>
      </c>
      <c r="AJ19" s="35">
        <f t="shared" ca="1" si="19"/>
        <v>2.2250653612957311E-4</v>
      </c>
      <c r="AK19" s="35">
        <f t="shared" ca="1" si="20"/>
        <v>1.9469321911325295E-4</v>
      </c>
      <c r="AM19" s="35">
        <f t="shared" ca="1" si="21"/>
        <v>4.5196640151306819E-3</v>
      </c>
    </row>
    <row r="20" spans="1:39" x14ac:dyDescent="0.3">
      <c r="A20" t="s">
        <v>17</v>
      </c>
      <c r="B20">
        <v>50</v>
      </c>
      <c r="C20">
        <v>1</v>
      </c>
      <c r="D20">
        <v>52.987000000000002</v>
      </c>
      <c r="E20">
        <v>19.594000000000001</v>
      </c>
      <c r="F20">
        <v>294</v>
      </c>
    </row>
    <row r="21" spans="1:39" x14ac:dyDescent="0.3">
      <c r="A21" t="s">
        <v>17</v>
      </c>
      <c r="B21">
        <v>100</v>
      </c>
      <c r="C21">
        <v>1</v>
      </c>
      <c r="D21">
        <v>102.968</v>
      </c>
      <c r="E21">
        <v>102.015</v>
      </c>
      <c r="F21">
        <v>525</v>
      </c>
    </row>
    <row r="22" spans="1:39" x14ac:dyDescent="0.3">
      <c r="A22" t="s">
        <v>17</v>
      </c>
      <c r="B22">
        <v>100</v>
      </c>
      <c r="C22">
        <v>1</v>
      </c>
      <c r="D22">
        <v>103.288</v>
      </c>
      <c r="E22">
        <v>102.018</v>
      </c>
      <c r="F22">
        <v>545</v>
      </c>
    </row>
    <row r="23" spans="1:39" x14ac:dyDescent="0.3">
      <c r="A23" t="s">
        <v>17</v>
      </c>
      <c r="B23">
        <v>100</v>
      </c>
      <c r="C23">
        <v>1</v>
      </c>
      <c r="D23">
        <v>103.068</v>
      </c>
      <c r="E23">
        <v>102.065</v>
      </c>
      <c r="F23">
        <v>545</v>
      </c>
    </row>
    <row r="24" spans="1:39" x14ac:dyDescent="0.3">
      <c r="A24" t="s">
        <v>17</v>
      </c>
      <c r="B24">
        <v>100</v>
      </c>
      <c r="C24">
        <v>1</v>
      </c>
      <c r="D24">
        <v>103.351</v>
      </c>
      <c r="E24">
        <v>102.11799999999999</v>
      </c>
      <c r="F24">
        <v>505</v>
      </c>
    </row>
    <row r="25" spans="1:39" x14ac:dyDescent="0.3">
      <c r="A25" t="s">
        <v>17</v>
      </c>
      <c r="B25">
        <v>100</v>
      </c>
      <c r="C25">
        <v>1</v>
      </c>
      <c r="D25">
        <v>103.703</v>
      </c>
      <c r="E25">
        <v>102.021</v>
      </c>
      <c r="F25">
        <v>546</v>
      </c>
    </row>
    <row r="26" spans="1:39" x14ac:dyDescent="0.3">
      <c r="A26" t="s">
        <v>17</v>
      </c>
      <c r="B26">
        <v>100</v>
      </c>
      <c r="C26">
        <v>1</v>
      </c>
      <c r="D26">
        <v>103.247</v>
      </c>
      <c r="E26">
        <v>102.002</v>
      </c>
      <c r="F26">
        <v>508</v>
      </c>
    </row>
    <row r="27" spans="1:39" x14ac:dyDescent="0.3">
      <c r="A27" t="s">
        <v>17</v>
      </c>
      <c r="B27">
        <v>100</v>
      </c>
      <c r="C27">
        <v>1</v>
      </c>
      <c r="D27">
        <v>103.277</v>
      </c>
      <c r="E27">
        <v>102.126</v>
      </c>
      <c r="F27">
        <v>542</v>
      </c>
    </row>
    <row r="28" spans="1:39" x14ac:dyDescent="0.3">
      <c r="A28" t="s">
        <v>17</v>
      </c>
      <c r="B28">
        <v>100</v>
      </c>
      <c r="C28">
        <v>1</v>
      </c>
      <c r="D28">
        <v>103.288</v>
      </c>
      <c r="E28">
        <v>102.07899999999999</v>
      </c>
      <c r="F28">
        <v>514</v>
      </c>
    </row>
    <row r="29" spans="1:39" x14ac:dyDescent="0.3">
      <c r="A29" t="s">
        <v>17</v>
      </c>
      <c r="B29">
        <v>100</v>
      </c>
      <c r="C29">
        <v>1</v>
      </c>
      <c r="D29">
        <v>103.256</v>
      </c>
      <c r="E29">
        <v>102.02</v>
      </c>
      <c r="F29">
        <v>524</v>
      </c>
    </row>
    <row r="30" spans="1:39" x14ac:dyDescent="0.3">
      <c r="A30" t="s">
        <v>17</v>
      </c>
      <c r="B30">
        <v>100</v>
      </c>
      <c r="C30">
        <v>1</v>
      </c>
      <c r="D30">
        <v>103.568</v>
      </c>
      <c r="E30">
        <v>102.03700000000001</v>
      </c>
      <c r="F30">
        <v>538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8.016</v>
      </c>
      <c r="F31">
        <v>292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8.0310000000000006</v>
      </c>
      <c r="F32">
        <v>275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8.02</v>
      </c>
      <c r="F33">
        <v>298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</v>
      </c>
      <c r="F34">
        <v>240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8.0139999999999993</v>
      </c>
      <c r="F35">
        <v>297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8.0220000000000002</v>
      </c>
      <c r="F36">
        <v>295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8.0009999999999994</v>
      </c>
      <c r="F37">
        <v>266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8.0060000000000002</v>
      </c>
      <c r="F38">
        <v>261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8.0150000000000006</v>
      </c>
      <c r="F39">
        <v>263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8.0090000000000003</v>
      </c>
      <c r="F40">
        <v>252</v>
      </c>
    </row>
    <row r="41" spans="1:6" x14ac:dyDescent="0.3">
      <c r="A41" t="s">
        <v>18</v>
      </c>
      <c r="B41">
        <v>50</v>
      </c>
      <c r="C41">
        <v>1</v>
      </c>
      <c r="D41">
        <v>180.87100000000001</v>
      </c>
      <c r="E41">
        <v>22.446999999999999</v>
      </c>
      <c r="F41">
        <v>325</v>
      </c>
    </row>
    <row r="42" spans="1:6" x14ac:dyDescent="0.3">
      <c r="A42" t="s">
        <v>18</v>
      </c>
      <c r="B42">
        <v>50</v>
      </c>
      <c r="C42">
        <v>1</v>
      </c>
      <c r="D42">
        <v>179.93799999999999</v>
      </c>
      <c r="E42">
        <v>22.419</v>
      </c>
      <c r="F42">
        <v>330</v>
      </c>
    </row>
    <row r="43" spans="1:6" x14ac:dyDescent="0.3">
      <c r="A43" t="s">
        <v>18</v>
      </c>
      <c r="B43">
        <v>50</v>
      </c>
      <c r="C43">
        <v>1</v>
      </c>
      <c r="D43">
        <v>179.953</v>
      </c>
      <c r="E43">
        <v>22.45</v>
      </c>
      <c r="F43">
        <v>325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22.43</v>
      </c>
      <c r="F44">
        <v>317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22.436</v>
      </c>
      <c r="F45">
        <v>328</v>
      </c>
    </row>
    <row r="46" spans="1:6" x14ac:dyDescent="0.3">
      <c r="A46" t="s">
        <v>18</v>
      </c>
      <c r="B46">
        <v>50</v>
      </c>
      <c r="C46">
        <v>1</v>
      </c>
      <c r="D46">
        <v>181.71299999999999</v>
      </c>
      <c r="E46">
        <v>22.414000000000001</v>
      </c>
      <c r="F46">
        <v>316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22.420999999999999</v>
      </c>
      <c r="F47">
        <v>327</v>
      </c>
    </row>
    <row r="48" spans="1:6" x14ac:dyDescent="0.3">
      <c r="A48" t="s">
        <v>18</v>
      </c>
      <c r="B48">
        <v>50</v>
      </c>
      <c r="C48">
        <v>1</v>
      </c>
      <c r="D48">
        <v>180.685</v>
      </c>
      <c r="E48">
        <v>22.451000000000001</v>
      </c>
      <c r="F48">
        <v>329</v>
      </c>
    </row>
    <row r="49" spans="1:6" x14ac:dyDescent="0.3">
      <c r="A49" t="s">
        <v>18</v>
      </c>
      <c r="B49">
        <v>50</v>
      </c>
      <c r="C49">
        <v>1</v>
      </c>
      <c r="D49">
        <v>181.64500000000001</v>
      </c>
      <c r="E49">
        <v>22.420999999999999</v>
      </c>
      <c r="F49">
        <v>324</v>
      </c>
    </row>
    <row r="50" spans="1:6" x14ac:dyDescent="0.3">
      <c r="A50" t="s">
        <v>18</v>
      </c>
      <c r="B50">
        <v>50</v>
      </c>
      <c r="C50">
        <v>1</v>
      </c>
      <c r="D50">
        <v>180.87100000000001</v>
      </c>
      <c r="E50">
        <v>22.439</v>
      </c>
      <c r="F50">
        <v>321</v>
      </c>
    </row>
    <row r="51" spans="1:6" x14ac:dyDescent="0.3">
      <c r="A51" t="s">
        <v>18</v>
      </c>
      <c r="B51">
        <v>100</v>
      </c>
      <c r="C51">
        <v>1</v>
      </c>
      <c r="D51">
        <v>239.48699999999999</v>
      </c>
      <c r="E51">
        <v>138.54900000000001</v>
      </c>
      <c r="F51">
        <v>583</v>
      </c>
    </row>
    <row r="52" spans="1:6" x14ac:dyDescent="0.3">
      <c r="A52" t="s">
        <v>18</v>
      </c>
      <c r="B52">
        <v>100</v>
      </c>
      <c r="C52">
        <v>1</v>
      </c>
      <c r="D52">
        <v>239.28700000000001</v>
      </c>
      <c r="E52">
        <v>138.613</v>
      </c>
      <c r="F52">
        <v>566</v>
      </c>
    </row>
    <row r="53" spans="1:6" x14ac:dyDescent="0.3">
      <c r="A53" t="s">
        <v>18</v>
      </c>
      <c r="B53">
        <v>100</v>
      </c>
      <c r="C53">
        <v>1</v>
      </c>
      <c r="D53">
        <v>239.20099999999999</v>
      </c>
      <c r="E53">
        <v>138.583</v>
      </c>
      <c r="F53">
        <v>576</v>
      </c>
    </row>
    <row r="54" spans="1:6" x14ac:dyDescent="0.3">
      <c r="A54" t="s">
        <v>18</v>
      </c>
      <c r="B54">
        <v>100</v>
      </c>
      <c r="C54">
        <v>1</v>
      </c>
      <c r="D54">
        <v>239.494</v>
      </c>
      <c r="E54">
        <v>138.58199999999999</v>
      </c>
      <c r="F54">
        <v>654</v>
      </c>
    </row>
    <row r="55" spans="1:6" x14ac:dyDescent="0.3">
      <c r="A55" t="s">
        <v>18</v>
      </c>
      <c r="B55">
        <v>100</v>
      </c>
      <c r="C55">
        <v>1</v>
      </c>
      <c r="D55">
        <v>239.22800000000001</v>
      </c>
      <c r="E55">
        <v>138.56100000000001</v>
      </c>
      <c r="F55">
        <v>654</v>
      </c>
    </row>
    <row r="56" spans="1:6" x14ac:dyDescent="0.3">
      <c r="A56" t="s">
        <v>18</v>
      </c>
      <c r="B56">
        <v>100</v>
      </c>
      <c r="C56">
        <v>1</v>
      </c>
      <c r="D56">
        <v>239.19900000000001</v>
      </c>
      <c r="E56">
        <v>138.63</v>
      </c>
      <c r="F56">
        <v>590</v>
      </c>
    </row>
    <row r="57" spans="1:6" x14ac:dyDescent="0.3">
      <c r="A57" t="s">
        <v>18</v>
      </c>
      <c r="B57">
        <v>100</v>
      </c>
      <c r="C57">
        <v>1</v>
      </c>
      <c r="D57">
        <v>239.363</v>
      </c>
      <c r="E57">
        <v>138.56299999999999</v>
      </c>
      <c r="F57">
        <v>569</v>
      </c>
    </row>
    <row r="58" spans="1:6" x14ac:dyDescent="0.3">
      <c r="A58" t="s">
        <v>18</v>
      </c>
      <c r="B58">
        <v>100</v>
      </c>
      <c r="C58">
        <v>1</v>
      </c>
      <c r="D58">
        <v>239.31299999999999</v>
      </c>
      <c r="E58">
        <v>138.51499999999999</v>
      </c>
      <c r="F58">
        <v>578</v>
      </c>
    </row>
    <row r="59" spans="1:6" x14ac:dyDescent="0.3">
      <c r="A59" t="s">
        <v>18</v>
      </c>
      <c r="B59">
        <v>100</v>
      </c>
      <c r="C59">
        <v>1</v>
      </c>
      <c r="D59">
        <v>239.63</v>
      </c>
      <c r="E59">
        <v>138.524</v>
      </c>
      <c r="F59">
        <v>570</v>
      </c>
    </row>
    <row r="60" spans="1:6" x14ac:dyDescent="0.3">
      <c r="A60" t="s">
        <v>18</v>
      </c>
      <c r="B60">
        <v>100</v>
      </c>
      <c r="C60">
        <v>1</v>
      </c>
      <c r="D60">
        <v>239.21199999999999</v>
      </c>
      <c r="E60">
        <v>138.50200000000001</v>
      </c>
      <c r="F60">
        <v>618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4.32</v>
      </c>
      <c r="F61">
        <v>169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4.3369999999999997</v>
      </c>
      <c r="F62">
        <v>233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4.3289999999999997</v>
      </c>
      <c r="F63">
        <v>178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4.3369999999999997</v>
      </c>
      <c r="F64">
        <v>244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4.32</v>
      </c>
      <c r="F65">
        <v>213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4.3150000000000004</v>
      </c>
      <c r="F66">
        <v>208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4.319</v>
      </c>
      <c r="F67">
        <v>269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4.3220000000000001</v>
      </c>
      <c r="F68">
        <v>204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4.3280000000000003</v>
      </c>
      <c r="F69">
        <v>225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4.3579999999999997</v>
      </c>
      <c r="F70">
        <v>208</v>
      </c>
    </row>
    <row r="71" spans="1:6" x14ac:dyDescent="0.3">
      <c r="A71" t="s">
        <v>19</v>
      </c>
      <c r="B71">
        <v>47</v>
      </c>
      <c r="C71">
        <v>1</v>
      </c>
      <c r="D71">
        <v>4318.4880000000003</v>
      </c>
      <c r="E71">
        <v>13.228</v>
      </c>
      <c r="F71">
        <v>269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13.231</v>
      </c>
      <c r="F72">
        <v>252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13.209</v>
      </c>
      <c r="F73">
        <v>251</v>
      </c>
    </row>
    <row r="74" spans="1:6" x14ac:dyDescent="0.3">
      <c r="A74" t="s">
        <v>19</v>
      </c>
      <c r="B74">
        <v>47</v>
      </c>
      <c r="C74">
        <v>1</v>
      </c>
      <c r="D74">
        <v>4318.4880000000003</v>
      </c>
      <c r="E74">
        <v>13.21</v>
      </c>
      <c r="F74">
        <v>249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13.23</v>
      </c>
      <c r="F75">
        <v>259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13.196999999999999</v>
      </c>
      <c r="F76">
        <v>274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13.19</v>
      </c>
      <c r="F77">
        <v>256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13.196999999999999</v>
      </c>
      <c r="F78">
        <v>259</v>
      </c>
    </row>
    <row r="79" spans="1:6" x14ac:dyDescent="0.3">
      <c r="A79" t="s">
        <v>19</v>
      </c>
      <c r="B79">
        <v>47</v>
      </c>
      <c r="C79">
        <v>1</v>
      </c>
      <c r="D79">
        <v>4318.4880000000003</v>
      </c>
      <c r="E79">
        <v>13.241</v>
      </c>
      <c r="F79">
        <v>257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13.208</v>
      </c>
      <c r="F80">
        <v>259</v>
      </c>
    </row>
    <row r="81" spans="1:6" x14ac:dyDescent="0.3">
      <c r="A81" t="s">
        <v>19</v>
      </c>
      <c r="B81">
        <v>100</v>
      </c>
      <c r="C81">
        <v>1</v>
      </c>
      <c r="D81">
        <v>35272.953000000001</v>
      </c>
      <c r="E81">
        <v>54.926000000000002</v>
      </c>
      <c r="F81">
        <v>335</v>
      </c>
    </row>
    <row r="82" spans="1:6" x14ac:dyDescent="0.3">
      <c r="A82" t="s">
        <v>19</v>
      </c>
      <c r="B82">
        <v>100</v>
      </c>
      <c r="C82">
        <v>1</v>
      </c>
      <c r="D82">
        <v>35229.89</v>
      </c>
      <c r="E82">
        <v>54.866</v>
      </c>
      <c r="F82">
        <v>325</v>
      </c>
    </row>
    <row r="83" spans="1:6" x14ac:dyDescent="0.3">
      <c r="A83" t="s">
        <v>19</v>
      </c>
      <c r="B83">
        <v>100</v>
      </c>
      <c r="C83">
        <v>1</v>
      </c>
      <c r="D83">
        <v>35228.038</v>
      </c>
      <c r="E83">
        <v>54.932000000000002</v>
      </c>
      <c r="F83">
        <v>316</v>
      </c>
    </row>
    <row r="84" spans="1:6" x14ac:dyDescent="0.3">
      <c r="A84" t="s">
        <v>19</v>
      </c>
      <c r="B84">
        <v>100</v>
      </c>
      <c r="C84">
        <v>1</v>
      </c>
      <c r="D84">
        <v>35272.953000000001</v>
      </c>
      <c r="E84">
        <v>54.872999999999998</v>
      </c>
      <c r="F84">
        <v>338</v>
      </c>
    </row>
    <row r="85" spans="1:6" x14ac:dyDescent="0.3">
      <c r="A85" t="s">
        <v>19</v>
      </c>
      <c r="B85">
        <v>100</v>
      </c>
      <c r="C85">
        <v>1</v>
      </c>
      <c r="D85">
        <v>35272.953000000001</v>
      </c>
      <c r="E85">
        <v>54.857999999999997</v>
      </c>
      <c r="F85">
        <v>325</v>
      </c>
    </row>
    <row r="86" spans="1:6" x14ac:dyDescent="0.3">
      <c r="A86" t="s">
        <v>19</v>
      </c>
      <c r="B86">
        <v>100</v>
      </c>
      <c r="C86">
        <v>1</v>
      </c>
      <c r="D86">
        <v>35245.864999999998</v>
      </c>
      <c r="E86">
        <v>54.898000000000003</v>
      </c>
      <c r="F86">
        <v>279</v>
      </c>
    </row>
    <row r="87" spans="1:6" x14ac:dyDescent="0.3">
      <c r="A87" t="s">
        <v>19</v>
      </c>
      <c r="B87">
        <v>100</v>
      </c>
      <c r="C87">
        <v>1</v>
      </c>
      <c r="D87">
        <v>35225.625999999997</v>
      </c>
      <c r="E87">
        <v>54.881999999999998</v>
      </c>
      <c r="F87">
        <v>279</v>
      </c>
    </row>
    <row r="88" spans="1:6" x14ac:dyDescent="0.3">
      <c r="A88" t="s">
        <v>19</v>
      </c>
      <c r="B88">
        <v>100</v>
      </c>
      <c r="C88">
        <v>1</v>
      </c>
      <c r="D88">
        <v>35267.139000000003</v>
      </c>
      <c r="E88">
        <v>54.802999999999997</v>
      </c>
      <c r="F88">
        <v>278</v>
      </c>
    </row>
    <row r="89" spans="1:6" x14ac:dyDescent="0.3">
      <c r="A89" t="s">
        <v>19</v>
      </c>
      <c r="B89">
        <v>100</v>
      </c>
      <c r="C89">
        <v>1</v>
      </c>
      <c r="D89">
        <v>35264.461000000003</v>
      </c>
      <c r="E89">
        <v>54.866999999999997</v>
      </c>
      <c r="F89">
        <v>276</v>
      </c>
    </row>
    <row r="90" spans="1:6" x14ac:dyDescent="0.3">
      <c r="A90" t="s">
        <v>19</v>
      </c>
      <c r="B90">
        <v>100</v>
      </c>
      <c r="C90">
        <v>1</v>
      </c>
      <c r="D90">
        <v>35272.953000000001</v>
      </c>
      <c r="E90">
        <v>54.795000000000002</v>
      </c>
      <c r="F90">
        <v>281</v>
      </c>
    </row>
    <row r="91" spans="1:6" x14ac:dyDescent="0.3">
      <c r="A91" t="s">
        <v>20</v>
      </c>
      <c r="B91">
        <v>30</v>
      </c>
      <c r="C91">
        <v>1</v>
      </c>
      <c r="D91">
        <v>657.52200000000005</v>
      </c>
      <c r="E91">
        <v>6.4779999999999998</v>
      </c>
      <c r="F91">
        <v>209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6.4669999999999996</v>
      </c>
      <c r="F92">
        <v>267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6.468</v>
      </c>
      <c r="F93">
        <v>238</v>
      </c>
    </row>
    <row r="94" spans="1:6" x14ac:dyDescent="0.3">
      <c r="A94" t="s">
        <v>20</v>
      </c>
      <c r="B94">
        <v>30</v>
      </c>
      <c r="C94">
        <v>1</v>
      </c>
      <c r="D94">
        <v>657.35599999999999</v>
      </c>
      <c r="E94">
        <v>6.4950000000000001</v>
      </c>
      <c r="F94">
        <v>237</v>
      </c>
    </row>
    <row r="95" spans="1:6" x14ac:dyDescent="0.3">
      <c r="A95" t="s">
        <v>20</v>
      </c>
      <c r="B95">
        <v>30</v>
      </c>
      <c r="C95">
        <v>1</v>
      </c>
      <c r="D95">
        <v>659.84500000000003</v>
      </c>
      <c r="E95">
        <v>6.5</v>
      </c>
      <c r="F95">
        <v>272</v>
      </c>
    </row>
    <row r="96" spans="1:6" x14ac:dyDescent="0.3">
      <c r="A96" t="s">
        <v>20</v>
      </c>
      <c r="B96">
        <v>30</v>
      </c>
      <c r="C96">
        <v>1</v>
      </c>
      <c r="D96">
        <v>658.23299999999995</v>
      </c>
      <c r="E96">
        <v>6.4770000000000003</v>
      </c>
      <c r="F96">
        <v>248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6.4829999999999997</v>
      </c>
      <c r="F97">
        <v>281</v>
      </c>
    </row>
    <row r="98" spans="1:6" x14ac:dyDescent="0.3">
      <c r="A98" t="s">
        <v>20</v>
      </c>
      <c r="B98">
        <v>30</v>
      </c>
      <c r="C98">
        <v>1</v>
      </c>
      <c r="D98">
        <v>658.23299999999995</v>
      </c>
      <c r="E98">
        <v>6.4880000000000004</v>
      </c>
      <c r="F98">
        <v>268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6.4749999999999996</v>
      </c>
      <c r="F99">
        <v>239</v>
      </c>
    </row>
    <row r="100" spans="1:6" x14ac:dyDescent="0.3">
      <c r="A100" t="s">
        <v>20</v>
      </c>
      <c r="B100">
        <v>30</v>
      </c>
      <c r="C100">
        <v>1</v>
      </c>
      <c r="D100">
        <v>658.19299999999998</v>
      </c>
      <c r="E100">
        <v>6.4870000000000001</v>
      </c>
      <c r="F100">
        <v>267</v>
      </c>
    </row>
    <row r="101" spans="1:6" x14ac:dyDescent="0.3">
      <c r="A101" t="s">
        <v>20</v>
      </c>
      <c r="B101">
        <v>50</v>
      </c>
      <c r="C101">
        <v>1</v>
      </c>
      <c r="D101">
        <v>994.94899999999996</v>
      </c>
      <c r="E101">
        <v>14.73</v>
      </c>
      <c r="F101">
        <v>249</v>
      </c>
    </row>
    <row r="102" spans="1:6" x14ac:dyDescent="0.3">
      <c r="A102" t="s">
        <v>20</v>
      </c>
      <c r="B102">
        <v>50</v>
      </c>
      <c r="C102">
        <v>1</v>
      </c>
      <c r="D102">
        <v>995.57600000000002</v>
      </c>
      <c r="E102">
        <v>14.706</v>
      </c>
      <c r="F102">
        <v>246</v>
      </c>
    </row>
    <row r="103" spans="1:6" x14ac:dyDescent="0.3">
      <c r="A103" t="s">
        <v>20</v>
      </c>
      <c r="B103">
        <v>50</v>
      </c>
      <c r="C103">
        <v>1</v>
      </c>
      <c r="D103">
        <v>994.00800000000004</v>
      </c>
      <c r="E103">
        <v>14.717000000000001</v>
      </c>
      <c r="F103">
        <v>247</v>
      </c>
    </row>
    <row r="104" spans="1:6" x14ac:dyDescent="0.3">
      <c r="A104" t="s">
        <v>20</v>
      </c>
      <c r="B104">
        <v>50</v>
      </c>
      <c r="C104">
        <v>1</v>
      </c>
      <c r="D104">
        <v>996.58100000000002</v>
      </c>
      <c r="E104">
        <v>14.698</v>
      </c>
      <c r="F104">
        <v>249</v>
      </c>
    </row>
    <row r="105" spans="1:6" x14ac:dyDescent="0.3">
      <c r="A105" t="s">
        <v>20</v>
      </c>
      <c r="B105">
        <v>50</v>
      </c>
      <c r="C105">
        <v>1</v>
      </c>
      <c r="D105">
        <v>993.96100000000001</v>
      </c>
      <c r="E105">
        <v>14.688000000000001</v>
      </c>
      <c r="F105">
        <v>261</v>
      </c>
    </row>
    <row r="106" spans="1:6" x14ac:dyDescent="0.3">
      <c r="A106" t="s">
        <v>20</v>
      </c>
      <c r="B106">
        <v>50</v>
      </c>
      <c r="C106">
        <v>1</v>
      </c>
      <c r="D106">
        <v>991.798</v>
      </c>
      <c r="E106">
        <v>14.721</v>
      </c>
      <c r="F106">
        <v>254</v>
      </c>
    </row>
    <row r="107" spans="1:6" x14ac:dyDescent="0.3">
      <c r="A107" t="s">
        <v>20</v>
      </c>
      <c r="B107">
        <v>50</v>
      </c>
      <c r="C107">
        <v>1</v>
      </c>
      <c r="D107">
        <v>993.83799999999997</v>
      </c>
      <c r="E107">
        <v>14.701000000000001</v>
      </c>
      <c r="F107">
        <v>252</v>
      </c>
    </row>
    <row r="108" spans="1:6" x14ac:dyDescent="0.3">
      <c r="A108" t="s">
        <v>20</v>
      </c>
      <c r="B108">
        <v>50</v>
      </c>
      <c r="C108">
        <v>1</v>
      </c>
      <c r="D108">
        <v>993.87099999999998</v>
      </c>
      <c r="E108">
        <v>14.721</v>
      </c>
      <c r="F108">
        <v>264</v>
      </c>
    </row>
    <row r="109" spans="1:6" x14ac:dyDescent="0.3">
      <c r="A109" t="s">
        <v>20</v>
      </c>
      <c r="B109">
        <v>50</v>
      </c>
      <c r="C109">
        <v>1</v>
      </c>
      <c r="D109">
        <v>996.37300000000005</v>
      </c>
      <c r="E109">
        <v>14.709</v>
      </c>
      <c r="F109">
        <v>257</v>
      </c>
    </row>
    <row r="110" spans="1:6" x14ac:dyDescent="0.3">
      <c r="A110" t="s">
        <v>20</v>
      </c>
      <c r="B110">
        <v>50</v>
      </c>
      <c r="C110">
        <v>1</v>
      </c>
      <c r="D110">
        <v>995.95399999999995</v>
      </c>
      <c r="E110">
        <v>14.723000000000001</v>
      </c>
      <c r="F110">
        <v>264</v>
      </c>
    </row>
    <row r="111" spans="1:6" x14ac:dyDescent="0.3">
      <c r="A111" t="s">
        <v>20</v>
      </c>
      <c r="B111">
        <v>100</v>
      </c>
      <c r="C111">
        <v>1</v>
      </c>
      <c r="D111">
        <v>1758.607</v>
      </c>
      <c r="E111">
        <v>32.473999999999997</v>
      </c>
      <c r="F111">
        <v>222</v>
      </c>
    </row>
    <row r="112" spans="1:6" x14ac:dyDescent="0.3">
      <c r="A112" t="s">
        <v>20</v>
      </c>
      <c r="B112">
        <v>100</v>
      </c>
      <c r="C112">
        <v>1</v>
      </c>
      <c r="D112">
        <v>1756.89</v>
      </c>
      <c r="E112">
        <v>32.520000000000003</v>
      </c>
      <c r="F112">
        <v>227</v>
      </c>
    </row>
    <row r="113" spans="1:6" x14ac:dyDescent="0.3">
      <c r="A113" t="s">
        <v>20</v>
      </c>
      <c r="B113">
        <v>100</v>
      </c>
      <c r="C113">
        <v>1</v>
      </c>
      <c r="D113">
        <v>1753.9829999999999</v>
      </c>
      <c r="E113">
        <v>32.567999999999998</v>
      </c>
      <c r="F113">
        <v>226</v>
      </c>
    </row>
    <row r="114" spans="1:6" x14ac:dyDescent="0.3">
      <c r="A114" t="s">
        <v>20</v>
      </c>
      <c r="B114">
        <v>100</v>
      </c>
      <c r="C114">
        <v>1</v>
      </c>
      <c r="D114">
        <v>1755.876</v>
      </c>
      <c r="E114">
        <v>32.570999999999998</v>
      </c>
      <c r="F114">
        <v>224</v>
      </c>
    </row>
    <row r="115" spans="1:6" x14ac:dyDescent="0.3">
      <c r="A115" t="s">
        <v>20</v>
      </c>
      <c r="B115">
        <v>100</v>
      </c>
      <c r="C115">
        <v>1</v>
      </c>
      <c r="D115">
        <v>1757.71</v>
      </c>
      <c r="E115">
        <v>32.579000000000001</v>
      </c>
      <c r="F115">
        <v>196</v>
      </c>
    </row>
    <row r="116" spans="1:6" x14ac:dyDescent="0.3">
      <c r="A116" t="s">
        <v>20</v>
      </c>
      <c r="B116">
        <v>100</v>
      </c>
      <c r="C116">
        <v>1</v>
      </c>
      <c r="D116">
        <v>1755.6849999999999</v>
      </c>
      <c r="E116">
        <v>32.546999999999997</v>
      </c>
      <c r="F116">
        <v>185</v>
      </c>
    </row>
    <row r="117" spans="1:6" x14ac:dyDescent="0.3">
      <c r="A117" t="s">
        <v>20</v>
      </c>
      <c r="B117">
        <v>100</v>
      </c>
      <c r="C117">
        <v>1</v>
      </c>
      <c r="D117">
        <v>1758.96</v>
      </c>
      <c r="E117">
        <v>32.533000000000001</v>
      </c>
      <c r="F117">
        <v>183</v>
      </c>
    </row>
    <row r="118" spans="1:6" x14ac:dyDescent="0.3">
      <c r="A118" t="s">
        <v>20</v>
      </c>
      <c r="B118">
        <v>100</v>
      </c>
      <c r="C118">
        <v>1</v>
      </c>
      <c r="D118">
        <v>1758.8920000000001</v>
      </c>
      <c r="E118">
        <v>32.579000000000001</v>
      </c>
      <c r="F118">
        <v>184</v>
      </c>
    </row>
    <row r="119" spans="1:6" x14ac:dyDescent="0.3">
      <c r="A119" t="s">
        <v>20</v>
      </c>
      <c r="B119">
        <v>100</v>
      </c>
      <c r="C119">
        <v>1</v>
      </c>
      <c r="D119">
        <v>1756.297</v>
      </c>
      <c r="E119">
        <v>32.494999999999997</v>
      </c>
      <c r="F119">
        <v>184</v>
      </c>
    </row>
    <row r="120" spans="1:6" x14ac:dyDescent="0.3">
      <c r="A120" t="s">
        <v>20</v>
      </c>
      <c r="B120">
        <v>100</v>
      </c>
      <c r="C120">
        <v>1</v>
      </c>
      <c r="D120">
        <v>1753.87</v>
      </c>
      <c r="E120">
        <v>32.533000000000001</v>
      </c>
      <c r="F120">
        <v>190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1.3640000000000001</v>
      </c>
      <c r="F121">
        <v>383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1.389</v>
      </c>
      <c r="F122">
        <v>68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1.367</v>
      </c>
      <c r="F123">
        <v>142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1.3740000000000001</v>
      </c>
      <c r="F124">
        <v>161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1.365</v>
      </c>
      <c r="F125">
        <v>181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1.365</v>
      </c>
      <c r="F126">
        <v>347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1.367</v>
      </c>
      <c r="F127">
        <v>283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1.3680000000000001</v>
      </c>
      <c r="F128">
        <v>289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</v>
      </c>
      <c r="F129">
        <v>220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1.3680000000000001</v>
      </c>
      <c r="F130">
        <v>117</v>
      </c>
    </row>
    <row r="131" spans="1:6" x14ac:dyDescent="0.3">
      <c r="A131" t="s">
        <v>33</v>
      </c>
      <c r="B131">
        <v>209</v>
      </c>
      <c r="C131">
        <v>1</v>
      </c>
      <c r="D131">
        <v>76.475999999999999</v>
      </c>
      <c r="E131">
        <v>181.24</v>
      </c>
      <c r="F131">
        <v>235</v>
      </c>
    </row>
    <row r="132" spans="1:6" x14ac:dyDescent="0.3">
      <c r="A132" t="s">
        <v>33</v>
      </c>
      <c r="B132">
        <v>209</v>
      </c>
      <c r="C132">
        <v>1</v>
      </c>
      <c r="D132">
        <v>76.882000000000005</v>
      </c>
      <c r="E132">
        <v>181.12899999999999</v>
      </c>
      <c r="F132">
        <v>233</v>
      </c>
    </row>
    <row r="133" spans="1:6" x14ac:dyDescent="0.3">
      <c r="A133" t="s">
        <v>33</v>
      </c>
      <c r="B133">
        <v>209</v>
      </c>
      <c r="C133">
        <v>1</v>
      </c>
      <c r="D133">
        <v>76.319000000000003</v>
      </c>
      <c r="E133">
        <v>181.32599999999999</v>
      </c>
      <c r="F133">
        <v>231</v>
      </c>
    </row>
    <row r="134" spans="1:6" x14ac:dyDescent="0.3">
      <c r="A134" t="s">
        <v>33</v>
      </c>
      <c r="B134">
        <v>209</v>
      </c>
      <c r="C134">
        <v>1</v>
      </c>
      <c r="D134">
        <v>76.212000000000003</v>
      </c>
      <c r="E134">
        <v>181.26300000000001</v>
      </c>
      <c r="F134">
        <v>231</v>
      </c>
    </row>
    <row r="135" spans="1:6" x14ac:dyDescent="0.3">
      <c r="A135" t="s">
        <v>33</v>
      </c>
      <c r="B135">
        <v>209</v>
      </c>
      <c r="C135">
        <v>1</v>
      </c>
      <c r="D135">
        <v>76.533000000000001</v>
      </c>
      <c r="E135">
        <v>180.71199999999999</v>
      </c>
      <c r="F135">
        <v>233</v>
      </c>
    </row>
    <row r="136" spans="1:6" x14ac:dyDescent="0.3">
      <c r="A136" t="s">
        <v>33</v>
      </c>
      <c r="B136">
        <v>209</v>
      </c>
      <c r="C136">
        <v>1</v>
      </c>
      <c r="D136">
        <v>76.358000000000004</v>
      </c>
      <c r="E136">
        <v>180.83199999999999</v>
      </c>
      <c r="F136">
        <v>232</v>
      </c>
    </row>
    <row r="137" spans="1:6" x14ac:dyDescent="0.3">
      <c r="A137" t="s">
        <v>33</v>
      </c>
      <c r="B137">
        <v>209</v>
      </c>
      <c r="C137">
        <v>1</v>
      </c>
      <c r="D137">
        <v>76.356999999999999</v>
      </c>
      <c r="E137">
        <v>181.04400000000001</v>
      </c>
      <c r="F137">
        <v>237</v>
      </c>
    </row>
    <row r="138" spans="1:6" x14ac:dyDescent="0.3">
      <c r="A138" t="s">
        <v>33</v>
      </c>
      <c r="B138">
        <v>209</v>
      </c>
      <c r="C138">
        <v>1</v>
      </c>
      <c r="D138">
        <v>76.694000000000003</v>
      </c>
      <c r="E138">
        <v>180.73500000000001</v>
      </c>
      <c r="F138">
        <v>232</v>
      </c>
    </row>
    <row r="139" spans="1:6" x14ac:dyDescent="0.3">
      <c r="A139" t="s">
        <v>33</v>
      </c>
      <c r="B139">
        <v>209</v>
      </c>
      <c r="C139">
        <v>1</v>
      </c>
      <c r="D139">
        <v>76.412000000000006</v>
      </c>
      <c r="E139">
        <v>180.81200000000001</v>
      </c>
      <c r="F139">
        <v>234</v>
      </c>
    </row>
    <row r="140" spans="1:6" x14ac:dyDescent="0.3">
      <c r="A140" t="s">
        <v>33</v>
      </c>
      <c r="B140">
        <v>209</v>
      </c>
      <c r="C140">
        <v>1</v>
      </c>
      <c r="D140">
        <v>76.099999999999994</v>
      </c>
      <c r="E140">
        <v>180.74100000000001</v>
      </c>
      <c r="F140">
        <v>235</v>
      </c>
    </row>
    <row r="141" spans="1:6" x14ac:dyDescent="0.3">
      <c r="A141" t="s">
        <v>33</v>
      </c>
      <c r="B141">
        <v>324</v>
      </c>
      <c r="C141">
        <v>1</v>
      </c>
      <c r="D141">
        <v>118.69199999999999</v>
      </c>
      <c r="E141">
        <v>419.74099999999999</v>
      </c>
      <c r="F141">
        <v>206</v>
      </c>
    </row>
    <row r="142" spans="1:6" x14ac:dyDescent="0.3">
      <c r="A142" t="s">
        <v>33</v>
      </c>
      <c r="B142">
        <v>324</v>
      </c>
      <c r="C142">
        <v>1</v>
      </c>
      <c r="D142">
        <v>119.32</v>
      </c>
      <c r="E142">
        <v>419.911</v>
      </c>
      <c r="F142">
        <v>194</v>
      </c>
    </row>
    <row r="143" spans="1:6" x14ac:dyDescent="0.3">
      <c r="A143" t="s">
        <v>33</v>
      </c>
      <c r="B143">
        <v>324</v>
      </c>
      <c r="C143">
        <v>1</v>
      </c>
      <c r="D143">
        <v>118.988</v>
      </c>
      <c r="E143">
        <v>419.76499999999999</v>
      </c>
      <c r="F143">
        <v>199</v>
      </c>
    </row>
    <row r="144" spans="1:6" x14ac:dyDescent="0.3">
      <c r="A144" t="s">
        <v>33</v>
      </c>
      <c r="B144">
        <v>324</v>
      </c>
      <c r="C144">
        <v>1</v>
      </c>
      <c r="D144">
        <v>119.062</v>
      </c>
      <c r="E144">
        <v>420.22300000000001</v>
      </c>
      <c r="F144">
        <v>201</v>
      </c>
    </row>
    <row r="145" spans="1:6" x14ac:dyDescent="0.3">
      <c r="A145" t="s">
        <v>33</v>
      </c>
      <c r="B145">
        <v>324</v>
      </c>
      <c r="C145">
        <v>1</v>
      </c>
      <c r="D145">
        <v>118.816</v>
      </c>
      <c r="E145">
        <v>420.71300000000002</v>
      </c>
      <c r="F145">
        <v>199</v>
      </c>
    </row>
    <row r="146" spans="1:6" x14ac:dyDescent="0.3">
      <c r="A146" t="s">
        <v>33</v>
      </c>
      <c r="B146">
        <v>324</v>
      </c>
      <c r="C146">
        <v>1</v>
      </c>
      <c r="D146">
        <v>118.83</v>
      </c>
      <c r="E146">
        <v>419.84300000000002</v>
      </c>
      <c r="F146">
        <v>200</v>
      </c>
    </row>
    <row r="147" spans="1:6" x14ac:dyDescent="0.3">
      <c r="A147" t="s">
        <v>33</v>
      </c>
      <c r="B147">
        <v>324</v>
      </c>
      <c r="C147">
        <v>1</v>
      </c>
      <c r="D147">
        <v>118.669</v>
      </c>
      <c r="E147">
        <v>419.66300000000001</v>
      </c>
      <c r="F147">
        <v>201</v>
      </c>
    </row>
    <row r="148" spans="1:6" x14ac:dyDescent="0.3">
      <c r="A148" t="s">
        <v>33</v>
      </c>
      <c r="B148">
        <v>324</v>
      </c>
      <c r="C148">
        <v>1</v>
      </c>
      <c r="D148">
        <v>118.562</v>
      </c>
      <c r="E148">
        <v>419.78199999999998</v>
      </c>
      <c r="F148">
        <v>203</v>
      </c>
    </row>
    <row r="149" spans="1:6" x14ac:dyDescent="0.3">
      <c r="A149" t="s">
        <v>33</v>
      </c>
      <c r="B149">
        <v>324</v>
      </c>
      <c r="C149">
        <v>1</v>
      </c>
      <c r="D149">
        <v>118.01</v>
      </c>
      <c r="E149">
        <v>419.79700000000003</v>
      </c>
      <c r="F149">
        <v>200</v>
      </c>
    </row>
    <row r="150" spans="1:6" x14ac:dyDescent="0.3">
      <c r="A150" t="s">
        <v>33</v>
      </c>
      <c r="B150">
        <v>324</v>
      </c>
      <c r="C150">
        <v>1</v>
      </c>
      <c r="D150">
        <v>118.999</v>
      </c>
      <c r="E150">
        <v>420.584</v>
      </c>
      <c r="F150">
        <v>199</v>
      </c>
    </row>
    <row r="151" spans="1:6" x14ac:dyDescent="0.3">
      <c r="A151" t="s">
        <v>34</v>
      </c>
      <c r="B151">
        <v>40</v>
      </c>
      <c r="C151">
        <v>1</v>
      </c>
      <c r="D151">
        <v>16.75</v>
      </c>
      <c r="E151">
        <v>11.616</v>
      </c>
      <c r="F151">
        <v>263</v>
      </c>
    </row>
    <row r="152" spans="1:6" x14ac:dyDescent="0.3">
      <c r="A152" t="s">
        <v>34</v>
      </c>
      <c r="B152">
        <v>40</v>
      </c>
      <c r="C152">
        <v>1</v>
      </c>
      <c r="D152">
        <v>16.766999999999999</v>
      </c>
      <c r="E152">
        <v>11.616</v>
      </c>
      <c r="F152">
        <v>263</v>
      </c>
    </row>
    <row r="153" spans="1:6" x14ac:dyDescent="0.3">
      <c r="A153" t="s">
        <v>34</v>
      </c>
      <c r="B153">
        <v>40</v>
      </c>
      <c r="C153">
        <v>1</v>
      </c>
      <c r="D153">
        <v>16.771000000000001</v>
      </c>
      <c r="E153">
        <v>11.617000000000001</v>
      </c>
      <c r="F153">
        <v>278</v>
      </c>
    </row>
    <row r="154" spans="1:6" x14ac:dyDescent="0.3">
      <c r="A154" t="s">
        <v>34</v>
      </c>
      <c r="B154">
        <v>40</v>
      </c>
      <c r="C154">
        <v>1</v>
      </c>
      <c r="D154">
        <v>16.713000000000001</v>
      </c>
      <c r="E154">
        <v>11.608000000000001</v>
      </c>
      <c r="F154">
        <v>249</v>
      </c>
    </row>
    <row r="155" spans="1:6" x14ac:dyDescent="0.3">
      <c r="A155" t="s">
        <v>34</v>
      </c>
      <c r="B155">
        <v>40</v>
      </c>
      <c r="C155">
        <v>1</v>
      </c>
      <c r="D155">
        <v>16.673999999999999</v>
      </c>
      <c r="E155">
        <v>11.648</v>
      </c>
      <c r="F155">
        <v>273</v>
      </c>
    </row>
    <row r="156" spans="1:6" x14ac:dyDescent="0.3">
      <c r="A156" t="s">
        <v>34</v>
      </c>
      <c r="B156">
        <v>40</v>
      </c>
      <c r="C156">
        <v>1</v>
      </c>
      <c r="D156">
        <v>16.78</v>
      </c>
      <c r="E156">
        <v>11.619</v>
      </c>
      <c r="F156">
        <v>257</v>
      </c>
    </row>
    <row r="157" spans="1:6" x14ac:dyDescent="0.3">
      <c r="A157" t="s">
        <v>34</v>
      </c>
      <c r="B157">
        <v>40</v>
      </c>
      <c r="C157">
        <v>1</v>
      </c>
      <c r="D157">
        <v>16.515000000000001</v>
      </c>
      <c r="E157">
        <v>11.621</v>
      </c>
      <c r="F157">
        <v>263</v>
      </c>
    </row>
    <row r="158" spans="1:6" x14ac:dyDescent="0.3">
      <c r="A158" t="s">
        <v>34</v>
      </c>
      <c r="B158">
        <v>40</v>
      </c>
      <c r="C158">
        <v>1</v>
      </c>
      <c r="D158">
        <v>16.733000000000001</v>
      </c>
      <c r="E158">
        <v>11.647</v>
      </c>
      <c r="F158">
        <v>284</v>
      </c>
    </row>
    <row r="159" spans="1:6" x14ac:dyDescent="0.3">
      <c r="A159" t="s">
        <v>34</v>
      </c>
      <c r="B159">
        <v>40</v>
      </c>
      <c r="C159">
        <v>1</v>
      </c>
      <c r="D159">
        <v>16.803999999999998</v>
      </c>
      <c r="E159">
        <v>11.625999999999999</v>
      </c>
      <c r="F159">
        <v>269</v>
      </c>
    </row>
    <row r="160" spans="1:6" x14ac:dyDescent="0.3">
      <c r="A160" t="s">
        <v>34</v>
      </c>
      <c r="B160">
        <v>40</v>
      </c>
      <c r="C160">
        <v>1</v>
      </c>
      <c r="D160">
        <v>16.641999999999999</v>
      </c>
      <c r="E160">
        <v>11.615</v>
      </c>
      <c r="F160">
        <v>260</v>
      </c>
    </row>
    <row r="161" spans="1:6" x14ac:dyDescent="0.3">
      <c r="A161" t="s">
        <v>34</v>
      </c>
      <c r="B161">
        <v>96</v>
      </c>
      <c r="C161">
        <v>1</v>
      </c>
      <c r="D161">
        <v>35.146999999999998</v>
      </c>
      <c r="E161">
        <v>51.35</v>
      </c>
      <c r="F161">
        <v>310</v>
      </c>
    </row>
    <row r="162" spans="1:6" x14ac:dyDescent="0.3">
      <c r="A162" t="s">
        <v>34</v>
      </c>
      <c r="B162">
        <v>96</v>
      </c>
      <c r="C162">
        <v>1</v>
      </c>
      <c r="D162">
        <v>35.121000000000002</v>
      </c>
      <c r="E162">
        <v>51.305</v>
      </c>
      <c r="F162">
        <v>313</v>
      </c>
    </row>
    <row r="163" spans="1:6" x14ac:dyDescent="0.3">
      <c r="A163" t="s">
        <v>34</v>
      </c>
      <c r="B163">
        <v>96</v>
      </c>
      <c r="C163">
        <v>1</v>
      </c>
      <c r="D163">
        <v>35.155000000000001</v>
      </c>
      <c r="E163">
        <v>51.325000000000003</v>
      </c>
      <c r="F163">
        <v>322</v>
      </c>
    </row>
    <row r="164" spans="1:6" x14ac:dyDescent="0.3">
      <c r="A164" t="s">
        <v>34</v>
      </c>
      <c r="B164">
        <v>96</v>
      </c>
      <c r="C164">
        <v>1</v>
      </c>
      <c r="D164">
        <v>35.201000000000001</v>
      </c>
      <c r="E164">
        <v>51.406999999999996</v>
      </c>
      <c r="F164">
        <v>310</v>
      </c>
    </row>
    <row r="165" spans="1:6" x14ac:dyDescent="0.3">
      <c r="A165" t="s">
        <v>34</v>
      </c>
      <c r="B165">
        <v>96</v>
      </c>
      <c r="C165">
        <v>1</v>
      </c>
      <c r="D165">
        <v>35.215000000000003</v>
      </c>
      <c r="E165">
        <v>51.341000000000001</v>
      </c>
      <c r="F165">
        <v>313</v>
      </c>
    </row>
    <row r="166" spans="1:6" x14ac:dyDescent="0.3">
      <c r="A166" t="s">
        <v>34</v>
      </c>
      <c r="B166">
        <v>96</v>
      </c>
      <c r="C166">
        <v>1</v>
      </c>
      <c r="D166">
        <v>35.197000000000003</v>
      </c>
      <c r="E166">
        <v>51.42</v>
      </c>
      <c r="F166">
        <v>321</v>
      </c>
    </row>
    <row r="167" spans="1:6" x14ac:dyDescent="0.3">
      <c r="A167" t="s">
        <v>34</v>
      </c>
      <c r="B167">
        <v>96</v>
      </c>
      <c r="C167">
        <v>1</v>
      </c>
      <c r="D167">
        <v>35.098999999999997</v>
      </c>
      <c r="E167">
        <v>51.305</v>
      </c>
      <c r="F167">
        <v>315</v>
      </c>
    </row>
    <row r="168" spans="1:6" x14ac:dyDescent="0.3">
      <c r="A168" t="s">
        <v>34</v>
      </c>
      <c r="B168">
        <v>96</v>
      </c>
      <c r="C168">
        <v>1</v>
      </c>
      <c r="D168">
        <v>35.155000000000001</v>
      </c>
      <c r="E168">
        <v>51.359000000000002</v>
      </c>
      <c r="F168">
        <v>309</v>
      </c>
    </row>
    <row r="169" spans="1:6" x14ac:dyDescent="0.3">
      <c r="A169" t="s">
        <v>34</v>
      </c>
      <c r="B169">
        <v>96</v>
      </c>
      <c r="C169">
        <v>1</v>
      </c>
      <c r="D169">
        <v>35.226999999999997</v>
      </c>
      <c r="E169">
        <v>51.308</v>
      </c>
      <c r="F169">
        <v>315</v>
      </c>
    </row>
    <row r="170" spans="1:6" x14ac:dyDescent="0.3">
      <c r="A170" t="s">
        <v>34</v>
      </c>
      <c r="B170">
        <v>96</v>
      </c>
      <c r="C170">
        <v>1</v>
      </c>
      <c r="D170">
        <v>35.207000000000001</v>
      </c>
      <c r="E170">
        <v>51.408000000000001</v>
      </c>
      <c r="F170">
        <v>307</v>
      </c>
    </row>
    <row r="171" spans="1:6" x14ac:dyDescent="0.3">
      <c r="A171" t="s">
        <v>34</v>
      </c>
      <c r="B171">
        <v>224</v>
      </c>
      <c r="C171">
        <v>1</v>
      </c>
      <c r="D171">
        <v>72.019000000000005</v>
      </c>
      <c r="E171">
        <v>255.64699999999999</v>
      </c>
      <c r="F171">
        <v>280</v>
      </c>
    </row>
    <row r="172" spans="1:6" x14ac:dyDescent="0.3">
      <c r="A172" t="s">
        <v>34</v>
      </c>
      <c r="B172">
        <v>224</v>
      </c>
      <c r="C172">
        <v>1</v>
      </c>
      <c r="D172">
        <v>71.912000000000006</v>
      </c>
      <c r="E172">
        <v>255.83</v>
      </c>
      <c r="F172">
        <v>284</v>
      </c>
    </row>
    <row r="173" spans="1:6" x14ac:dyDescent="0.3">
      <c r="A173" t="s">
        <v>34</v>
      </c>
      <c r="B173">
        <v>224</v>
      </c>
      <c r="C173">
        <v>1</v>
      </c>
      <c r="D173">
        <v>71.91</v>
      </c>
      <c r="E173">
        <v>256.11</v>
      </c>
      <c r="F173">
        <v>292</v>
      </c>
    </row>
    <row r="174" spans="1:6" x14ac:dyDescent="0.3">
      <c r="A174" t="s">
        <v>34</v>
      </c>
      <c r="B174">
        <v>224</v>
      </c>
      <c r="C174">
        <v>1</v>
      </c>
      <c r="D174">
        <v>71.915000000000006</v>
      </c>
      <c r="E174">
        <v>255.58</v>
      </c>
      <c r="F174">
        <v>280</v>
      </c>
    </row>
    <row r="175" spans="1:6" x14ac:dyDescent="0.3">
      <c r="A175" t="s">
        <v>34</v>
      </c>
      <c r="B175">
        <v>224</v>
      </c>
      <c r="C175">
        <v>1</v>
      </c>
      <c r="D175">
        <v>71.936999999999998</v>
      </c>
      <c r="E175">
        <v>255.739</v>
      </c>
      <c r="F175">
        <v>287</v>
      </c>
    </row>
    <row r="176" spans="1:6" x14ac:dyDescent="0.3">
      <c r="A176" t="s">
        <v>34</v>
      </c>
      <c r="B176">
        <v>224</v>
      </c>
      <c r="C176">
        <v>1</v>
      </c>
      <c r="D176">
        <v>71.933000000000007</v>
      </c>
      <c r="E176">
        <v>255.839</v>
      </c>
      <c r="F176">
        <v>273</v>
      </c>
    </row>
    <row r="177" spans="1:6" x14ac:dyDescent="0.3">
      <c r="A177" t="s">
        <v>34</v>
      </c>
      <c r="B177">
        <v>224</v>
      </c>
      <c r="C177">
        <v>1</v>
      </c>
      <c r="D177">
        <v>72.010000000000005</v>
      </c>
      <c r="E177">
        <v>255.43</v>
      </c>
      <c r="F177">
        <v>282</v>
      </c>
    </row>
    <row r="178" spans="1:6" x14ac:dyDescent="0.3">
      <c r="A178" t="s">
        <v>34</v>
      </c>
      <c r="B178">
        <v>224</v>
      </c>
      <c r="C178">
        <v>1</v>
      </c>
      <c r="D178">
        <v>71.923000000000002</v>
      </c>
      <c r="E178">
        <v>255.935</v>
      </c>
      <c r="F178">
        <v>276</v>
      </c>
    </row>
    <row r="179" spans="1:6" x14ac:dyDescent="0.3">
      <c r="A179" t="s">
        <v>34</v>
      </c>
      <c r="B179">
        <v>224</v>
      </c>
      <c r="C179">
        <v>1</v>
      </c>
      <c r="D179">
        <v>71.924000000000007</v>
      </c>
      <c r="E179">
        <v>255.61500000000001</v>
      </c>
      <c r="F179">
        <v>284</v>
      </c>
    </row>
    <row r="180" spans="1:6" x14ac:dyDescent="0.3">
      <c r="A180" t="s">
        <v>34</v>
      </c>
      <c r="B180">
        <v>224</v>
      </c>
      <c r="C180">
        <v>1</v>
      </c>
      <c r="D180">
        <v>71.921999999999997</v>
      </c>
      <c r="E180">
        <v>255.809</v>
      </c>
      <c r="F180">
        <v>277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" customWidth="1"/>
    <col min="2" max="2" width="4.33203125"/>
    <col min="3" max="3" width="2.58203125"/>
    <col min="4" max="4" width="9.5"/>
    <col min="5" max="5" width="7.25"/>
    <col min="6" max="6" width="6.1640625" customWidth="1"/>
    <col min="7" max="7" width="2.25"/>
    <col min="8" max="8" width="10.5"/>
    <col min="9" max="9" width="4.33203125"/>
    <col min="10" max="10" width="4.5"/>
    <col min="11" max="11" width="2.5"/>
    <col min="12" max="21" width="9.5"/>
    <col min="22" max="22" width="3.5"/>
    <col min="23" max="23" width="9.5"/>
    <col min="24" max="24" width="2.58203125"/>
    <col min="25" max="25" width="9.5"/>
    <col min="26" max="26" width="2.08203125"/>
    <col min="27" max="27" width="2.58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5.2910000000000004</v>
      </c>
      <c r="F1">
        <v>215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5.2910000000000004</v>
      </c>
      <c r="F2">
        <v>226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28.587</v>
      </c>
      <c r="R2" s="35">
        <f t="shared" ref="R2:R13" ca="1" si="6">INDIRECT("D"&amp;1+(ROW(J1)-1)*10+COLUMN(G1)-1)</f>
        <v>28.504000000000001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28.545899999999996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1.4734774066796953E-3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2.9118720179623354E-3</v>
      </c>
      <c r="AH2" s="35">
        <f t="shared" ref="AH2:AH19" ca="1" si="17">(R2-$Y2)/$Y2</f>
        <v>0</v>
      </c>
      <c r="AI2" s="35">
        <f t="shared" ref="AI2:AI19" ca="1" si="18">(S2-$Y2)/$Y2</f>
        <v>1.4734774066796953E-3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1.46996912713999E-2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5.28</v>
      </c>
      <c r="F3">
        <v>296</v>
      </c>
      <c r="H3" s="35" t="s">
        <v>17</v>
      </c>
      <c r="I3" s="35">
        <v>50</v>
      </c>
      <c r="J3" s="35">
        <v>1</v>
      </c>
      <c r="L3" s="35">
        <f t="shared" ca="1" si="0"/>
        <v>52.927999999999997</v>
      </c>
      <c r="M3" s="35">
        <f t="shared" ca="1" si="1"/>
        <v>53.067</v>
      </c>
      <c r="N3" s="35">
        <f t="shared" ca="1" si="2"/>
        <v>52.957000000000001</v>
      </c>
      <c r="O3" s="35">
        <f t="shared" ca="1" si="3"/>
        <v>53.097999999999999</v>
      </c>
      <c r="P3" s="35">
        <f t="shared" ca="1" si="4"/>
        <v>53.137</v>
      </c>
      <c r="Q3" s="35">
        <f t="shared" ca="1" si="5"/>
        <v>52.957000000000001</v>
      </c>
      <c r="R3" s="35">
        <f t="shared" ca="1" si="6"/>
        <v>53.036999999999999</v>
      </c>
      <c r="S3" s="35">
        <f t="shared" ca="1" si="7"/>
        <v>52.927999999999997</v>
      </c>
      <c r="T3" s="35">
        <f t="shared" ca="1" si="8"/>
        <v>53.137</v>
      </c>
      <c r="U3" s="35">
        <f t="shared" ca="1" si="9"/>
        <v>53.076999999999998</v>
      </c>
      <c r="W3" s="35">
        <f t="shared" ca="1" si="10"/>
        <v>53.032299999999999</v>
      </c>
      <c r="Y3" s="35">
        <f ca="1">Total!E3</f>
        <v>52.927</v>
      </c>
      <c r="AB3" s="35">
        <f t="shared" ca="1" si="11"/>
        <v>1.8893948268325608E-5</v>
      </c>
      <c r="AC3" s="35">
        <f t="shared" ca="1" si="12"/>
        <v>2.6451527575717605E-3</v>
      </c>
      <c r="AD3" s="35">
        <f t="shared" ca="1" si="13"/>
        <v>5.6681844805111072E-4</v>
      </c>
      <c r="AE3" s="35">
        <f t="shared" ca="1" si="14"/>
        <v>3.230865153891197E-3</v>
      </c>
      <c r="AF3" s="35">
        <f t="shared" ca="1" si="15"/>
        <v>3.967729136357641E-3</v>
      </c>
      <c r="AG3" s="35">
        <f t="shared" ca="1" si="16"/>
        <v>5.6681844805111072E-4</v>
      </c>
      <c r="AH3" s="35">
        <f t="shared" ca="1" si="17"/>
        <v>2.0783343095206498E-3</v>
      </c>
      <c r="AI3" s="35">
        <f t="shared" ca="1" si="18"/>
        <v>1.8893948268325608E-5</v>
      </c>
      <c r="AJ3" s="35">
        <f t="shared" ca="1" si="19"/>
        <v>3.967729136357641E-3</v>
      </c>
      <c r="AK3" s="35">
        <f t="shared" ca="1" si="20"/>
        <v>2.8340922402554192E-3</v>
      </c>
      <c r="AM3" s="35">
        <f t="shared" ca="1" si="21"/>
        <v>1.9895327526593183E-2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5.2789999999999999</v>
      </c>
      <c r="F4">
        <v>246</v>
      </c>
      <c r="H4" s="35" t="s">
        <v>17</v>
      </c>
      <c r="I4" s="35">
        <v>100</v>
      </c>
      <c r="J4" s="35">
        <v>1</v>
      </c>
      <c r="L4" s="35">
        <f t="shared" ca="1" si="0"/>
        <v>103.15300000000001</v>
      </c>
      <c r="M4" s="35">
        <f t="shared" ca="1" si="1"/>
        <v>103.245</v>
      </c>
      <c r="N4" s="35">
        <f t="shared" ca="1" si="2"/>
        <v>103.24299999999999</v>
      </c>
      <c r="O4" s="35">
        <f t="shared" ca="1" si="3"/>
        <v>103.265</v>
      </c>
      <c r="P4" s="35">
        <f t="shared" ca="1" si="4"/>
        <v>103.20699999999999</v>
      </c>
      <c r="Q4" s="35">
        <f t="shared" ca="1" si="5"/>
        <v>103.288</v>
      </c>
      <c r="R4" s="35">
        <f t="shared" ca="1" si="6"/>
        <v>103.28</v>
      </c>
      <c r="S4" s="35">
        <f t="shared" ca="1" si="7"/>
        <v>103.157</v>
      </c>
      <c r="T4" s="35">
        <f t="shared" ca="1" si="8"/>
        <v>103.32299999999999</v>
      </c>
      <c r="U4" s="35">
        <f t="shared" ca="1" si="9"/>
        <v>103.217</v>
      </c>
      <c r="W4" s="35">
        <f t="shared" ca="1" si="10"/>
        <v>103.23780000000002</v>
      </c>
      <c r="Y4" s="35">
        <f ca="1">Total!E4</f>
        <v>102.80200000000001</v>
      </c>
      <c r="AB4" s="35">
        <f t="shared" ca="1" si="11"/>
        <v>3.4143304604968682E-3</v>
      </c>
      <c r="AC4" s="35">
        <f t="shared" ca="1" si="12"/>
        <v>4.3092546837609951E-3</v>
      </c>
      <c r="AD4" s="35">
        <f t="shared" ca="1" si="13"/>
        <v>4.2897998093421163E-3</v>
      </c>
      <c r="AE4" s="35">
        <f t="shared" ca="1" si="14"/>
        <v>4.5038034279488125E-3</v>
      </c>
      <c r="AF4" s="35">
        <f t="shared" ca="1" si="15"/>
        <v>3.9396120698039624E-3</v>
      </c>
      <c r="AG4" s="35">
        <f t="shared" ca="1" si="16"/>
        <v>4.7275344837648097E-3</v>
      </c>
      <c r="AH4" s="35">
        <f t="shared" ca="1" si="17"/>
        <v>4.64971498608971E-3</v>
      </c>
      <c r="AI4" s="35">
        <f t="shared" ca="1" si="18"/>
        <v>3.4532402093343491E-3</v>
      </c>
      <c r="AJ4" s="35">
        <f t="shared" ca="1" si="19"/>
        <v>5.0679947860935246E-3</v>
      </c>
      <c r="AK4" s="35">
        <f t="shared" ca="1" si="20"/>
        <v>4.0368864418979401E-3</v>
      </c>
      <c r="AM4" s="35">
        <f t="shared" ca="1" si="21"/>
        <v>4.2392171358533084E-2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5.298</v>
      </c>
      <c r="F5">
        <v>202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28.587</v>
      </c>
      <c r="E6">
        <v>5.2859999999999996</v>
      </c>
      <c r="F6">
        <v>201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179.953</v>
      </c>
      <c r="N6" s="35">
        <f t="shared" ca="1" si="2"/>
        <v>179.93799999999999</v>
      </c>
      <c r="O6" s="35">
        <f t="shared" ca="1" si="3"/>
        <v>181.59700000000001</v>
      </c>
      <c r="P6" s="35">
        <f t="shared" ca="1" si="4"/>
        <v>180.87100000000001</v>
      </c>
      <c r="Q6" s="35">
        <f t="shared" ca="1" si="5"/>
        <v>181.40799999999999</v>
      </c>
      <c r="R6" s="35">
        <f t="shared" ca="1" si="6"/>
        <v>180.87100000000001</v>
      </c>
      <c r="S6" s="35">
        <f t="shared" ca="1" si="7"/>
        <v>179.93799999999999</v>
      </c>
      <c r="T6" s="35">
        <f t="shared" ca="1" si="8"/>
        <v>180.053</v>
      </c>
      <c r="U6" s="35">
        <f t="shared" ca="1" si="9"/>
        <v>179.93799999999999</v>
      </c>
      <c r="W6" s="35">
        <f t="shared" ca="1" si="10"/>
        <v>180.45050000000001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1.5583866245902341E-3</v>
      </c>
      <c r="AD6" s="35">
        <f t="shared" ca="1" si="13"/>
        <v>1.4749016268442469E-3</v>
      </c>
      <c r="AE6" s="35">
        <f t="shared" ca="1" si="14"/>
        <v>1.0708342377541459E-2</v>
      </c>
      <c r="AF6" s="35">
        <f t="shared" ca="1" si="15"/>
        <v>6.667668486639659E-3</v>
      </c>
      <c r="AG6" s="35">
        <f t="shared" ca="1" si="16"/>
        <v>9.6564314059429356E-3</v>
      </c>
      <c r="AH6" s="35">
        <f t="shared" ca="1" si="17"/>
        <v>6.667668486639659E-3</v>
      </c>
      <c r="AI6" s="35">
        <f t="shared" ca="1" si="18"/>
        <v>1.4749016268442469E-3</v>
      </c>
      <c r="AJ6" s="35">
        <f t="shared" ca="1" si="19"/>
        <v>2.1149532762295697E-3</v>
      </c>
      <c r="AK6" s="35">
        <f t="shared" ca="1" si="20"/>
        <v>1.4749016268442469E-3</v>
      </c>
      <c r="AM6" s="35">
        <f t="shared" ca="1" si="21"/>
        <v>4.32730571649605E-2</v>
      </c>
    </row>
    <row r="7" spans="1:39" x14ac:dyDescent="0.3">
      <c r="A7" t="s">
        <v>17</v>
      </c>
      <c r="B7">
        <v>25</v>
      </c>
      <c r="C7">
        <v>1</v>
      </c>
      <c r="D7">
        <v>28.504000000000001</v>
      </c>
      <c r="E7">
        <v>5.2779999999999996</v>
      </c>
      <c r="F7">
        <v>248</v>
      </c>
      <c r="H7" s="35" t="s">
        <v>18</v>
      </c>
      <c r="I7" s="35">
        <v>100</v>
      </c>
      <c r="J7" s="35">
        <v>1</v>
      </c>
      <c r="L7" s="35">
        <f t="shared" ca="1" si="0"/>
        <v>239.56399999999999</v>
      </c>
      <c r="M7" s="35">
        <f t="shared" ca="1" si="1"/>
        <v>239.46299999999999</v>
      </c>
      <c r="N7" s="35">
        <f t="shared" ca="1" si="2"/>
        <v>239.34200000000001</v>
      </c>
      <c r="O7" s="35">
        <f t="shared" ca="1" si="3"/>
        <v>239.18700000000001</v>
      </c>
      <c r="P7" s="35">
        <f t="shared" ca="1" si="4"/>
        <v>239.41300000000001</v>
      </c>
      <c r="Q7" s="35">
        <f t="shared" ca="1" si="5"/>
        <v>239.21299999999999</v>
      </c>
      <c r="R7" s="35">
        <f t="shared" ca="1" si="6"/>
        <v>239.386</v>
      </c>
      <c r="S7" s="35">
        <f t="shared" ca="1" si="7"/>
        <v>239.23</v>
      </c>
      <c r="T7" s="35">
        <f t="shared" ca="1" si="8"/>
        <v>239.227</v>
      </c>
      <c r="U7" s="35">
        <f t="shared" ca="1" si="9"/>
        <v>239.173</v>
      </c>
      <c r="W7" s="35">
        <f t="shared" ca="1" si="10"/>
        <v>239.31980000000004</v>
      </c>
      <c r="Y7" s="35">
        <f ca="1">Total!E7</f>
        <v>238.86699999999999</v>
      </c>
      <c r="AB7" s="35">
        <f t="shared" ca="1" si="11"/>
        <v>2.917941783502965E-3</v>
      </c>
      <c r="AC7" s="35">
        <f t="shared" ca="1" si="12"/>
        <v>2.4951123428518952E-3</v>
      </c>
      <c r="AD7" s="35">
        <f t="shared" ca="1" si="13"/>
        <v>1.9885543000917783E-3</v>
      </c>
      <c r="AE7" s="35">
        <f t="shared" ca="1" si="14"/>
        <v>1.3396576337460662E-3</v>
      </c>
      <c r="AF7" s="35">
        <f t="shared" ca="1" si="15"/>
        <v>2.2857908375791577E-3</v>
      </c>
      <c r="AG7" s="35">
        <f t="shared" ca="1" si="16"/>
        <v>1.4485048164878517E-3</v>
      </c>
      <c r="AH7" s="35">
        <f t="shared" ca="1" si="17"/>
        <v>2.1727572247317774E-3</v>
      </c>
      <c r="AI7" s="35">
        <f t="shared" ca="1" si="18"/>
        <v>1.5196741282805894E-3</v>
      </c>
      <c r="AJ7" s="35">
        <f t="shared" ca="1" si="19"/>
        <v>1.5071148379642799E-3</v>
      </c>
      <c r="AK7" s="35">
        <f t="shared" ca="1" si="20"/>
        <v>1.281047612269638E-3</v>
      </c>
      <c r="AM7" s="35">
        <f t="shared" ca="1" si="21"/>
        <v>1.8956155517505999E-2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5.2910000000000004</v>
      </c>
      <c r="F8">
        <v>202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5.319</v>
      </c>
      <c r="F9">
        <v>217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5.3109999999999999</v>
      </c>
      <c r="F10">
        <v>245</v>
      </c>
      <c r="H10" s="35" t="s">
        <v>19</v>
      </c>
      <c r="I10" s="35">
        <v>100</v>
      </c>
      <c r="J10" s="35">
        <v>1</v>
      </c>
      <c r="L10" s="35">
        <f t="shared" ca="1" si="0"/>
        <v>35281.580999999998</v>
      </c>
      <c r="M10" s="35">
        <f t="shared" ca="1" si="1"/>
        <v>35273.252</v>
      </c>
      <c r="N10" s="35">
        <f t="shared" ca="1" si="2"/>
        <v>35283.040999999997</v>
      </c>
      <c r="O10" s="35">
        <f t="shared" ca="1" si="3"/>
        <v>35252.680999999997</v>
      </c>
      <c r="P10" s="35">
        <f t="shared" ca="1" si="4"/>
        <v>35235.597999999998</v>
      </c>
      <c r="Q10" s="35">
        <f t="shared" ca="1" si="5"/>
        <v>35258.817999999999</v>
      </c>
      <c r="R10" s="35">
        <f t="shared" ca="1" si="6"/>
        <v>35268.275000000001</v>
      </c>
      <c r="S10" s="35">
        <f t="shared" ca="1" si="7"/>
        <v>35273.58</v>
      </c>
      <c r="T10" s="35">
        <f t="shared" ca="1" si="8"/>
        <v>35275.832999999999</v>
      </c>
      <c r="U10" s="35">
        <f t="shared" ca="1" si="9"/>
        <v>35226.438000000002</v>
      </c>
      <c r="W10" s="35">
        <f t="shared" ca="1" si="10"/>
        <v>35262.909700000004</v>
      </c>
      <c r="Y10" s="35">
        <f ca="1">Total!E10</f>
        <v>35210.383000000002</v>
      </c>
      <c r="AB10" s="35">
        <f t="shared" ca="1" si="11"/>
        <v>2.0220740001605968E-3</v>
      </c>
      <c r="AC10" s="35">
        <f t="shared" ca="1" si="12"/>
        <v>1.7855244573738028E-3</v>
      </c>
      <c r="AD10" s="35">
        <f t="shared" ca="1" si="13"/>
        <v>2.063539041878522E-3</v>
      </c>
      <c r="AE10" s="35">
        <f t="shared" ca="1" si="14"/>
        <v>1.2012933798531877E-3</v>
      </c>
      <c r="AF10" s="35">
        <f t="shared" ca="1" si="15"/>
        <v>7.1612399103970293E-4</v>
      </c>
      <c r="AG10" s="35">
        <f t="shared" ca="1" si="16"/>
        <v>1.3755885586361747E-3</v>
      </c>
      <c r="AH10" s="35">
        <f t="shared" ca="1" si="17"/>
        <v>1.6441741062572317E-3</v>
      </c>
      <c r="AI10" s="35">
        <f t="shared" ca="1" si="18"/>
        <v>1.794839891403627E-3</v>
      </c>
      <c r="AJ10" s="35">
        <f t="shared" ca="1" si="19"/>
        <v>1.8588266989313092E-3</v>
      </c>
      <c r="AK10" s="35">
        <f t="shared" ca="1" si="20"/>
        <v>4.5597345532993183E-4</v>
      </c>
      <c r="AM10" s="35">
        <f t="shared" ca="1" si="21"/>
        <v>1.4917957580864089E-2</v>
      </c>
    </row>
    <row r="11" spans="1:39" x14ac:dyDescent="0.3">
      <c r="A11" t="s">
        <v>17</v>
      </c>
      <c r="B11">
        <v>50</v>
      </c>
      <c r="C11">
        <v>1</v>
      </c>
      <c r="D11">
        <v>52.927999999999997</v>
      </c>
      <c r="E11">
        <v>19.579999999999998</v>
      </c>
      <c r="F11">
        <v>326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657.35599999999999</v>
      </c>
      <c r="N11" s="35">
        <f t="shared" ca="1" si="2"/>
        <v>657.35599999999999</v>
      </c>
      <c r="O11" s="35">
        <f t="shared" ca="1" si="3"/>
        <v>657.32399999999996</v>
      </c>
      <c r="P11" s="35">
        <f t="shared" ca="1" si="4"/>
        <v>657.32399999999996</v>
      </c>
      <c r="Q11" s="35">
        <f t="shared" ca="1" si="5"/>
        <v>657.33</v>
      </c>
      <c r="R11" s="35">
        <f t="shared" ca="1" si="6"/>
        <v>657.35599999999999</v>
      </c>
      <c r="S11" s="35">
        <f t="shared" ca="1" si="7"/>
        <v>658.23299999999995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657.43470000000002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2.8849747888902728E-3</v>
      </c>
      <c r="AD11" s="35">
        <f t="shared" ca="1" si="13"/>
        <v>2.8849747888902728E-3</v>
      </c>
      <c r="AE11" s="35">
        <f t="shared" ca="1" si="14"/>
        <v>2.8361544857466434E-3</v>
      </c>
      <c r="AF11" s="35">
        <f t="shared" ca="1" si="15"/>
        <v>2.8361544857466434E-3</v>
      </c>
      <c r="AG11" s="35">
        <f t="shared" ca="1" si="16"/>
        <v>2.8453082925861931E-3</v>
      </c>
      <c r="AH11" s="35">
        <f t="shared" ca="1" si="17"/>
        <v>2.8849747888902728E-3</v>
      </c>
      <c r="AI11" s="35">
        <f t="shared" ca="1" si="18"/>
        <v>4.2229562219186613E-3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3.0050422219339776E-2</v>
      </c>
    </row>
    <row r="12" spans="1:39" x14ac:dyDescent="0.3">
      <c r="A12" t="s">
        <v>17</v>
      </c>
      <c r="B12">
        <v>50</v>
      </c>
      <c r="C12">
        <v>1</v>
      </c>
      <c r="D12">
        <v>53.067</v>
      </c>
      <c r="E12">
        <v>19.582000000000001</v>
      </c>
      <c r="F12">
        <v>323</v>
      </c>
      <c r="H12" s="35" t="s">
        <v>20</v>
      </c>
      <c r="I12" s="35">
        <v>50</v>
      </c>
      <c r="J12" s="35">
        <v>1</v>
      </c>
      <c r="L12" s="35">
        <f t="shared" ca="1" si="0"/>
        <v>991.68899999999996</v>
      </c>
      <c r="M12" s="35">
        <f t="shared" ca="1" si="1"/>
        <v>991.79300000000001</v>
      </c>
      <c r="N12" s="35">
        <f t="shared" ca="1" si="2"/>
        <v>991.85500000000002</v>
      </c>
      <c r="O12" s="35">
        <f t="shared" ca="1" si="3"/>
        <v>991.875</v>
      </c>
      <c r="P12" s="35">
        <f t="shared" ca="1" si="4"/>
        <v>993.45299999999997</v>
      </c>
      <c r="Q12" s="35">
        <f t="shared" ca="1" si="5"/>
        <v>994.17600000000004</v>
      </c>
      <c r="R12" s="35">
        <f t="shared" ca="1" si="6"/>
        <v>995.70899999999995</v>
      </c>
      <c r="S12" s="35">
        <f t="shared" ca="1" si="7"/>
        <v>996.14</v>
      </c>
      <c r="T12" s="35">
        <f t="shared" ca="1" si="8"/>
        <v>993.24199999999996</v>
      </c>
      <c r="U12" s="35">
        <f t="shared" ca="1" si="9"/>
        <v>991.09299999999996</v>
      </c>
      <c r="W12" s="35">
        <f t="shared" ca="1" si="10"/>
        <v>993.10250000000019</v>
      </c>
      <c r="Y12" s="35">
        <f ca="1">Total!E12</f>
        <v>990.096</v>
      </c>
      <c r="AB12" s="35">
        <f t="shared" ca="1" si="11"/>
        <v>1.6089348911620296E-3</v>
      </c>
      <c r="AC12" s="35">
        <f t="shared" ca="1" si="12"/>
        <v>1.7139752104846427E-3</v>
      </c>
      <c r="AD12" s="35">
        <f t="shared" ca="1" si="13"/>
        <v>1.7765954008500332E-3</v>
      </c>
      <c r="AE12" s="35">
        <f t="shared" ca="1" si="14"/>
        <v>1.7967954622582017E-3</v>
      </c>
      <c r="AF12" s="35">
        <f t="shared" ca="1" si="15"/>
        <v>3.3905803073641049E-3</v>
      </c>
      <c r="AG12" s="35">
        <f t="shared" ca="1" si="16"/>
        <v>4.120812527270124E-3</v>
      </c>
      <c r="AH12" s="35">
        <f t="shared" ca="1" si="17"/>
        <v>5.6691472342075338E-3</v>
      </c>
      <c r="AI12" s="35">
        <f t="shared" ca="1" si="18"/>
        <v>6.1044585575539979E-3</v>
      </c>
      <c r="AJ12" s="35">
        <f t="shared" ca="1" si="19"/>
        <v>3.1774696595077228E-3</v>
      </c>
      <c r="AK12" s="35">
        <f t="shared" ca="1" si="20"/>
        <v>1.0069730611980629E-3</v>
      </c>
      <c r="AM12" s="35">
        <f t="shared" ca="1" si="21"/>
        <v>3.0365742311856452E-2</v>
      </c>
    </row>
    <row r="13" spans="1:39" x14ac:dyDescent="0.3">
      <c r="A13" t="s">
        <v>17</v>
      </c>
      <c r="B13">
        <v>50</v>
      </c>
      <c r="C13">
        <v>1</v>
      </c>
      <c r="D13">
        <v>52.957000000000001</v>
      </c>
      <c r="E13">
        <v>19.556999999999999</v>
      </c>
      <c r="F13">
        <v>319</v>
      </c>
      <c r="H13" s="35" t="s">
        <v>20</v>
      </c>
      <c r="I13" s="35">
        <v>100</v>
      </c>
      <c r="J13" s="35">
        <v>1</v>
      </c>
      <c r="L13" s="35">
        <f t="shared" ca="1" si="0"/>
        <v>1757.9970000000001</v>
      </c>
      <c r="M13" s="35">
        <f t="shared" ca="1" si="1"/>
        <v>1757.98</v>
      </c>
      <c r="N13" s="35">
        <f t="shared" ca="1" si="2"/>
        <v>1756.6079999999999</v>
      </c>
      <c r="O13" s="35">
        <f t="shared" ca="1" si="3"/>
        <v>1756.14</v>
      </c>
      <c r="P13" s="35">
        <f t="shared" ca="1" si="4"/>
        <v>1761.5930000000001</v>
      </c>
      <c r="Q13" s="35">
        <f t="shared" ca="1" si="5"/>
        <v>1761.037</v>
      </c>
      <c r="R13" s="35">
        <f t="shared" ca="1" si="6"/>
        <v>1758.3889999999999</v>
      </c>
      <c r="S13" s="35">
        <f t="shared" ca="1" si="7"/>
        <v>1757.81</v>
      </c>
      <c r="T13" s="35">
        <f t="shared" ca="1" si="8"/>
        <v>1756.4829999999999</v>
      </c>
      <c r="U13" s="35">
        <f t="shared" ca="1" si="9"/>
        <v>1760.1030000000001</v>
      </c>
      <c r="W13" s="35">
        <f t="shared" ca="1" si="10"/>
        <v>1758.414</v>
      </c>
      <c r="Y13" s="35">
        <f ca="1">Total!E13</f>
        <v>1753.79</v>
      </c>
      <c r="AB13" s="35">
        <f t="shared" ca="1" si="11"/>
        <v>2.3988048740157643E-3</v>
      </c>
      <c r="AC13" s="35">
        <f t="shared" ca="1" si="12"/>
        <v>2.3891115812041661E-3</v>
      </c>
      <c r="AD13" s="35">
        <f t="shared" ca="1" si="13"/>
        <v>1.6068058319411011E-3</v>
      </c>
      <c r="AE13" s="35">
        <f t="shared" ca="1" si="14"/>
        <v>1.3399551827756667E-3</v>
      </c>
      <c r="AF13" s="35">
        <f t="shared" ca="1" si="15"/>
        <v>4.4492214005098169E-3</v>
      </c>
      <c r="AG13" s="35">
        <f t="shared" ca="1" si="16"/>
        <v>4.1321937062020371E-3</v>
      </c>
      <c r="AH13" s="35">
        <f t="shared" ca="1" si="17"/>
        <v>2.622320802376529E-3</v>
      </c>
      <c r="AI13" s="35">
        <f t="shared" ca="1" si="18"/>
        <v>2.2921786530884438E-3</v>
      </c>
      <c r="AJ13" s="35">
        <f t="shared" ca="1" si="19"/>
        <v>1.5355316200913356E-3</v>
      </c>
      <c r="AK13" s="35">
        <f t="shared" ca="1" si="20"/>
        <v>3.599632795260608E-3</v>
      </c>
      <c r="AM13" s="35">
        <f t="shared" ca="1" si="21"/>
        <v>2.6365756447465472E-2</v>
      </c>
    </row>
    <row r="14" spans="1:39" x14ac:dyDescent="0.3">
      <c r="A14" t="s">
        <v>17</v>
      </c>
      <c r="B14">
        <v>50</v>
      </c>
      <c r="C14">
        <v>1</v>
      </c>
      <c r="D14">
        <v>53.097999999999999</v>
      </c>
      <c r="E14">
        <v>19.55</v>
      </c>
      <c r="F14">
        <v>321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53.137</v>
      </c>
      <c r="E15">
        <v>19.581</v>
      </c>
      <c r="F15">
        <v>430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76.415000000000006</v>
      </c>
      <c r="M15" s="35">
        <f t="shared" ca="1" si="1"/>
        <v>76.542000000000002</v>
      </c>
      <c r="N15" s="35">
        <f t="shared" ca="1" si="1"/>
        <v>76.257999999999996</v>
      </c>
      <c r="O15" s="35">
        <f t="shared" ca="1" si="1"/>
        <v>76.578999999999994</v>
      </c>
      <c r="P15" s="35">
        <f t="shared" ca="1" si="1"/>
        <v>76.866</v>
      </c>
      <c r="Q15" s="35">
        <f t="shared" ca="1" si="1"/>
        <v>76.942999999999998</v>
      </c>
      <c r="R15" s="35">
        <f t="shared" ca="1" si="1"/>
        <v>76.87</v>
      </c>
      <c r="S15" s="35">
        <f t="shared" ca="1" si="1"/>
        <v>76.617999999999995</v>
      </c>
      <c r="T15" s="35">
        <f t="shared" ca="1" si="1"/>
        <v>76.492000000000004</v>
      </c>
      <c r="U15" s="35">
        <f t="shared" ca="1" si="1"/>
        <v>76.593000000000004</v>
      </c>
      <c r="W15" s="35">
        <f t="shared" ca="1" si="10"/>
        <v>76.617599999999982</v>
      </c>
      <c r="Y15" s="35">
        <f ca="1">Total!E15</f>
        <v>75.998000000000005</v>
      </c>
      <c r="AB15" s="35">
        <f t="shared" ca="1" si="11"/>
        <v>5.4869864996447484E-3</v>
      </c>
      <c r="AC15" s="35">
        <f t="shared" ca="1" si="12"/>
        <v>7.1580831074501555E-3</v>
      </c>
      <c r="AD15" s="35">
        <f t="shared" ca="1" si="13"/>
        <v>3.421142661648871E-3</v>
      </c>
      <c r="AE15" s="35">
        <f t="shared" ca="1" si="14"/>
        <v>7.644938024684713E-3</v>
      </c>
      <c r="AF15" s="35">
        <f t="shared" ca="1" si="15"/>
        <v>1.1421353193505025E-2</v>
      </c>
      <c r="AG15" s="35">
        <f t="shared" ca="1" si="16"/>
        <v>1.2434537750993357E-2</v>
      </c>
      <c r="AH15" s="35">
        <f t="shared" ca="1" si="17"/>
        <v>1.1473986157530459E-2</v>
      </c>
      <c r="AI15" s="35">
        <f t="shared" ca="1" si="18"/>
        <v>8.1581094239320806E-3</v>
      </c>
      <c r="AJ15" s="35">
        <f t="shared" ca="1" si="19"/>
        <v>6.5001710571330794E-3</v>
      </c>
      <c r="AK15" s="35">
        <f t="shared" ca="1" si="20"/>
        <v>7.8291533987736358E-3</v>
      </c>
      <c r="AM15" s="35">
        <f t="shared" ca="1" si="21"/>
        <v>8.1528461275296116E-2</v>
      </c>
    </row>
    <row r="16" spans="1:39" x14ac:dyDescent="0.3">
      <c r="A16" t="s">
        <v>17</v>
      </c>
      <c r="B16">
        <v>50</v>
      </c>
      <c r="C16">
        <v>1</v>
      </c>
      <c r="D16">
        <v>52.957000000000001</v>
      </c>
      <c r="E16">
        <v>19.545999999999999</v>
      </c>
      <c r="F16">
        <v>440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118.919</v>
      </c>
      <c r="M16" s="35">
        <f t="shared" ca="1" si="1"/>
        <v>118.753</v>
      </c>
      <c r="N16" s="35">
        <f t="shared" ca="1" si="1"/>
        <v>119.276</v>
      </c>
      <c r="O16" s="35">
        <f t="shared" ca="1" si="1"/>
        <v>119.19499999999999</v>
      </c>
      <c r="P16" s="35">
        <f t="shared" ca="1" si="1"/>
        <v>119.277</v>
      </c>
      <c r="Q16" s="35">
        <f t="shared" ca="1" si="1"/>
        <v>119.607</v>
      </c>
      <c r="R16" s="35">
        <f t="shared" ca="1" si="1"/>
        <v>119.14400000000001</v>
      </c>
      <c r="S16" s="35">
        <f t="shared" ca="1" si="1"/>
        <v>119.136</v>
      </c>
      <c r="T16" s="35">
        <f t="shared" ca="1" si="1"/>
        <v>119.68</v>
      </c>
      <c r="U16" s="35">
        <f t="shared" ca="1" si="1"/>
        <v>119.081</v>
      </c>
      <c r="W16" s="35">
        <f t="shared" ca="1" si="10"/>
        <v>119.20679999999997</v>
      </c>
      <c r="Y16" s="35">
        <f ca="1">Total!E16</f>
        <v>118.01</v>
      </c>
      <c r="AB16" s="35">
        <f t="shared" ca="1" si="11"/>
        <v>7.70273705618161E-3</v>
      </c>
      <c r="AC16" s="35">
        <f t="shared" ca="1" si="12"/>
        <v>6.2960766036776116E-3</v>
      </c>
      <c r="AD16" s="35">
        <f t="shared" ca="1" si="13"/>
        <v>1.0727904414880019E-2</v>
      </c>
      <c r="AE16" s="35">
        <f t="shared" ca="1" si="14"/>
        <v>1.004152190492321E-2</v>
      </c>
      <c r="AF16" s="35">
        <f t="shared" ca="1" si="15"/>
        <v>1.0736378273027675E-2</v>
      </c>
      <c r="AG16" s="35">
        <f t="shared" ca="1" si="16"/>
        <v>1.353275146174048E-2</v>
      </c>
      <c r="AH16" s="35">
        <f t="shared" ca="1" si="17"/>
        <v>9.6093551393949695E-3</v>
      </c>
      <c r="AI16" s="35">
        <f t="shared" ca="1" si="18"/>
        <v>9.5415642742139699E-3</v>
      </c>
      <c r="AJ16" s="35">
        <f t="shared" ca="1" si="19"/>
        <v>1.4151343106516411E-2</v>
      </c>
      <c r="AK16" s="35">
        <f t="shared" ca="1" si="20"/>
        <v>9.0755020760952283E-3</v>
      </c>
      <c r="AM16" s="35">
        <f t="shared" ca="1" si="21"/>
        <v>0.10141513431065119</v>
      </c>
    </row>
    <row r="17" spans="1:39" x14ac:dyDescent="0.3">
      <c r="A17" t="s">
        <v>17</v>
      </c>
      <c r="B17">
        <v>50</v>
      </c>
      <c r="C17">
        <v>1</v>
      </c>
      <c r="D17">
        <v>53.036999999999999</v>
      </c>
      <c r="E17">
        <v>19.585000000000001</v>
      </c>
      <c r="F17">
        <v>384</v>
      </c>
      <c r="H17" s="35" t="s">
        <v>34</v>
      </c>
      <c r="I17" s="35">
        <v>40</v>
      </c>
      <c r="J17" s="35">
        <v>1</v>
      </c>
      <c r="L17" s="35">
        <f t="shared" ca="1" si="22"/>
        <v>16.616</v>
      </c>
      <c r="M17" s="35">
        <f t="shared" ca="1" si="1"/>
        <v>16.672000000000001</v>
      </c>
      <c r="N17" s="35">
        <f t="shared" ca="1" si="1"/>
        <v>16.641999999999999</v>
      </c>
      <c r="O17" s="35">
        <f t="shared" ca="1" si="1"/>
        <v>16.792000000000002</v>
      </c>
      <c r="P17" s="35">
        <f t="shared" ca="1" si="1"/>
        <v>16.687000000000001</v>
      </c>
      <c r="Q17" s="35">
        <f t="shared" ca="1" si="1"/>
        <v>16.579999999999998</v>
      </c>
      <c r="R17" s="35">
        <f t="shared" ca="1" si="1"/>
        <v>16.760000000000002</v>
      </c>
      <c r="S17" s="35">
        <f t="shared" ca="1" si="1"/>
        <v>16.739999999999998</v>
      </c>
      <c r="T17" s="35">
        <f t="shared" ca="1" si="1"/>
        <v>16.693999999999999</v>
      </c>
      <c r="U17" s="35">
        <f t="shared" ca="1" si="1"/>
        <v>16.733000000000001</v>
      </c>
      <c r="W17" s="35">
        <f t="shared" ca="1" si="10"/>
        <v>16.691600000000001</v>
      </c>
      <c r="Y17" s="35">
        <f ca="1">Total!E17</f>
        <v>16.481999999999999</v>
      </c>
      <c r="AB17" s="35">
        <f t="shared" ca="1" si="11"/>
        <v>8.1300813008130298E-3</v>
      </c>
      <c r="AC17" s="35">
        <f t="shared" ca="1" si="12"/>
        <v>1.1527727217570762E-2</v>
      </c>
      <c r="AD17" s="35">
        <f t="shared" ca="1" si="13"/>
        <v>9.7075597621647941E-3</v>
      </c>
      <c r="AE17" s="35">
        <f t="shared" ca="1" si="14"/>
        <v>1.8808397039194413E-2</v>
      </c>
      <c r="AF17" s="35">
        <f t="shared" ca="1" si="15"/>
        <v>1.2437810945273745E-2</v>
      </c>
      <c r="AG17" s="35">
        <f t="shared" ca="1" si="16"/>
        <v>5.9458803543258696E-3</v>
      </c>
      <c r="AH17" s="35">
        <f t="shared" ca="1" si="17"/>
        <v>1.6866885086761454E-2</v>
      </c>
      <c r="AI17" s="35">
        <f t="shared" ca="1" si="18"/>
        <v>1.5653440116490665E-2</v>
      </c>
      <c r="AJ17" s="35">
        <f t="shared" ca="1" si="19"/>
        <v>1.2862516684868326E-2</v>
      </c>
      <c r="AK17" s="35">
        <f t="shared" ca="1" si="20"/>
        <v>1.5228734376896083E-2</v>
      </c>
      <c r="AM17" s="35">
        <f t="shared" ca="1" si="21"/>
        <v>0.12716903288435916</v>
      </c>
    </row>
    <row r="18" spans="1:39" x14ac:dyDescent="0.3">
      <c r="A18" t="s">
        <v>17</v>
      </c>
      <c r="B18">
        <v>50</v>
      </c>
      <c r="C18">
        <v>1</v>
      </c>
      <c r="D18">
        <v>52.927999999999997</v>
      </c>
      <c r="E18">
        <v>19.552</v>
      </c>
      <c r="F18">
        <v>318</v>
      </c>
      <c r="H18" s="35" t="s">
        <v>34</v>
      </c>
      <c r="I18" s="35">
        <v>96</v>
      </c>
      <c r="J18" s="35">
        <v>1</v>
      </c>
      <c r="L18" s="35">
        <f t="shared" ca="1" si="22"/>
        <v>35.191000000000003</v>
      </c>
      <c r="M18" s="35">
        <f t="shared" ca="1" si="22"/>
        <v>35.173999999999999</v>
      </c>
      <c r="N18" s="35">
        <f t="shared" ca="1" si="22"/>
        <v>35.201000000000001</v>
      </c>
      <c r="O18" s="35">
        <f t="shared" ca="1" si="22"/>
        <v>35.189</v>
      </c>
      <c r="P18" s="35">
        <f t="shared" ca="1" si="22"/>
        <v>35.246000000000002</v>
      </c>
      <c r="Q18" s="35">
        <f t="shared" ca="1" si="22"/>
        <v>35.146999999999998</v>
      </c>
      <c r="R18" s="35">
        <f t="shared" ca="1" si="22"/>
        <v>35.173999999999999</v>
      </c>
      <c r="S18" s="35">
        <f t="shared" ca="1" si="22"/>
        <v>35.177</v>
      </c>
      <c r="T18" s="35">
        <f t="shared" ca="1" si="22"/>
        <v>35.14</v>
      </c>
      <c r="U18" s="35">
        <f t="shared" ca="1" si="22"/>
        <v>35.213000000000001</v>
      </c>
      <c r="W18" s="35">
        <f t="shared" ca="1" si="10"/>
        <v>35.185200000000002</v>
      </c>
      <c r="Y18" s="35">
        <f ca="1">Total!E18</f>
        <v>35.069000000000003</v>
      </c>
      <c r="AB18" s="35">
        <f t="shared" ca="1" si="11"/>
        <v>3.4788559696598098E-3</v>
      </c>
      <c r="AC18" s="35">
        <f t="shared" ca="1" si="12"/>
        <v>2.9940973509366355E-3</v>
      </c>
      <c r="AD18" s="35">
        <f t="shared" ca="1" si="13"/>
        <v>3.7640080983203936E-3</v>
      </c>
      <c r="AE18" s="35">
        <f t="shared" ca="1" si="14"/>
        <v>3.421825543927612E-3</v>
      </c>
      <c r="AF18" s="35">
        <f t="shared" ca="1" si="15"/>
        <v>5.0471926772933245E-3</v>
      </c>
      <c r="AG18" s="35">
        <f t="shared" ca="1" si="16"/>
        <v>2.2241866035528769E-3</v>
      </c>
      <c r="AH18" s="35">
        <f t="shared" ca="1" si="17"/>
        <v>2.9940973509366355E-3</v>
      </c>
      <c r="AI18" s="35">
        <f t="shared" ca="1" si="18"/>
        <v>3.0796429895348309E-3</v>
      </c>
      <c r="AJ18" s="35">
        <f t="shared" ca="1" si="19"/>
        <v>2.0245801134904885E-3</v>
      </c>
      <c r="AK18" s="35">
        <f t="shared" ca="1" si="20"/>
        <v>4.1061906527131752E-3</v>
      </c>
      <c r="AM18" s="35">
        <f t="shared" ca="1" si="21"/>
        <v>3.3134677350365779E-2</v>
      </c>
    </row>
    <row r="19" spans="1:39" x14ac:dyDescent="0.3">
      <c r="A19" t="s">
        <v>17</v>
      </c>
      <c r="B19">
        <v>50</v>
      </c>
      <c r="C19">
        <v>1</v>
      </c>
      <c r="D19">
        <v>53.137</v>
      </c>
      <c r="E19">
        <v>19.577000000000002</v>
      </c>
      <c r="F19">
        <v>328</v>
      </c>
      <c r="H19" s="35" t="s">
        <v>34</v>
      </c>
      <c r="I19" s="35">
        <v>224</v>
      </c>
      <c r="J19" s="35">
        <v>1</v>
      </c>
      <c r="L19" s="35">
        <f t="shared" ca="1" si="22"/>
        <v>71.947000000000003</v>
      </c>
      <c r="M19" s="35">
        <f t="shared" ca="1" si="22"/>
        <v>72.027000000000001</v>
      </c>
      <c r="N19" s="35">
        <f t="shared" ca="1" si="22"/>
        <v>71.95</v>
      </c>
      <c r="O19" s="35">
        <f t="shared" ca="1" si="22"/>
        <v>71.936000000000007</v>
      </c>
      <c r="P19" s="35">
        <f t="shared" ca="1" si="22"/>
        <v>71.950999999999993</v>
      </c>
      <c r="Q19" s="35">
        <f t="shared" ca="1" si="22"/>
        <v>71.927999999999997</v>
      </c>
      <c r="R19" s="35">
        <f t="shared" ca="1" si="22"/>
        <v>71.929000000000002</v>
      </c>
      <c r="S19" s="35">
        <f t="shared" ca="1" si="22"/>
        <v>72.010999999999996</v>
      </c>
      <c r="T19" s="35">
        <f t="shared" ca="1" si="22"/>
        <v>71.965999999999994</v>
      </c>
      <c r="U19" s="35">
        <f t="shared" ca="1" si="22"/>
        <v>71.923000000000002</v>
      </c>
      <c r="W19" s="35">
        <f t="shared" ca="1" si="10"/>
        <v>71.956800000000001</v>
      </c>
      <c r="Y19" s="35">
        <f ca="1">Total!E19</f>
        <v>71.908000000000001</v>
      </c>
      <c r="AB19" s="35">
        <f t="shared" ca="1" si="11"/>
        <v>5.4235968181567387E-4</v>
      </c>
      <c r="AC19" s="35">
        <f t="shared" ca="1" si="12"/>
        <v>1.6548923624631442E-3</v>
      </c>
      <c r="AD19" s="35">
        <f t="shared" ca="1" si="13"/>
        <v>5.8407965733995649E-4</v>
      </c>
      <c r="AE19" s="35">
        <f t="shared" ca="1" si="14"/>
        <v>3.8938643822670354E-4</v>
      </c>
      <c r="AF19" s="35">
        <f t="shared" ca="1" si="15"/>
        <v>5.9798631584791889E-4</v>
      </c>
      <c r="AG19" s="35">
        <f t="shared" ca="1" si="16"/>
        <v>2.7813317016181819E-4</v>
      </c>
      <c r="AH19" s="35">
        <f t="shared" ca="1" si="17"/>
        <v>2.9203982866997825E-4</v>
      </c>
      <c r="AI19" s="35">
        <f t="shared" ca="1" si="18"/>
        <v>1.432385826333571E-3</v>
      </c>
      <c r="AJ19" s="35">
        <f t="shared" ca="1" si="19"/>
        <v>8.06586193469332E-4</v>
      </c>
      <c r="AK19" s="35">
        <f t="shared" ca="1" si="20"/>
        <v>2.0859987762141303E-4</v>
      </c>
      <c r="AM19" s="35">
        <f t="shared" ca="1" si="21"/>
        <v>6.7864493519495094E-3</v>
      </c>
    </row>
    <row r="20" spans="1:39" x14ac:dyDescent="0.3">
      <c r="A20" t="s">
        <v>17</v>
      </c>
      <c r="B20">
        <v>50</v>
      </c>
      <c r="C20">
        <v>1</v>
      </c>
      <c r="D20">
        <v>53.076999999999998</v>
      </c>
      <c r="E20">
        <v>19.559000000000001</v>
      </c>
      <c r="F20">
        <v>334</v>
      </c>
    </row>
    <row r="21" spans="1:39" x14ac:dyDescent="0.3">
      <c r="A21" t="s">
        <v>17</v>
      </c>
      <c r="B21">
        <v>100</v>
      </c>
      <c r="C21">
        <v>1</v>
      </c>
      <c r="D21">
        <v>103.15300000000001</v>
      </c>
      <c r="E21">
        <v>102.123</v>
      </c>
      <c r="F21">
        <v>514</v>
      </c>
    </row>
    <row r="22" spans="1:39" x14ac:dyDescent="0.3">
      <c r="A22" t="s">
        <v>17</v>
      </c>
      <c r="B22">
        <v>100</v>
      </c>
      <c r="C22">
        <v>1</v>
      </c>
      <c r="D22">
        <v>103.245</v>
      </c>
      <c r="E22">
        <v>102.07599999999999</v>
      </c>
      <c r="F22">
        <v>564</v>
      </c>
    </row>
    <row r="23" spans="1:39" x14ac:dyDescent="0.3">
      <c r="A23" t="s">
        <v>17</v>
      </c>
      <c r="B23">
        <v>100</v>
      </c>
      <c r="C23">
        <v>1</v>
      </c>
      <c r="D23">
        <v>103.24299999999999</v>
      </c>
      <c r="E23">
        <v>102.102</v>
      </c>
      <c r="F23">
        <v>535</v>
      </c>
    </row>
    <row r="24" spans="1:39" x14ac:dyDescent="0.3">
      <c r="A24" t="s">
        <v>17</v>
      </c>
      <c r="B24">
        <v>100</v>
      </c>
      <c r="C24">
        <v>1</v>
      </c>
      <c r="D24">
        <v>103.265</v>
      </c>
      <c r="E24">
        <v>102.09699999999999</v>
      </c>
      <c r="F24">
        <v>547</v>
      </c>
    </row>
    <row r="25" spans="1:39" x14ac:dyDescent="0.3">
      <c r="A25" t="s">
        <v>17</v>
      </c>
      <c r="B25">
        <v>100</v>
      </c>
      <c r="C25">
        <v>1</v>
      </c>
      <c r="D25">
        <v>103.20699999999999</v>
      </c>
      <c r="E25">
        <v>102.122</v>
      </c>
      <c r="F25">
        <v>560</v>
      </c>
    </row>
    <row r="26" spans="1:39" x14ac:dyDescent="0.3">
      <c r="A26" t="s">
        <v>17</v>
      </c>
      <c r="B26">
        <v>100</v>
      </c>
      <c r="C26">
        <v>1</v>
      </c>
      <c r="D26">
        <v>103.288</v>
      </c>
      <c r="E26">
        <v>102.057</v>
      </c>
      <c r="F26">
        <v>516</v>
      </c>
    </row>
    <row r="27" spans="1:39" x14ac:dyDescent="0.3">
      <c r="A27" t="s">
        <v>17</v>
      </c>
      <c r="B27">
        <v>100</v>
      </c>
      <c r="C27">
        <v>1</v>
      </c>
      <c r="D27">
        <v>103.28</v>
      </c>
      <c r="E27">
        <v>102.01300000000001</v>
      </c>
      <c r="F27">
        <v>551</v>
      </c>
    </row>
    <row r="28" spans="1:39" x14ac:dyDescent="0.3">
      <c r="A28" t="s">
        <v>17</v>
      </c>
      <c r="B28">
        <v>100</v>
      </c>
      <c r="C28">
        <v>1</v>
      </c>
      <c r="D28">
        <v>103.157</v>
      </c>
      <c r="E28">
        <v>102.077</v>
      </c>
      <c r="F28">
        <v>533</v>
      </c>
    </row>
    <row r="29" spans="1:39" x14ac:dyDescent="0.3">
      <c r="A29" t="s">
        <v>17</v>
      </c>
      <c r="B29">
        <v>100</v>
      </c>
      <c r="C29">
        <v>1</v>
      </c>
      <c r="D29">
        <v>103.32299999999999</v>
      </c>
      <c r="E29">
        <v>102.13</v>
      </c>
      <c r="F29">
        <v>534</v>
      </c>
    </row>
    <row r="30" spans="1:39" x14ac:dyDescent="0.3">
      <c r="A30" t="s">
        <v>17</v>
      </c>
      <c r="B30">
        <v>100</v>
      </c>
      <c r="C30">
        <v>1</v>
      </c>
      <c r="D30">
        <v>103.217</v>
      </c>
      <c r="E30">
        <v>102.10599999999999</v>
      </c>
      <c r="F30">
        <v>553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8.0039999999999996</v>
      </c>
      <c r="F31">
        <v>264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8.0280000000000005</v>
      </c>
      <c r="F32">
        <v>295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8.0399999999999991</v>
      </c>
      <c r="F33">
        <v>264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8.0259999999999998</v>
      </c>
      <c r="F34">
        <v>312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8.0180000000000007</v>
      </c>
      <c r="F35">
        <v>289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7.9969999999999999</v>
      </c>
      <c r="F36">
        <v>250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8.0190000000000001</v>
      </c>
      <c r="F37">
        <v>272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8.0069999999999997</v>
      </c>
      <c r="F38">
        <v>301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8.0310000000000006</v>
      </c>
      <c r="F39">
        <v>270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8.0050000000000008</v>
      </c>
      <c r="F40">
        <v>262</v>
      </c>
    </row>
    <row r="41" spans="1:6" x14ac:dyDescent="0.3">
      <c r="A41" t="s">
        <v>18</v>
      </c>
      <c r="B41">
        <v>50</v>
      </c>
      <c r="C41">
        <v>1</v>
      </c>
      <c r="D41">
        <v>179.93799999999999</v>
      </c>
      <c r="E41">
        <v>22.413</v>
      </c>
      <c r="F41">
        <v>343</v>
      </c>
    </row>
    <row r="42" spans="1:6" x14ac:dyDescent="0.3">
      <c r="A42" t="s">
        <v>18</v>
      </c>
      <c r="B42">
        <v>50</v>
      </c>
      <c r="C42">
        <v>1</v>
      </c>
      <c r="D42">
        <v>179.953</v>
      </c>
      <c r="E42">
        <v>22.431999999999999</v>
      </c>
      <c r="F42">
        <v>332</v>
      </c>
    </row>
    <row r="43" spans="1:6" x14ac:dyDescent="0.3">
      <c r="A43" t="s">
        <v>18</v>
      </c>
      <c r="B43">
        <v>50</v>
      </c>
      <c r="C43">
        <v>1</v>
      </c>
      <c r="D43">
        <v>179.93799999999999</v>
      </c>
      <c r="E43">
        <v>22.446000000000002</v>
      </c>
      <c r="F43">
        <v>340</v>
      </c>
    </row>
    <row r="44" spans="1:6" x14ac:dyDescent="0.3">
      <c r="A44" t="s">
        <v>18</v>
      </c>
      <c r="B44">
        <v>50</v>
      </c>
      <c r="C44">
        <v>1</v>
      </c>
      <c r="D44">
        <v>181.59700000000001</v>
      </c>
      <c r="E44">
        <v>22.401</v>
      </c>
      <c r="F44">
        <v>331</v>
      </c>
    </row>
    <row r="45" spans="1:6" x14ac:dyDescent="0.3">
      <c r="A45" t="s">
        <v>18</v>
      </c>
      <c r="B45">
        <v>50</v>
      </c>
      <c r="C45">
        <v>1</v>
      </c>
      <c r="D45">
        <v>180.87100000000001</v>
      </c>
      <c r="E45">
        <v>22.451000000000001</v>
      </c>
      <c r="F45">
        <v>335</v>
      </c>
    </row>
    <row r="46" spans="1:6" x14ac:dyDescent="0.3">
      <c r="A46" t="s">
        <v>18</v>
      </c>
      <c r="B46">
        <v>50</v>
      </c>
      <c r="C46">
        <v>1</v>
      </c>
      <c r="D46">
        <v>181.40799999999999</v>
      </c>
      <c r="E46">
        <v>22.452999999999999</v>
      </c>
      <c r="F46">
        <v>330</v>
      </c>
    </row>
    <row r="47" spans="1:6" x14ac:dyDescent="0.3">
      <c r="A47" t="s">
        <v>18</v>
      </c>
      <c r="B47">
        <v>50</v>
      </c>
      <c r="C47">
        <v>1</v>
      </c>
      <c r="D47">
        <v>180.87100000000001</v>
      </c>
      <c r="E47">
        <v>22.417000000000002</v>
      </c>
      <c r="F47">
        <v>339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22.428999999999998</v>
      </c>
      <c r="F48">
        <v>336</v>
      </c>
    </row>
    <row r="49" spans="1:6" x14ac:dyDescent="0.3">
      <c r="A49" t="s">
        <v>18</v>
      </c>
      <c r="B49">
        <v>50</v>
      </c>
      <c r="C49">
        <v>1</v>
      </c>
      <c r="D49">
        <v>180.053</v>
      </c>
      <c r="E49">
        <v>22.44</v>
      </c>
      <c r="F49">
        <v>334</v>
      </c>
    </row>
    <row r="50" spans="1:6" x14ac:dyDescent="0.3">
      <c r="A50" t="s">
        <v>18</v>
      </c>
      <c r="B50">
        <v>50</v>
      </c>
      <c r="C50">
        <v>1</v>
      </c>
      <c r="D50">
        <v>179.93799999999999</v>
      </c>
      <c r="E50">
        <v>22.408000000000001</v>
      </c>
      <c r="F50">
        <v>336</v>
      </c>
    </row>
    <row r="51" spans="1:6" x14ac:dyDescent="0.3">
      <c r="A51" t="s">
        <v>18</v>
      </c>
      <c r="B51">
        <v>100</v>
      </c>
      <c r="C51">
        <v>1</v>
      </c>
      <c r="D51">
        <v>239.56399999999999</v>
      </c>
      <c r="E51">
        <v>138.46899999999999</v>
      </c>
      <c r="F51">
        <v>683</v>
      </c>
    </row>
    <row r="52" spans="1:6" x14ac:dyDescent="0.3">
      <c r="A52" t="s">
        <v>18</v>
      </c>
      <c r="B52">
        <v>100</v>
      </c>
      <c r="C52">
        <v>1</v>
      </c>
      <c r="D52">
        <v>239.46299999999999</v>
      </c>
      <c r="E52">
        <v>138.52799999999999</v>
      </c>
      <c r="F52">
        <v>631</v>
      </c>
    </row>
    <row r="53" spans="1:6" x14ac:dyDescent="0.3">
      <c r="A53" t="s">
        <v>18</v>
      </c>
      <c r="B53">
        <v>100</v>
      </c>
      <c r="C53">
        <v>1</v>
      </c>
      <c r="D53">
        <v>239.34200000000001</v>
      </c>
      <c r="E53">
        <v>138.62799999999999</v>
      </c>
      <c r="F53">
        <v>595</v>
      </c>
    </row>
    <row r="54" spans="1:6" x14ac:dyDescent="0.3">
      <c r="A54" t="s">
        <v>18</v>
      </c>
      <c r="B54">
        <v>100</v>
      </c>
      <c r="C54">
        <v>1</v>
      </c>
      <c r="D54">
        <v>239.18700000000001</v>
      </c>
      <c r="E54">
        <v>138.559</v>
      </c>
      <c r="F54">
        <v>591</v>
      </c>
    </row>
    <row r="55" spans="1:6" x14ac:dyDescent="0.3">
      <c r="A55" t="s">
        <v>18</v>
      </c>
      <c r="B55">
        <v>100</v>
      </c>
      <c r="C55">
        <v>1</v>
      </c>
      <c r="D55">
        <v>239.41300000000001</v>
      </c>
      <c r="E55">
        <v>138.542</v>
      </c>
      <c r="F55">
        <v>589</v>
      </c>
    </row>
    <row r="56" spans="1:6" x14ac:dyDescent="0.3">
      <c r="A56" t="s">
        <v>18</v>
      </c>
      <c r="B56">
        <v>100</v>
      </c>
      <c r="C56">
        <v>1</v>
      </c>
      <c r="D56">
        <v>239.21299999999999</v>
      </c>
      <c r="E56">
        <v>138.49100000000001</v>
      </c>
      <c r="F56">
        <v>600</v>
      </c>
    </row>
    <row r="57" spans="1:6" x14ac:dyDescent="0.3">
      <c r="A57" t="s">
        <v>18</v>
      </c>
      <c r="B57">
        <v>100</v>
      </c>
      <c r="C57">
        <v>1</v>
      </c>
      <c r="D57">
        <v>239.386</v>
      </c>
      <c r="E57">
        <v>138.494</v>
      </c>
      <c r="F57">
        <v>693</v>
      </c>
    </row>
    <row r="58" spans="1:6" x14ac:dyDescent="0.3">
      <c r="A58" t="s">
        <v>18</v>
      </c>
      <c r="B58">
        <v>100</v>
      </c>
      <c r="C58">
        <v>1</v>
      </c>
      <c r="D58">
        <v>239.23</v>
      </c>
      <c r="E58">
        <v>138.488</v>
      </c>
      <c r="F58">
        <v>682</v>
      </c>
    </row>
    <row r="59" spans="1:6" x14ac:dyDescent="0.3">
      <c r="A59" t="s">
        <v>18</v>
      </c>
      <c r="B59">
        <v>100</v>
      </c>
      <c r="C59">
        <v>1</v>
      </c>
      <c r="D59">
        <v>239.227</v>
      </c>
      <c r="E59">
        <v>138.49199999999999</v>
      </c>
      <c r="F59">
        <v>589</v>
      </c>
    </row>
    <row r="60" spans="1:6" x14ac:dyDescent="0.3">
      <c r="A60" t="s">
        <v>18</v>
      </c>
      <c r="B60">
        <v>100</v>
      </c>
      <c r="C60">
        <v>1</v>
      </c>
      <c r="D60">
        <v>239.173</v>
      </c>
      <c r="E60">
        <v>138.61699999999999</v>
      </c>
      <c r="F60">
        <v>590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4.32</v>
      </c>
      <c r="F61">
        <v>204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4.3490000000000002</v>
      </c>
      <c r="F62">
        <v>250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4.32</v>
      </c>
      <c r="F63">
        <v>203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4.3479999999999999</v>
      </c>
      <c r="F64">
        <v>162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4.3209999999999997</v>
      </c>
      <c r="F65">
        <v>207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4.3150000000000004</v>
      </c>
      <c r="F66">
        <v>256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4.3140000000000001</v>
      </c>
      <c r="F67">
        <v>250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4.3120000000000003</v>
      </c>
      <c r="F68">
        <v>239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4.3330000000000002</v>
      </c>
      <c r="F69">
        <v>219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4.3540000000000001</v>
      </c>
      <c r="F70">
        <v>200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13.208</v>
      </c>
      <c r="F71">
        <v>260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13.215999999999999</v>
      </c>
      <c r="F72">
        <v>265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13.227</v>
      </c>
      <c r="F73">
        <v>263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13.223000000000001</v>
      </c>
      <c r="F74">
        <v>251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13.238</v>
      </c>
      <c r="F75">
        <v>256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13.207000000000001</v>
      </c>
      <c r="F76">
        <v>252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13.223000000000001</v>
      </c>
      <c r="F77">
        <v>259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13.202</v>
      </c>
      <c r="F78">
        <v>252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13.225</v>
      </c>
      <c r="F79">
        <v>258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13.223000000000001</v>
      </c>
      <c r="F80">
        <v>266</v>
      </c>
    </row>
    <row r="81" spans="1:6" x14ac:dyDescent="0.3">
      <c r="A81" t="s">
        <v>19</v>
      </c>
      <c r="B81">
        <v>100</v>
      </c>
      <c r="C81">
        <v>1</v>
      </c>
      <c r="D81">
        <v>35281.580999999998</v>
      </c>
      <c r="E81">
        <v>54.819000000000003</v>
      </c>
      <c r="F81">
        <v>278</v>
      </c>
    </row>
    <row r="82" spans="1:6" x14ac:dyDescent="0.3">
      <c r="A82" t="s">
        <v>19</v>
      </c>
      <c r="B82">
        <v>100</v>
      </c>
      <c r="C82">
        <v>1</v>
      </c>
      <c r="D82">
        <v>35273.252</v>
      </c>
      <c r="E82">
        <v>54.948999999999998</v>
      </c>
      <c r="F82">
        <v>281</v>
      </c>
    </row>
    <row r="83" spans="1:6" x14ac:dyDescent="0.3">
      <c r="A83" t="s">
        <v>19</v>
      </c>
      <c r="B83">
        <v>100</v>
      </c>
      <c r="C83">
        <v>1</v>
      </c>
      <c r="D83">
        <v>35283.040999999997</v>
      </c>
      <c r="E83">
        <v>54.963999999999999</v>
      </c>
      <c r="F83">
        <v>284</v>
      </c>
    </row>
    <row r="84" spans="1:6" x14ac:dyDescent="0.3">
      <c r="A84" t="s">
        <v>19</v>
      </c>
      <c r="B84">
        <v>100</v>
      </c>
      <c r="C84">
        <v>1</v>
      </c>
      <c r="D84">
        <v>35252.680999999997</v>
      </c>
      <c r="E84">
        <v>54.805999999999997</v>
      </c>
      <c r="F84">
        <v>279</v>
      </c>
    </row>
    <row r="85" spans="1:6" x14ac:dyDescent="0.3">
      <c r="A85" t="s">
        <v>19</v>
      </c>
      <c r="B85">
        <v>100</v>
      </c>
      <c r="C85">
        <v>1</v>
      </c>
      <c r="D85">
        <v>35235.597999999998</v>
      </c>
      <c r="E85">
        <v>54.945999999999998</v>
      </c>
      <c r="F85">
        <v>288</v>
      </c>
    </row>
    <row r="86" spans="1:6" x14ac:dyDescent="0.3">
      <c r="A86" t="s">
        <v>19</v>
      </c>
      <c r="B86">
        <v>100</v>
      </c>
      <c r="C86">
        <v>1</v>
      </c>
      <c r="D86">
        <v>35258.817999999999</v>
      </c>
      <c r="E86">
        <v>54.957000000000001</v>
      </c>
      <c r="F86">
        <v>283</v>
      </c>
    </row>
    <row r="87" spans="1:6" x14ac:dyDescent="0.3">
      <c r="A87" t="s">
        <v>19</v>
      </c>
      <c r="B87">
        <v>100</v>
      </c>
      <c r="C87">
        <v>1</v>
      </c>
      <c r="D87">
        <v>35268.275000000001</v>
      </c>
      <c r="E87">
        <v>54.914000000000001</v>
      </c>
      <c r="F87">
        <v>328</v>
      </c>
    </row>
    <row r="88" spans="1:6" x14ac:dyDescent="0.3">
      <c r="A88" t="s">
        <v>19</v>
      </c>
      <c r="B88">
        <v>100</v>
      </c>
      <c r="C88">
        <v>1</v>
      </c>
      <c r="D88">
        <v>35273.58</v>
      </c>
      <c r="E88">
        <v>54.863</v>
      </c>
      <c r="F88">
        <v>346</v>
      </c>
    </row>
    <row r="89" spans="1:6" x14ac:dyDescent="0.3">
      <c r="A89" t="s">
        <v>19</v>
      </c>
      <c r="B89">
        <v>100</v>
      </c>
      <c r="C89">
        <v>1</v>
      </c>
      <c r="D89">
        <v>35275.832999999999</v>
      </c>
      <c r="E89">
        <v>54.923999999999999</v>
      </c>
      <c r="F89">
        <v>333</v>
      </c>
    </row>
    <row r="90" spans="1:6" x14ac:dyDescent="0.3">
      <c r="A90" t="s">
        <v>19</v>
      </c>
      <c r="B90">
        <v>100</v>
      </c>
      <c r="C90">
        <v>1</v>
      </c>
      <c r="D90">
        <v>35226.438000000002</v>
      </c>
      <c r="E90">
        <v>54.884999999999998</v>
      </c>
      <c r="F90">
        <v>333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6.4809999999999999</v>
      </c>
      <c r="F91">
        <v>229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6.4729999999999999</v>
      </c>
      <c r="F92">
        <v>282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6.49</v>
      </c>
      <c r="F93">
        <v>267</v>
      </c>
    </row>
    <row r="94" spans="1:6" x14ac:dyDescent="0.3">
      <c r="A94" t="s">
        <v>20</v>
      </c>
      <c r="B94">
        <v>30</v>
      </c>
      <c r="C94">
        <v>1</v>
      </c>
      <c r="D94">
        <v>657.32399999999996</v>
      </c>
      <c r="E94">
        <v>6.4749999999999996</v>
      </c>
      <c r="F94">
        <v>263</v>
      </c>
    </row>
    <row r="95" spans="1:6" x14ac:dyDescent="0.3">
      <c r="A95" t="s">
        <v>20</v>
      </c>
      <c r="B95">
        <v>30</v>
      </c>
      <c r="C95">
        <v>1</v>
      </c>
      <c r="D95">
        <v>657.32399999999996</v>
      </c>
      <c r="E95">
        <v>6.4889999999999999</v>
      </c>
      <c r="F95">
        <v>235</v>
      </c>
    </row>
    <row r="96" spans="1:6" x14ac:dyDescent="0.3">
      <c r="A96" t="s">
        <v>20</v>
      </c>
      <c r="B96">
        <v>30</v>
      </c>
      <c r="C96">
        <v>1</v>
      </c>
      <c r="D96">
        <v>657.33</v>
      </c>
      <c r="E96">
        <v>6.4850000000000003</v>
      </c>
      <c r="F96">
        <v>224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6.4790000000000001</v>
      </c>
      <c r="F97">
        <v>215</v>
      </c>
    </row>
    <row r="98" spans="1:6" x14ac:dyDescent="0.3">
      <c r="A98" t="s">
        <v>20</v>
      </c>
      <c r="B98">
        <v>30</v>
      </c>
      <c r="C98">
        <v>1</v>
      </c>
      <c r="D98">
        <v>658.23299999999995</v>
      </c>
      <c r="E98">
        <v>6.4649999999999999</v>
      </c>
      <c r="F98">
        <v>237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6.4669999999999996</v>
      </c>
      <c r="F99">
        <v>244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6.47</v>
      </c>
      <c r="F100">
        <v>223</v>
      </c>
    </row>
    <row r="101" spans="1:6" x14ac:dyDescent="0.3">
      <c r="A101" t="s">
        <v>20</v>
      </c>
      <c r="B101">
        <v>50</v>
      </c>
      <c r="C101">
        <v>1</v>
      </c>
      <c r="D101">
        <v>991.68899999999996</v>
      </c>
      <c r="E101">
        <v>14.72</v>
      </c>
      <c r="F101">
        <v>262</v>
      </c>
    </row>
    <row r="102" spans="1:6" x14ac:dyDescent="0.3">
      <c r="A102" t="s">
        <v>20</v>
      </c>
      <c r="B102">
        <v>50</v>
      </c>
      <c r="C102">
        <v>1</v>
      </c>
      <c r="D102">
        <v>991.79300000000001</v>
      </c>
      <c r="E102">
        <v>14.714</v>
      </c>
      <c r="F102">
        <v>258</v>
      </c>
    </row>
    <row r="103" spans="1:6" x14ac:dyDescent="0.3">
      <c r="A103" t="s">
        <v>20</v>
      </c>
      <c r="B103">
        <v>50</v>
      </c>
      <c r="C103">
        <v>1</v>
      </c>
      <c r="D103">
        <v>991.85500000000002</v>
      </c>
      <c r="E103">
        <v>14.742000000000001</v>
      </c>
      <c r="F103">
        <v>263</v>
      </c>
    </row>
    <row r="104" spans="1:6" x14ac:dyDescent="0.3">
      <c r="A104" t="s">
        <v>20</v>
      </c>
      <c r="B104">
        <v>50</v>
      </c>
      <c r="C104">
        <v>1</v>
      </c>
      <c r="D104">
        <v>991.875</v>
      </c>
      <c r="E104">
        <v>14.696</v>
      </c>
      <c r="F104">
        <v>253</v>
      </c>
    </row>
    <row r="105" spans="1:6" x14ac:dyDescent="0.3">
      <c r="A105" t="s">
        <v>20</v>
      </c>
      <c r="B105">
        <v>50</v>
      </c>
      <c r="C105">
        <v>1</v>
      </c>
      <c r="D105">
        <v>993.45299999999997</v>
      </c>
      <c r="E105">
        <v>14.731999999999999</v>
      </c>
      <c r="F105">
        <v>262</v>
      </c>
    </row>
    <row r="106" spans="1:6" x14ac:dyDescent="0.3">
      <c r="A106" t="s">
        <v>20</v>
      </c>
      <c r="B106">
        <v>50</v>
      </c>
      <c r="C106">
        <v>1</v>
      </c>
      <c r="D106">
        <v>994.17600000000004</v>
      </c>
      <c r="E106">
        <v>14.695</v>
      </c>
      <c r="F106">
        <v>258</v>
      </c>
    </row>
    <row r="107" spans="1:6" x14ac:dyDescent="0.3">
      <c r="A107" t="s">
        <v>20</v>
      </c>
      <c r="B107">
        <v>50</v>
      </c>
      <c r="C107">
        <v>1</v>
      </c>
      <c r="D107">
        <v>995.70899999999995</v>
      </c>
      <c r="E107">
        <v>14.698</v>
      </c>
      <c r="F107">
        <v>256</v>
      </c>
    </row>
    <row r="108" spans="1:6" x14ac:dyDescent="0.3">
      <c r="A108" t="s">
        <v>20</v>
      </c>
      <c r="B108">
        <v>50</v>
      </c>
      <c r="C108">
        <v>1</v>
      </c>
      <c r="D108">
        <v>996.14</v>
      </c>
      <c r="E108">
        <v>14.734999999999999</v>
      </c>
      <c r="F108">
        <v>258</v>
      </c>
    </row>
    <row r="109" spans="1:6" x14ac:dyDescent="0.3">
      <c r="A109" t="s">
        <v>20</v>
      </c>
      <c r="B109">
        <v>50</v>
      </c>
      <c r="C109">
        <v>1</v>
      </c>
      <c r="D109">
        <v>993.24199999999996</v>
      </c>
      <c r="E109">
        <v>14.747</v>
      </c>
      <c r="F109">
        <v>259</v>
      </c>
    </row>
    <row r="110" spans="1:6" x14ac:dyDescent="0.3">
      <c r="A110" t="s">
        <v>20</v>
      </c>
      <c r="B110">
        <v>50</v>
      </c>
      <c r="C110">
        <v>1</v>
      </c>
      <c r="D110">
        <v>991.09299999999996</v>
      </c>
      <c r="E110">
        <v>14.688000000000001</v>
      </c>
      <c r="F110">
        <v>256</v>
      </c>
    </row>
    <row r="111" spans="1:6" x14ac:dyDescent="0.3">
      <c r="A111" t="s">
        <v>20</v>
      </c>
      <c r="B111">
        <v>100</v>
      </c>
      <c r="C111">
        <v>1</v>
      </c>
      <c r="D111">
        <v>1757.9970000000001</v>
      </c>
      <c r="E111">
        <v>32.573</v>
      </c>
      <c r="F111">
        <v>187</v>
      </c>
    </row>
    <row r="112" spans="1:6" x14ac:dyDescent="0.3">
      <c r="A112" t="s">
        <v>20</v>
      </c>
      <c r="B112">
        <v>100</v>
      </c>
      <c r="C112">
        <v>1</v>
      </c>
      <c r="D112">
        <v>1757.98</v>
      </c>
      <c r="E112">
        <v>32.462000000000003</v>
      </c>
      <c r="F112">
        <v>186</v>
      </c>
    </row>
    <row r="113" spans="1:6" x14ac:dyDescent="0.3">
      <c r="A113" t="s">
        <v>20</v>
      </c>
      <c r="B113">
        <v>100</v>
      </c>
      <c r="C113">
        <v>1</v>
      </c>
      <c r="D113">
        <v>1756.6079999999999</v>
      </c>
      <c r="E113">
        <v>32.570999999999998</v>
      </c>
      <c r="F113">
        <v>185</v>
      </c>
    </row>
    <row r="114" spans="1:6" x14ac:dyDescent="0.3">
      <c r="A114" t="s">
        <v>20</v>
      </c>
      <c r="B114">
        <v>100</v>
      </c>
      <c r="C114">
        <v>1</v>
      </c>
      <c r="D114">
        <v>1756.14</v>
      </c>
      <c r="E114">
        <v>32.570999999999998</v>
      </c>
      <c r="F114">
        <v>186</v>
      </c>
    </row>
    <row r="115" spans="1:6" x14ac:dyDescent="0.3">
      <c r="A115" t="s">
        <v>20</v>
      </c>
      <c r="B115">
        <v>100</v>
      </c>
      <c r="C115">
        <v>1</v>
      </c>
      <c r="D115">
        <v>1761.5930000000001</v>
      </c>
      <c r="E115">
        <v>32.488</v>
      </c>
      <c r="F115">
        <v>186</v>
      </c>
    </row>
    <row r="116" spans="1:6" x14ac:dyDescent="0.3">
      <c r="A116" t="s">
        <v>20</v>
      </c>
      <c r="B116">
        <v>100</v>
      </c>
      <c r="C116">
        <v>1</v>
      </c>
      <c r="D116">
        <v>1761.037</v>
      </c>
      <c r="E116">
        <v>32.505000000000003</v>
      </c>
      <c r="F116">
        <v>184</v>
      </c>
    </row>
    <row r="117" spans="1:6" x14ac:dyDescent="0.3">
      <c r="A117" t="s">
        <v>20</v>
      </c>
      <c r="B117">
        <v>100</v>
      </c>
      <c r="C117">
        <v>1</v>
      </c>
      <c r="D117">
        <v>1758.3889999999999</v>
      </c>
      <c r="E117">
        <v>32.591000000000001</v>
      </c>
      <c r="F117">
        <v>186</v>
      </c>
    </row>
    <row r="118" spans="1:6" x14ac:dyDescent="0.3">
      <c r="A118" t="s">
        <v>20</v>
      </c>
      <c r="B118">
        <v>100</v>
      </c>
      <c r="C118">
        <v>1</v>
      </c>
      <c r="D118">
        <v>1757.81</v>
      </c>
      <c r="E118">
        <v>32.573</v>
      </c>
      <c r="F118">
        <v>185</v>
      </c>
    </row>
    <row r="119" spans="1:6" x14ac:dyDescent="0.3">
      <c r="A119" t="s">
        <v>20</v>
      </c>
      <c r="B119">
        <v>100</v>
      </c>
      <c r="C119">
        <v>1</v>
      </c>
      <c r="D119">
        <v>1756.4829999999999</v>
      </c>
      <c r="E119">
        <v>32.502000000000002</v>
      </c>
      <c r="F119">
        <v>183</v>
      </c>
    </row>
    <row r="120" spans="1:6" x14ac:dyDescent="0.3">
      <c r="A120" t="s">
        <v>20</v>
      </c>
      <c r="B120">
        <v>100</v>
      </c>
      <c r="C120">
        <v>1</v>
      </c>
      <c r="D120">
        <v>1760.1030000000001</v>
      </c>
      <c r="E120">
        <v>32.591999999999999</v>
      </c>
      <c r="F120">
        <v>184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1.383</v>
      </c>
      <c r="F121">
        <v>125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1.369</v>
      </c>
      <c r="F122">
        <v>127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1.365</v>
      </c>
      <c r="F123">
        <v>450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1.38</v>
      </c>
      <c r="F124">
        <v>313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1.3680000000000001</v>
      </c>
      <c r="F125">
        <v>93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1.3839999999999999</v>
      </c>
      <c r="F126">
        <v>125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1.363</v>
      </c>
      <c r="F127">
        <v>170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1.3660000000000001</v>
      </c>
      <c r="F128">
        <v>255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1.379</v>
      </c>
      <c r="F129">
        <v>87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1.363</v>
      </c>
      <c r="F130">
        <v>107</v>
      </c>
    </row>
    <row r="131" spans="1:6" x14ac:dyDescent="0.3">
      <c r="A131" t="s">
        <v>33</v>
      </c>
      <c r="B131">
        <v>209</v>
      </c>
      <c r="C131">
        <v>1</v>
      </c>
      <c r="D131">
        <v>76.415000000000006</v>
      </c>
      <c r="E131">
        <v>180.876</v>
      </c>
      <c r="F131">
        <v>248</v>
      </c>
    </row>
    <row r="132" spans="1:6" x14ac:dyDescent="0.3">
      <c r="A132" t="s">
        <v>33</v>
      </c>
      <c r="B132">
        <v>209</v>
      </c>
      <c r="C132">
        <v>1</v>
      </c>
      <c r="D132">
        <v>76.542000000000002</v>
      </c>
      <c r="E132">
        <v>180.82599999999999</v>
      </c>
      <c r="F132">
        <v>245</v>
      </c>
    </row>
    <row r="133" spans="1:6" x14ac:dyDescent="0.3">
      <c r="A133" t="s">
        <v>33</v>
      </c>
      <c r="B133">
        <v>209</v>
      </c>
      <c r="C133">
        <v>1</v>
      </c>
      <c r="D133">
        <v>76.257999999999996</v>
      </c>
      <c r="E133">
        <v>181.02</v>
      </c>
      <c r="F133">
        <v>243</v>
      </c>
    </row>
    <row r="134" spans="1:6" x14ac:dyDescent="0.3">
      <c r="A134" t="s">
        <v>33</v>
      </c>
      <c r="B134">
        <v>209</v>
      </c>
      <c r="C134">
        <v>1</v>
      </c>
      <c r="D134">
        <v>76.578999999999994</v>
      </c>
      <c r="E134">
        <v>181.21</v>
      </c>
      <c r="F134">
        <v>243</v>
      </c>
    </row>
    <row r="135" spans="1:6" x14ac:dyDescent="0.3">
      <c r="A135" t="s">
        <v>33</v>
      </c>
      <c r="B135">
        <v>209</v>
      </c>
      <c r="C135">
        <v>1</v>
      </c>
      <c r="D135">
        <v>76.866</v>
      </c>
      <c r="E135">
        <v>181.13900000000001</v>
      </c>
      <c r="F135">
        <v>242</v>
      </c>
    </row>
    <row r="136" spans="1:6" x14ac:dyDescent="0.3">
      <c r="A136" t="s">
        <v>33</v>
      </c>
      <c r="B136">
        <v>209</v>
      </c>
      <c r="C136">
        <v>1</v>
      </c>
      <c r="D136">
        <v>76.942999999999998</v>
      </c>
      <c r="E136">
        <v>180.91499999999999</v>
      </c>
      <c r="F136">
        <v>236</v>
      </c>
    </row>
    <row r="137" spans="1:6" x14ac:dyDescent="0.3">
      <c r="A137" t="s">
        <v>33</v>
      </c>
      <c r="B137">
        <v>209</v>
      </c>
      <c r="C137">
        <v>1</v>
      </c>
      <c r="D137">
        <v>76.87</v>
      </c>
      <c r="E137">
        <v>181.09200000000001</v>
      </c>
      <c r="F137">
        <v>240</v>
      </c>
    </row>
    <row r="138" spans="1:6" x14ac:dyDescent="0.3">
      <c r="A138" t="s">
        <v>33</v>
      </c>
      <c r="B138">
        <v>209</v>
      </c>
      <c r="C138">
        <v>1</v>
      </c>
      <c r="D138">
        <v>76.617999999999995</v>
      </c>
      <c r="E138">
        <v>181.345</v>
      </c>
      <c r="F138">
        <v>237</v>
      </c>
    </row>
    <row r="139" spans="1:6" x14ac:dyDescent="0.3">
      <c r="A139" t="s">
        <v>33</v>
      </c>
      <c r="B139">
        <v>209</v>
      </c>
      <c r="C139">
        <v>1</v>
      </c>
      <c r="D139">
        <v>76.492000000000004</v>
      </c>
      <c r="E139">
        <v>180.71100000000001</v>
      </c>
      <c r="F139">
        <v>239</v>
      </c>
    </row>
    <row r="140" spans="1:6" x14ac:dyDescent="0.3">
      <c r="A140" t="s">
        <v>33</v>
      </c>
      <c r="B140">
        <v>209</v>
      </c>
      <c r="C140">
        <v>1</v>
      </c>
      <c r="D140">
        <v>76.593000000000004</v>
      </c>
      <c r="E140">
        <v>180.72200000000001</v>
      </c>
      <c r="F140">
        <v>239</v>
      </c>
    </row>
    <row r="141" spans="1:6" x14ac:dyDescent="0.3">
      <c r="A141" t="s">
        <v>33</v>
      </c>
      <c r="B141">
        <v>324</v>
      </c>
      <c r="C141">
        <v>1</v>
      </c>
      <c r="D141">
        <v>118.919</v>
      </c>
      <c r="E141">
        <v>419.82499999999999</v>
      </c>
      <c r="F141">
        <v>205</v>
      </c>
    </row>
    <row r="142" spans="1:6" x14ac:dyDescent="0.3">
      <c r="A142" t="s">
        <v>33</v>
      </c>
      <c r="B142">
        <v>324</v>
      </c>
      <c r="C142">
        <v>1</v>
      </c>
      <c r="D142">
        <v>118.753</v>
      </c>
      <c r="E142">
        <v>419.46</v>
      </c>
      <c r="F142">
        <v>207</v>
      </c>
    </row>
    <row r="143" spans="1:6" x14ac:dyDescent="0.3">
      <c r="A143" t="s">
        <v>33</v>
      </c>
      <c r="B143">
        <v>324</v>
      </c>
      <c r="C143">
        <v>1</v>
      </c>
      <c r="D143">
        <v>119.276</v>
      </c>
      <c r="E143">
        <v>419.36200000000002</v>
      </c>
      <c r="F143">
        <v>211</v>
      </c>
    </row>
    <row r="144" spans="1:6" x14ac:dyDescent="0.3">
      <c r="A144" t="s">
        <v>33</v>
      </c>
      <c r="B144">
        <v>324</v>
      </c>
      <c r="C144">
        <v>1</v>
      </c>
      <c r="D144">
        <v>119.19499999999999</v>
      </c>
      <c r="E144">
        <v>420.08499999999998</v>
      </c>
      <c r="F144">
        <v>207</v>
      </c>
    </row>
    <row r="145" spans="1:6" x14ac:dyDescent="0.3">
      <c r="A145" t="s">
        <v>33</v>
      </c>
      <c r="B145">
        <v>324</v>
      </c>
      <c r="C145">
        <v>1</v>
      </c>
      <c r="D145">
        <v>119.277</v>
      </c>
      <c r="E145">
        <v>420.99200000000002</v>
      </c>
      <c r="F145">
        <v>207</v>
      </c>
    </row>
    <row r="146" spans="1:6" x14ac:dyDescent="0.3">
      <c r="A146" t="s">
        <v>33</v>
      </c>
      <c r="B146">
        <v>324</v>
      </c>
      <c r="C146">
        <v>1</v>
      </c>
      <c r="D146">
        <v>119.607</v>
      </c>
      <c r="E146">
        <v>420.35</v>
      </c>
      <c r="F146">
        <v>211</v>
      </c>
    </row>
    <row r="147" spans="1:6" x14ac:dyDescent="0.3">
      <c r="A147" t="s">
        <v>33</v>
      </c>
      <c r="B147">
        <v>324</v>
      </c>
      <c r="C147">
        <v>1</v>
      </c>
      <c r="D147">
        <v>119.14400000000001</v>
      </c>
      <c r="E147">
        <v>420.142</v>
      </c>
      <c r="F147">
        <v>206</v>
      </c>
    </row>
    <row r="148" spans="1:6" x14ac:dyDescent="0.3">
      <c r="A148" t="s">
        <v>33</v>
      </c>
      <c r="B148">
        <v>324</v>
      </c>
      <c r="C148">
        <v>1</v>
      </c>
      <c r="D148">
        <v>119.136</v>
      </c>
      <c r="E148">
        <v>420.37</v>
      </c>
      <c r="F148">
        <v>205</v>
      </c>
    </row>
    <row r="149" spans="1:6" x14ac:dyDescent="0.3">
      <c r="A149" t="s">
        <v>33</v>
      </c>
      <c r="B149">
        <v>324</v>
      </c>
      <c r="C149">
        <v>1</v>
      </c>
      <c r="D149">
        <v>119.68</v>
      </c>
      <c r="E149">
        <v>420.2</v>
      </c>
      <c r="F149">
        <v>207</v>
      </c>
    </row>
    <row r="150" spans="1:6" x14ac:dyDescent="0.3">
      <c r="A150" t="s">
        <v>33</v>
      </c>
      <c r="B150">
        <v>324</v>
      </c>
      <c r="C150">
        <v>1</v>
      </c>
      <c r="D150">
        <v>119.081</v>
      </c>
      <c r="E150">
        <v>419.72</v>
      </c>
      <c r="F150">
        <v>206</v>
      </c>
    </row>
    <row r="151" spans="1:6" x14ac:dyDescent="0.3">
      <c r="A151" t="s">
        <v>34</v>
      </c>
      <c r="B151">
        <v>40</v>
      </c>
      <c r="C151">
        <v>1</v>
      </c>
      <c r="D151">
        <v>16.616</v>
      </c>
      <c r="E151">
        <v>11.618</v>
      </c>
      <c r="F151">
        <v>255</v>
      </c>
    </row>
    <row r="152" spans="1:6" x14ac:dyDescent="0.3">
      <c r="A152" t="s">
        <v>34</v>
      </c>
      <c r="B152">
        <v>40</v>
      </c>
      <c r="C152">
        <v>1</v>
      </c>
      <c r="D152">
        <v>16.672000000000001</v>
      </c>
      <c r="E152">
        <v>11.64</v>
      </c>
      <c r="F152">
        <v>281</v>
      </c>
    </row>
    <row r="153" spans="1:6" x14ac:dyDescent="0.3">
      <c r="A153" t="s">
        <v>34</v>
      </c>
      <c r="B153">
        <v>40</v>
      </c>
      <c r="C153">
        <v>1</v>
      </c>
      <c r="D153">
        <v>16.641999999999999</v>
      </c>
      <c r="E153">
        <v>11.62</v>
      </c>
      <c r="F153">
        <v>284</v>
      </c>
    </row>
    <row r="154" spans="1:6" x14ac:dyDescent="0.3">
      <c r="A154" t="s">
        <v>34</v>
      </c>
      <c r="B154">
        <v>40</v>
      </c>
      <c r="C154">
        <v>1</v>
      </c>
      <c r="D154">
        <v>16.792000000000002</v>
      </c>
      <c r="E154">
        <v>11.645</v>
      </c>
      <c r="F154">
        <v>284</v>
      </c>
    </row>
    <row r="155" spans="1:6" x14ac:dyDescent="0.3">
      <c r="A155" t="s">
        <v>34</v>
      </c>
      <c r="B155">
        <v>40</v>
      </c>
      <c r="C155">
        <v>1</v>
      </c>
      <c r="D155">
        <v>16.687000000000001</v>
      </c>
      <c r="E155">
        <v>11.619</v>
      </c>
      <c r="F155">
        <v>282</v>
      </c>
    </row>
    <row r="156" spans="1:6" x14ac:dyDescent="0.3">
      <c r="A156" t="s">
        <v>34</v>
      </c>
      <c r="B156">
        <v>40</v>
      </c>
      <c r="C156">
        <v>1</v>
      </c>
      <c r="D156">
        <v>16.579999999999998</v>
      </c>
      <c r="E156">
        <v>11.621</v>
      </c>
      <c r="F156">
        <v>266</v>
      </c>
    </row>
    <row r="157" spans="1:6" x14ac:dyDescent="0.3">
      <c r="A157" t="s">
        <v>34</v>
      </c>
      <c r="B157">
        <v>40</v>
      </c>
      <c r="C157">
        <v>1</v>
      </c>
      <c r="D157">
        <v>16.760000000000002</v>
      </c>
      <c r="E157">
        <v>11.645</v>
      </c>
      <c r="F157">
        <v>264</v>
      </c>
    </row>
    <row r="158" spans="1:6" x14ac:dyDescent="0.3">
      <c r="A158" t="s">
        <v>34</v>
      </c>
      <c r="B158">
        <v>40</v>
      </c>
      <c r="C158">
        <v>1</v>
      </c>
      <c r="D158">
        <v>16.739999999999998</v>
      </c>
      <c r="E158">
        <v>11.62</v>
      </c>
      <c r="F158">
        <v>258</v>
      </c>
    </row>
    <row r="159" spans="1:6" x14ac:dyDescent="0.3">
      <c r="A159" t="s">
        <v>34</v>
      </c>
      <c r="B159">
        <v>40</v>
      </c>
      <c r="C159">
        <v>1</v>
      </c>
      <c r="D159">
        <v>16.693999999999999</v>
      </c>
      <c r="E159">
        <v>11.621</v>
      </c>
      <c r="F159">
        <v>272</v>
      </c>
    </row>
    <row r="160" spans="1:6" x14ac:dyDescent="0.3">
      <c r="A160" t="s">
        <v>34</v>
      </c>
      <c r="B160">
        <v>40</v>
      </c>
      <c r="C160">
        <v>1</v>
      </c>
      <c r="D160">
        <v>16.733000000000001</v>
      </c>
      <c r="E160">
        <v>11.627000000000001</v>
      </c>
      <c r="F160">
        <v>284</v>
      </c>
    </row>
    <row r="161" spans="1:6" x14ac:dyDescent="0.3">
      <c r="A161" t="s">
        <v>34</v>
      </c>
      <c r="B161">
        <v>96</v>
      </c>
      <c r="C161">
        <v>1</v>
      </c>
      <c r="D161">
        <v>35.191000000000003</v>
      </c>
      <c r="E161">
        <v>51.284999999999997</v>
      </c>
      <c r="F161">
        <v>323</v>
      </c>
    </row>
    <row r="162" spans="1:6" x14ac:dyDescent="0.3">
      <c r="A162" t="s">
        <v>34</v>
      </c>
      <c r="B162">
        <v>96</v>
      </c>
      <c r="C162">
        <v>1</v>
      </c>
      <c r="D162">
        <v>35.173999999999999</v>
      </c>
      <c r="E162">
        <v>51.344000000000001</v>
      </c>
      <c r="F162">
        <v>326</v>
      </c>
    </row>
    <row r="163" spans="1:6" x14ac:dyDescent="0.3">
      <c r="A163" t="s">
        <v>34</v>
      </c>
      <c r="B163">
        <v>96</v>
      </c>
      <c r="C163">
        <v>1</v>
      </c>
      <c r="D163">
        <v>35.201000000000001</v>
      </c>
      <c r="E163">
        <v>51.277999999999999</v>
      </c>
      <c r="F163">
        <v>315</v>
      </c>
    </row>
    <row r="164" spans="1:6" x14ac:dyDescent="0.3">
      <c r="A164" t="s">
        <v>34</v>
      </c>
      <c r="B164">
        <v>96</v>
      </c>
      <c r="C164">
        <v>1</v>
      </c>
      <c r="D164">
        <v>35.189</v>
      </c>
      <c r="E164">
        <v>51.279000000000003</v>
      </c>
      <c r="F164">
        <v>334</v>
      </c>
    </row>
    <row r="165" spans="1:6" x14ac:dyDescent="0.3">
      <c r="A165" t="s">
        <v>34</v>
      </c>
      <c r="B165">
        <v>96</v>
      </c>
      <c r="C165">
        <v>1</v>
      </c>
      <c r="D165">
        <v>35.246000000000002</v>
      </c>
      <c r="E165">
        <v>51.274000000000001</v>
      </c>
      <c r="F165">
        <v>319</v>
      </c>
    </row>
    <row r="166" spans="1:6" x14ac:dyDescent="0.3">
      <c r="A166" t="s">
        <v>34</v>
      </c>
      <c r="B166">
        <v>96</v>
      </c>
      <c r="C166">
        <v>1</v>
      </c>
      <c r="D166">
        <v>35.146999999999998</v>
      </c>
      <c r="E166">
        <v>51.316000000000003</v>
      </c>
      <c r="F166">
        <v>323</v>
      </c>
    </row>
    <row r="167" spans="1:6" x14ac:dyDescent="0.3">
      <c r="A167" t="s">
        <v>34</v>
      </c>
      <c r="B167">
        <v>96</v>
      </c>
      <c r="C167">
        <v>1</v>
      </c>
      <c r="D167">
        <v>35.173999999999999</v>
      </c>
      <c r="E167">
        <v>51.314999999999998</v>
      </c>
      <c r="F167">
        <v>330</v>
      </c>
    </row>
    <row r="168" spans="1:6" x14ac:dyDescent="0.3">
      <c r="A168" t="s">
        <v>34</v>
      </c>
      <c r="B168">
        <v>96</v>
      </c>
      <c r="C168">
        <v>1</v>
      </c>
      <c r="D168">
        <v>35.177</v>
      </c>
      <c r="E168">
        <v>51.334000000000003</v>
      </c>
      <c r="F168">
        <v>313</v>
      </c>
    </row>
    <row r="169" spans="1:6" x14ac:dyDescent="0.3">
      <c r="A169" t="s">
        <v>34</v>
      </c>
      <c r="B169">
        <v>96</v>
      </c>
      <c r="C169">
        <v>1</v>
      </c>
      <c r="D169">
        <v>35.14</v>
      </c>
      <c r="E169">
        <v>51.308999999999997</v>
      </c>
      <c r="F169">
        <v>314</v>
      </c>
    </row>
    <row r="170" spans="1:6" x14ac:dyDescent="0.3">
      <c r="A170" t="s">
        <v>34</v>
      </c>
      <c r="B170">
        <v>96</v>
      </c>
      <c r="C170">
        <v>1</v>
      </c>
      <c r="D170">
        <v>35.213000000000001</v>
      </c>
      <c r="E170">
        <v>51.341000000000001</v>
      </c>
      <c r="F170">
        <v>330</v>
      </c>
    </row>
    <row r="171" spans="1:6" x14ac:dyDescent="0.3">
      <c r="A171" t="s">
        <v>34</v>
      </c>
      <c r="B171">
        <v>224</v>
      </c>
      <c r="C171">
        <v>1</v>
      </c>
      <c r="D171">
        <v>71.947000000000003</v>
      </c>
      <c r="E171">
        <v>255.61099999999999</v>
      </c>
      <c r="F171">
        <v>286</v>
      </c>
    </row>
    <row r="172" spans="1:6" x14ac:dyDescent="0.3">
      <c r="A172" t="s">
        <v>34</v>
      </c>
      <c r="B172">
        <v>224</v>
      </c>
      <c r="C172">
        <v>1</v>
      </c>
      <c r="D172">
        <v>72.027000000000001</v>
      </c>
      <c r="E172">
        <v>255.84100000000001</v>
      </c>
      <c r="F172">
        <v>285</v>
      </c>
    </row>
    <row r="173" spans="1:6" x14ac:dyDescent="0.3">
      <c r="A173" t="s">
        <v>34</v>
      </c>
      <c r="B173">
        <v>224</v>
      </c>
      <c r="C173">
        <v>1</v>
      </c>
      <c r="D173">
        <v>71.95</v>
      </c>
      <c r="E173">
        <v>255.63300000000001</v>
      </c>
      <c r="F173">
        <v>286</v>
      </c>
    </row>
    <row r="174" spans="1:6" x14ac:dyDescent="0.3">
      <c r="A174" t="s">
        <v>34</v>
      </c>
      <c r="B174">
        <v>224</v>
      </c>
      <c r="C174">
        <v>1</v>
      </c>
      <c r="D174">
        <v>71.936000000000007</v>
      </c>
      <c r="E174">
        <v>255.53399999999999</v>
      </c>
      <c r="F174">
        <v>286</v>
      </c>
    </row>
    <row r="175" spans="1:6" x14ac:dyDescent="0.3">
      <c r="A175" t="s">
        <v>34</v>
      </c>
      <c r="B175">
        <v>224</v>
      </c>
      <c r="C175">
        <v>1</v>
      </c>
      <c r="D175">
        <v>71.950999999999993</v>
      </c>
      <c r="E175">
        <v>255.43700000000001</v>
      </c>
      <c r="F175">
        <v>288</v>
      </c>
    </row>
    <row r="176" spans="1:6" x14ac:dyDescent="0.3">
      <c r="A176" t="s">
        <v>34</v>
      </c>
      <c r="B176">
        <v>224</v>
      </c>
      <c r="C176">
        <v>1</v>
      </c>
      <c r="D176">
        <v>71.927999999999997</v>
      </c>
      <c r="E176">
        <v>255.977</v>
      </c>
      <c r="F176">
        <v>290</v>
      </c>
    </row>
    <row r="177" spans="1:6" x14ac:dyDescent="0.3">
      <c r="A177" t="s">
        <v>34</v>
      </c>
      <c r="B177">
        <v>224</v>
      </c>
      <c r="C177">
        <v>1</v>
      </c>
      <c r="D177">
        <v>71.929000000000002</v>
      </c>
      <c r="E177">
        <v>256.05599999999998</v>
      </c>
      <c r="F177">
        <v>286</v>
      </c>
    </row>
    <row r="178" spans="1:6" x14ac:dyDescent="0.3">
      <c r="A178" t="s">
        <v>34</v>
      </c>
      <c r="B178">
        <v>224</v>
      </c>
      <c r="C178">
        <v>1</v>
      </c>
      <c r="D178">
        <v>72.010999999999996</v>
      </c>
      <c r="E178">
        <v>255.62100000000001</v>
      </c>
      <c r="F178">
        <v>292</v>
      </c>
    </row>
    <row r="179" spans="1:6" x14ac:dyDescent="0.3">
      <c r="A179" t="s">
        <v>34</v>
      </c>
      <c r="B179">
        <v>224</v>
      </c>
      <c r="C179">
        <v>1</v>
      </c>
      <c r="D179">
        <v>71.965999999999994</v>
      </c>
      <c r="E179">
        <v>255.87899999999999</v>
      </c>
      <c r="F179">
        <v>281</v>
      </c>
    </row>
    <row r="180" spans="1:6" x14ac:dyDescent="0.3">
      <c r="A180" t="s">
        <v>34</v>
      </c>
      <c r="B180">
        <v>224</v>
      </c>
      <c r="C180">
        <v>1</v>
      </c>
      <c r="D180">
        <v>71.923000000000002</v>
      </c>
      <c r="E180">
        <v>255.86</v>
      </c>
      <c r="F180">
        <v>293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25"/>
    <col min="2" max="2" width="3.83203125"/>
    <col min="3" max="3" width="2.58203125"/>
    <col min="4" max="4" width="9.5"/>
    <col min="5" max="5" width="7.25"/>
    <col min="6" max="6" width="6.5" customWidth="1"/>
    <col min="7" max="7" width="3.08203125"/>
    <col min="8" max="8" width="10.58203125"/>
    <col min="9" max="9" width="4.33203125"/>
    <col min="10" max="10" width="4.5"/>
    <col min="11" max="11" width="2.58203125"/>
    <col min="12" max="21" width="9.5"/>
    <col min="22" max="22" width="2.08203125"/>
    <col min="23" max="23" width="9.5"/>
    <col min="24" max="24" width="2.5"/>
    <col min="25" max="25" width="9.5"/>
    <col min="26" max="27" width="2.33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28.504000000000001</v>
      </c>
      <c r="E1">
        <v>5.2759999999999998</v>
      </c>
      <c r="F1">
        <v>170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5.3019999999999996</v>
      </c>
      <c r="F2">
        <v>224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28.504000000000001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28.591999999999999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28.504000000000001</v>
      </c>
      <c r="W2" s="35">
        <f t="shared" ref="W2:W19" ca="1" si="10">AVERAGE(L2:U2)</f>
        <v>28.542199999999998</v>
      </c>
      <c r="Y2" s="35">
        <f ca="1">Total!E2</f>
        <v>28.504000000000001</v>
      </c>
      <c r="AB2" s="35">
        <f t="shared" ref="AB2:AB19" ca="1" si="11">(L2-$Y2)/$Y2</f>
        <v>0</v>
      </c>
      <c r="AC2" s="35">
        <f t="shared" ref="AC2:AC19" ca="1" si="12">(M2-$Y2)/$Y2</f>
        <v>1.4734774066796953E-3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3.0872859949479868E-3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1.4734774066796953E-3</v>
      </c>
      <c r="AK2" s="35">
        <f t="shared" ref="AK2:AK19" ca="1" si="20">(U2-$Y2)/$Y2</f>
        <v>0</v>
      </c>
      <c r="AM2" s="35">
        <f t="shared" ref="AM2:AM19" ca="1" si="21">SUM(AB2:AK2)</f>
        <v>1.3401627841705855E-2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5.28</v>
      </c>
      <c r="F3">
        <v>199</v>
      </c>
      <c r="H3" s="35" t="s">
        <v>17</v>
      </c>
      <c r="I3" s="35">
        <v>50</v>
      </c>
      <c r="J3" s="35">
        <v>1</v>
      </c>
      <c r="L3" s="35">
        <f t="shared" ca="1" si="0"/>
        <v>53.127000000000002</v>
      </c>
      <c r="M3" s="35">
        <f t="shared" ca="1" si="1"/>
        <v>53.095999999999997</v>
      </c>
      <c r="N3" s="35">
        <f t="shared" ca="1" si="2"/>
        <v>53.076999999999998</v>
      </c>
      <c r="O3" s="35">
        <f t="shared" ca="1" si="3"/>
        <v>53.116999999999997</v>
      </c>
      <c r="P3" s="35">
        <f t="shared" ca="1" si="4"/>
        <v>53.036999999999999</v>
      </c>
      <c r="Q3" s="35">
        <f t="shared" ca="1" si="5"/>
        <v>52.927999999999997</v>
      </c>
      <c r="R3" s="35">
        <f t="shared" ca="1" si="6"/>
        <v>53.118000000000002</v>
      </c>
      <c r="S3" s="35">
        <f t="shared" ca="1" si="7"/>
        <v>52.987000000000002</v>
      </c>
      <c r="T3" s="35">
        <f t="shared" ca="1" si="8"/>
        <v>53.076999999999998</v>
      </c>
      <c r="U3" s="35">
        <f t="shared" ca="1" si="9"/>
        <v>52.987000000000002</v>
      </c>
      <c r="W3" s="35">
        <f t="shared" ca="1" si="10"/>
        <v>53.055100000000003</v>
      </c>
      <c r="Y3" s="35">
        <f ca="1">Total!E3</f>
        <v>52.927</v>
      </c>
      <c r="AB3" s="35">
        <f t="shared" ca="1" si="11"/>
        <v>3.778789653673982E-3</v>
      </c>
      <c r="AC3" s="35">
        <f t="shared" ca="1" si="12"/>
        <v>3.1930772573544115E-3</v>
      </c>
      <c r="AD3" s="35">
        <f t="shared" ca="1" si="13"/>
        <v>2.8340922402554192E-3</v>
      </c>
      <c r="AE3" s="35">
        <f t="shared" ca="1" si="14"/>
        <v>3.5898501709901889E-3</v>
      </c>
      <c r="AF3" s="35">
        <f t="shared" ca="1" si="15"/>
        <v>2.0783343095206498E-3</v>
      </c>
      <c r="AG3" s="35">
        <f t="shared" ca="1" si="16"/>
        <v>1.8893948268325608E-5</v>
      </c>
      <c r="AH3" s="35">
        <f t="shared" ca="1" si="17"/>
        <v>3.6087441192586486E-3</v>
      </c>
      <c r="AI3" s="35">
        <f t="shared" ca="1" si="18"/>
        <v>1.1336368961022214E-3</v>
      </c>
      <c r="AJ3" s="35">
        <f t="shared" ca="1" si="19"/>
        <v>2.8340922402554192E-3</v>
      </c>
      <c r="AK3" s="35">
        <f t="shared" ca="1" si="20"/>
        <v>1.1336368961022214E-3</v>
      </c>
      <c r="AM3" s="35">
        <f t="shared" ca="1" si="21"/>
        <v>2.4203147731781487E-2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5.28</v>
      </c>
      <c r="F4">
        <v>312</v>
      </c>
      <c r="H4" s="35" t="s">
        <v>17</v>
      </c>
      <c r="I4" s="35">
        <v>100</v>
      </c>
      <c r="J4" s="35">
        <v>1</v>
      </c>
      <c r="L4" s="35">
        <f t="shared" ca="1" si="0"/>
        <v>103.008</v>
      </c>
      <c r="M4" s="35">
        <f t="shared" ca="1" si="1"/>
        <v>103.289</v>
      </c>
      <c r="N4" s="35">
        <f t="shared" ca="1" si="2"/>
        <v>103.255</v>
      </c>
      <c r="O4" s="35">
        <f t="shared" ca="1" si="3"/>
        <v>103.048</v>
      </c>
      <c r="P4" s="35">
        <f t="shared" ca="1" si="4"/>
        <v>103.277</v>
      </c>
      <c r="Q4" s="35">
        <f t="shared" ca="1" si="5"/>
        <v>103.25700000000001</v>
      </c>
      <c r="R4" s="35">
        <f t="shared" ca="1" si="6"/>
        <v>103.26300000000001</v>
      </c>
      <c r="S4" s="35">
        <f t="shared" ca="1" si="7"/>
        <v>103.273</v>
      </c>
      <c r="T4" s="35">
        <f t="shared" ca="1" si="8"/>
        <v>103.28100000000001</v>
      </c>
      <c r="U4" s="35">
        <f t="shared" ca="1" si="9"/>
        <v>103.23699999999999</v>
      </c>
      <c r="W4" s="35">
        <f t="shared" ca="1" si="10"/>
        <v>103.21880000000002</v>
      </c>
      <c r="Y4" s="35">
        <f ca="1">Total!E4</f>
        <v>102.80200000000001</v>
      </c>
      <c r="AB4" s="35">
        <f t="shared" ca="1" si="11"/>
        <v>2.0038520651348112E-3</v>
      </c>
      <c r="AC4" s="35">
        <f t="shared" ca="1" si="12"/>
        <v>4.7372619209742487E-3</v>
      </c>
      <c r="AD4" s="35">
        <f t="shared" ca="1" si="13"/>
        <v>4.4065290558548348E-3</v>
      </c>
      <c r="AE4" s="35">
        <f t="shared" ca="1" si="14"/>
        <v>2.3929495535105843E-3</v>
      </c>
      <c r="AF4" s="35">
        <f t="shared" ca="1" si="15"/>
        <v>4.620532674461531E-3</v>
      </c>
      <c r="AG4" s="35">
        <f t="shared" ca="1" si="16"/>
        <v>4.4259839302737136E-3</v>
      </c>
      <c r="AH4" s="35">
        <f t="shared" ca="1" si="17"/>
        <v>4.4843485535300725E-3</v>
      </c>
      <c r="AI4" s="35">
        <f t="shared" ca="1" si="18"/>
        <v>4.5816229256239122E-3</v>
      </c>
      <c r="AJ4" s="35">
        <f t="shared" ca="1" si="19"/>
        <v>4.6594424232991498E-3</v>
      </c>
      <c r="AK4" s="35">
        <f t="shared" ca="1" si="20"/>
        <v>4.2314351860857575E-3</v>
      </c>
      <c r="AM4" s="35">
        <f t="shared" ca="1" si="21"/>
        <v>4.054395828874862E-2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5.3029999999999999</v>
      </c>
      <c r="F5">
        <v>289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28.591999999999999</v>
      </c>
      <c r="E6">
        <v>5.2939999999999996</v>
      </c>
      <c r="F6">
        <v>256</v>
      </c>
      <c r="H6" s="35" t="s">
        <v>18</v>
      </c>
      <c r="I6" s="35">
        <v>50</v>
      </c>
      <c r="J6" s="35">
        <v>1</v>
      </c>
      <c r="L6" s="35">
        <f t="shared" ca="1" si="0"/>
        <v>180.333</v>
      </c>
      <c r="M6" s="35">
        <f t="shared" ca="1" si="1"/>
        <v>179.93799999999999</v>
      </c>
      <c r="N6" s="35">
        <f t="shared" ca="1" si="2"/>
        <v>180.62100000000001</v>
      </c>
      <c r="O6" s="35">
        <f t="shared" ca="1" si="3"/>
        <v>179.93799999999999</v>
      </c>
      <c r="P6" s="35">
        <f t="shared" ca="1" si="4"/>
        <v>179.673</v>
      </c>
      <c r="Q6" s="35">
        <f t="shared" ca="1" si="5"/>
        <v>179.93799999999999</v>
      </c>
      <c r="R6" s="35">
        <f t="shared" ca="1" si="6"/>
        <v>179.93799999999999</v>
      </c>
      <c r="S6" s="35">
        <f t="shared" ca="1" si="7"/>
        <v>179.93799999999999</v>
      </c>
      <c r="T6" s="35">
        <f t="shared" ca="1" si="8"/>
        <v>179.93799999999999</v>
      </c>
      <c r="U6" s="35">
        <f t="shared" ca="1" si="9"/>
        <v>180.87100000000001</v>
      </c>
      <c r="W6" s="35">
        <f t="shared" ca="1" si="10"/>
        <v>180.11260000000001</v>
      </c>
      <c r="Y6" s="35">
        <f ca="1">Total!E6</f>
        <v>179.673</v>
      </c>
      <c r="AB6" s="35">
        <f t="shared" ca="1" si="11"/>
        <v>3.6733399008198036E-3</v>
      </c>
      <c r="AC6" s="35">
        <f t="shared" ca="1" si="12"/>
        <v>1.4749016268442469E-3</v>
      </c>
      <c r="AD6" s="35">
        <f t="shared" ca="1" si="13"/>
        <v>5.2762518575412412E-3</v>
      </c>
      <c r="AE6" s="35">
        <f t="shared" ca="1" si="14"/>
        <v>1.4749016268442469E-3</v>
      </c>
      <c r="AF6" s="35">
        <f t="shared" ca="1" si="15"/>
        <v>0</v>
      </c>
      <c r="AG6" s="35">
        <f t="shared" ca="1" si="16"/>
        <v>1.4749016268442469E-3</v>
      </c>
      <c r="AH6" s="35">
        <f t="shared" ca="1" si="17"/>
        <v>1.4749016268442469E-3</v>
      </c>
      <c r="AI6" s="35">
        <f t="shared" ca="1" si="18"/>
        <v>1.4749016268442469E-3</v>
      </c>
      <c r="AJ6" s="35">
        <f t="shared" ca="1" si="19"/>
        <v>1.4749016268442469E-3</v>
      </c>
      <c r="AK6" s="35">
        <f t="shared" ca="1" si="20"/>
        <v>6.667668486639659E-3</v>
      </c>
      <c r="AM6" s="35">
        <f t="shared" ca="1" si="21"/>
        <v>2.4466670006066185E-2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5.2830000000000004</v>
      </c>
      <c r="F7">
        <v>249</v>
      </c>
      <c r="H7" s="35" t="s">
        <v>18</v>
      </c>
      <c r="I7" s="35">
        <v>100</v>
      </c>
      <c r="J7" s="35">
        <v>1</v>
      </c>
      <c r="L7" s="35">
        <f t="shared" ca="1" si="0"/>
        <v>239.238</v>
      </c>
      <c r="M7" s="35">
        <f t="shared" ca="1" si="1"/>
        <v>239.21299999999999</v>
      </c>
      <c r="N7" s="35">
        <f t="shared" ca="1" si="2"/>
        <v>239.18899999999999</v>
      </c>
      <c r="O7" s="35">
        <f t="shared" ca="1" si="3"/>
        <v>240.286</v>
      </c>
      <c r="P7" s="35">
        <f t="shared" ca="1" si="4"/>
        <v>240.154</v>
      </c>
      <c r="Q7" s="35">
        <f t="shared" ca="1" si="5"/>
        <v>239.15199999999999</v>
      </c>
      <c r="R7" s="35">
        <f t="shared" ca="1" si="6"/>
        <v>240.68100000000001</v>
      </c>
      <c r="S7" s="35">
        <f t="shared" ca="1" si="7"/>
        <v>239.41300000000001</v>
      </c>
      <c r="T7" s="35">
        <f t="shared" ca="1" si="8"/>
        <v>239.46100000000001</v>
      </c>
      <c r="U7" s="35">
        <f t="shared" ca="1" si="9"/>
        <v>239.11699999999999</v>
      </c>
      <c r="W7" s="35">
        <f t="shared" ca="1" si="10"/>
        <v>239.59040000000005</v>
      </c>
      <c r="Y7" s="35">
        <f ca="1">Total!E7</f>
        <v>238.86699999999999</v>
      </c>
      <c r="AB7" s="35">
        <f t="shared" ca="1" si="11"/>
        <v>1.5531655691242798E-3</v>
      </c>
      <c r="AC7" s="35">
        <f t="shared" ca="1" si="12"/>
        <v>1.4485048164878517E-3</v>
      </c>
      <c r="AD7" s="35">
        <f t="shared" ca="1" si="13"/>
        <v>1.3480304939568995E-3</v>
      </c>
      <c r="AE7" s="35">
        <f t="shared" ca="1" si="14"/>
        <v>5.9405443196423584E-3</v>
      </c>
      <c r="AF7" s="35">
        <f t="shared" ca="1" si="15"/>
        <v>5.387935545722122E-3</v>
      </c>
      <c r="AG7" s="35">
        <f t="shared" ca="1" si="16"/>
        <v>1.1931325800549955E-3</v>
      </c>
      <c r="AH7" s="35">
        <f t="shared" ca="1" si="17"/>
        <v>7.59418421129759E-3</v>
      </c>
      <c r="AI7" s="35">
        <f t="shared" ca="1" si="18"/>
        <v>2.2857908375791577E-3</v>
      </c>
      <c r="AJ7" s="35">
        <f t="shared" ca="1" si="19"/>
        <v>2.4867394826410621E-3</v>
      </c>
      <c r="AK7" s="35">
        <f t="shared" ca="1" si="20"/>
        <v>1.0466075263640437E-3</v>
      </c>
      <c r="AM7" s="35">
        <f t="shared" ca="1" si="21"/>
        <v>3.0284635382870361E-2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5.2789999999999999</v>
      </c>
      <c r="F8">
        <v>251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5.2759999999999998</v>
      </c>
      <c r="F9">
        <v>255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4318.4880000000003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4314.0978000000005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1.130839366563183E-3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1.130839366563183E-3</v>
      </c>
    </row>
    <row r="10" spans="1:39" x14ac:dyDescent="0.3">
      <c r="A10" t="s">
        <v>17</v>
      </c>
      <c r="B10">
        <v>25</v>
      </c>
      <c r="C10">
        <v>1</v>
      </c>
      <c r="D10">
        <v>28.504000000000001</v>
      </c>
      <c r="E10">
        <v>5.2960000000000003</v>
      </c>
      <c r="F10">
        <v>248</v>
      </c>
      <c r="H10" s="35" t="s">
        <v>19</v>
      </c>
      <c r="I10" s="35">
        <v>100</v>
      </c>
      <c r="J10" s="35">
        <v>1</v>
      </c>
      <c r="L10" s="35">
        <f t="shared" ca="1" si="0"/>
        <v>35243.981</v>
      </c>
      <c r="M10" s="35">
        <f t="shared" ca="1" si="1"/>
        <v>35273.252</v>
      </c>
      <c r="N10" s="35">
        <f t="shared" ca="1" si="2"/>
        <v>35272.862000000001</v>
      </c>
      <c r="O10" s="35">
        <f t="shared" ca="1" si="3"/>
        <v>35225.411999999997</v>
      </c>
      <c r="P10" s="35">
        <f t="shared" ca="1" si="4"/>
        <v>35235.357000000004</v>
      </c>
      <c r="Q10" s="35">
        <f t="shared" ca="1" si="5"/>
        <v>35228.016000000003</v>
      </c>
      <c r="R10" s="35">
        <f t="shared" ca="1" si="6"/>
        <v>35295.983</v>
      </c>
      <c r="S10" s="35">
        <f t="shared" ca="1" si="7"/>
        <v>35237.391000000003</v>
      </c>
      <c r="T10" s="35">
        <f t="shared" ca="1" si="8"/>
        <v>35246.373</v>
      </c>
      <c r="U10" s="35">
        <f t="shared" ca="1" si="9"/>
        <v>35272.862000000001</v>
      </c>
      <c r="W10" s="35">
        <f t="shared" ca="1" si="10"/>
        <v>35253.148900000007</v>
      </c>
      <c r="Y10" s="35">
        <f ca="1">Total!E10</f>
        <v>35210.383000000002</v>
      </c>
      <c r="AB10" s="35">
        <f t="shared" ca="1" si="11"/>
        <v>9.5420717235589669E-4</v>
      </c>
      <c r="AC10" s="35">
        <f t="shared" ca="1" si="12"/>
        <v>1.7855244573738028E-3</v>
      </c>
      <c r="AD10" s="35">
        <f t="shared" ca="1" si="13"/>
        <v>1.7744481791066957E-3</v>
      </c>
      <c r="AE10" s="35">
        <f t="shared" ca="1" si="14"/>
        <v>4.2683432327319452E-4</v>
      </c>
      <c r="AF10" s="35">
        <f t="shared" ca="1" si="15"/>
        <v>7.0927941908504601E-4</v>
      </c>
      <c r="AG10" s="35">
        <f t="shared" ca="1" si="16"/>
        <v>5.007897812415624E-4</v>
      </c>
      <c r="AH10" s="35">
        <f t="shared" ca="1" si="17"/>
        <v>2.4311010760660725E-3</v>
      </c>
      <c r="AI10" s="35">
        <f t="shared" ca="1" si="18"/>
        <v>7.670464703551117E-4</v>
      </c>
      <c r="AJ10" s="35">
        <f t="shared" ca="1" si="19"/>
        <v>1.0221416790609167E-3</v>
      </c>
      <c r="AK10" s="35">
        <f t="shared" ca="1" si="20"/>
        <v>1.7744481791066957E-3</v>
      </c>
      <c r="AM10" s="35">
        <f t="shared" ca="1" si="21"/>
        <v>1.2145820737024995E-2</v>
      </c>
    </row>
    <row r="11" spans="1:39" x14ac:dyDescent="0.3">
      <c r="A11" t="s">
        <v>17</v>
      </c>
      <c r="B11">
        <v>50</v>
      </c>
      <c r="C11">
        <v>1</v>
      </c>
      <c r="D11">
        <v>53.127000000000002</v>
      </c>
      <c r="E11">
        <v>19.605</v>
      </c>
      <c r="F11">
        <v>319</v>
      </c>
      <c r="H11" s="35" t="s">
        <v>20</v>
      </c>
      <c r="I11" s="35">
        <v>30</v>
      </c>
      <c r="J11" s="35">
        <v>1</v>
      </c>
      <c r="L11" s="35">
        <f t="shared" ca="1" si="0"/>
        <v>658.23299999999995</v>
      </c>
      <c r="M11" s="35">
        <f t="shared" ca="1" si="1"/>
        <v>658.23299999999995</v>
      </c>
      <c r="N11" s="35">
        <f t="shared" ca="1" si="2"/>
        <v>657.35599999999999</v>
      </c>
      <c r="O11" s="35">
        <f t="shared" ca="1" si="3"/>
        <v>658.23299999999995</v>
      </c>
      <c r="P11" s="35">
        <f t="shared" ca="1" si="4"/>
        <v>657.35599999999999</v>
      </c>
      <c r="Q11" s="35">
        <f t="shared" ca="1" si="5"/>
        <v>658.23299999999995</v>
      </c>
      <c r="R11" s="35">
        <f t="shared" ca="1" si="6"/>
        <v>658.23299999999995</v>
      </c>
      <c r="S11" s="35">
        <f t="shared" ca="1" si="7"/>
        <v>657.35599999999999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657.79449999999997</v>
      </c>
      <c r="Y11" s="35">
        <f ca="1">Total!E11</f>
        <v>655.46500000000003</v>
      </c>
      <c r="AB11" s="35">
        <f t="shared" ca="1" si="11"/>
        <v>4.2229562219186613E-3</v>
      </c>
      <c r="AC11" s="35">
        <f t="shared" ca="1" si="12"/>
        <v>4.2229562219186613E-3</v>
      </c>
      <c r="AD11" s="35">
        <f t="shared" ca="1" si="13"/>
        <v>2.8849747888902728E-3</v>
      </c>
      <c r="AE11" s="35">
        <f t="shared" ca="1" si="14"/>
        <v>4.2229562219186613E-3</v>
      </c>
      <c r="AF11" s="35">
        <f t="shared" ca="1" si="15"/>
        <v>2.8849747888902728E-3</v>
      </c>
      <c r="AG11" s="35">
        <f t="shared" ca="1" si="16"/>
        <v>4.2229562219186613E-3</v>
      </c>
      <c r="AH11" s="35">
        <f t="shared" ca="1" si="17"/>
        <v>4.2229562219186613E-3</v>
      </c>
      <c r="AI11" s="35">
        <f t="shared" ca="1" si="18"/>
        <v>2.8849747888902728E-3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3.5539655054044661E-2</v>
      </c>
    </row>
    <row r="12" spans="1:39" x14ac:dyDescent="0.3">
      <c r="A12" t="s">
        <v>17</v>
      </c>
      <c r="B12">
        <v>50</v>
      </c>
      <c r="C12">
        <v>1</v>
      </c>
      <c r="D12">
        <v>53.095999999999997</v>
      </c>
      <c r="E12">
        <v>19.596</v>
      </c>
      <c r="F12">
        <v>321</v>
      </c>
      <c r="H12" s="35" t="s">
        <v>20</v>
      </c>
      <c r="I12" s="35">
        <v>50</v>
      </c>
      <c r="J12" s="35">
        <v>1</v>
      </c>
      <c r="L12" s="35">
        <f t="shared" ca="1" si="0"/>
        <v>993.721</v>
      </c>
      <c r="M12" s="35">
        <f t="shared" ca="1" si="1"/>
        <v>991.76499999999999</v>
      </c>
      <c r="N12" s="35">
        <f t="shared" ca="1" si="2"/>
        <v>994.19100000000003</v>
      </c>
      <c r="O12" s="35">
        <f t="shared" ca="1" si="3"/>
        <v>994.27800000000002</v>
      </c>
      <c r="P12" s="35">
        <f t="shared" ca="1" si="4"/>
        <v>1002.903</v>
      </c>
      <c r="Q12" s="35">
        <f t="shared" ca="1" si="5"/>
        <v>997.71299999999997</v>
      </c>
      <c r="R12" s="35">
        <f t="shared" ca="1" si="6"/>
        <v>994.84799999999996</v>
      </c>
      <c r="S12" s="35">
        <f t="shared" ca="1" si="7"/>
        <v>990.98800000000006</v>
      </c>
      <c r="T12" s="35">
        <f t="shared" ca="1" si="8"/>
        <v>992.42100000000005</v>
      </c>
      <c r="U12" s="35">
        <f t="shared" ca="1" si="9"/>
        <v>992.005</v>
      </c>
      <c r="W12" s="35">
        <f t="shared" ca="1" si="10"/>
        <v>994.48329999999987</v>
      </c>
      <c r="Y12" s="35">
        <f ca="1">Total!E12</f>
        <v>990.096</v>
      </c>
      <c r="AB12" s="35">
        <f t="shared" ca="1" si="11"/>
        <v>3.6612611302338357E-3</v>
      </c>
      <c r="AC12" s="35">
        <f t="shared" ca="1" si="12"/>
        <v>1.6856951245131611E-3</v>
      </c>
      <c r="AD12" s="35">
        <f t="shared" ca="1" si="13"/>
        <v>4.1359625733262502E-3</v>
      </c>
      <c r="AE12" s="35">
        <f t="shared" ca="1" si="14"/>
        <v>4.2238328404518516E-3</v>
      </c>
      <c r="AF12" s="35">
        <f t="shared" ca="1" si="15"/>
        <v>1.2935109322732358E-2</v>
      </c>
      <c r="AG12" s="35">
        <f t="shared" ca="1" si="16"/>
        <v>7.6931933873078586E-3</v>
      </c>
      <c r="AH12" s="35">
        <f t="shared" ca="1" si="17"/>
        <v>4.799534590585108E-3</v>
      </c>
      <c r="AI12" s="35">
        <f t="shared" ca="1" si="18"/>
        <v>9.0092273880517922E-4</v>
      </c>
      <c r="AJ12" s="35">
        <f t="shared" ca="1" si="19"/>
        <v>2.3482571387017474E-3</v>
      </c>
      <c r="AK12" s="35">
        <f t="shared" ca="1" si="20"/>
        <v>1.9280958614114104E-3</v>
      </c>
      <c r="AM12" s="35">
        <f t="shared" ca="1" si="21"/>
        <v>4.431186470806877E-2</v>
      </c>
    </row>
    <row r="13" spans="1:39" x14ac:dyDescent="0.3">
      <c r="A13" t="s">
        <v>17</v>
      </c>
      <c r="B13">
        <v>50</v>
      </c>
      <c r="C13">
        <v>1</v>
      </c>
      <c r="D13">
        <v>53.076999999999998</v>
      </c>
      <c r="E13">
        <v>19.584</v>
      </c>
      <c r="F13">
        <v>326</v>
      </c>
      <c r="H13" s="35" t="s">
        <v>20</v>
      </c>
      <c r="I13" s="35">
        <v>100</v>
      </c>
      <c r="J13" s="35">
        <v>1</v>
      </c>
      <c r="L13" s="35">
        <f t="shared" ca="1" si="0"/>
        <v>1757.87</v>
      </c>
      <c r="M13" s="35">
        <f t="shared" ca="1" si="1"/>
        <v>1755.94</v>
      </c>
      <c r="N13" s="35">
        <f t="shared" ca="1" si="2"/>
        <v>1756.94</v>
      </c>
      <c r="O13" s="35">
        <f t="shared" ca="1" si="3"/>
        <v>1754.963</v>
      </c>
      <c r="P13" s="35">
        <f t="shared" ca="1" si="4"/>
        <v>1757.7349999999999</v>
      </c>
      <c r="Q13" s="35">
        <f t="shared" ca="1" si="5"/>
        <v>1757.537</v>
      </c>
      <c r="R13" s="35">
        <f t="shared" ca="1" si="6"/>
        <v>1755.127</v>
      </c>
      <c r="S13" s="35">
        <f t="shared" ca="1" si="7"/>
        <v>1755.1120000000001</v>
      </c>
      <c r="T13" s="35">
        <f t="shared" ca="1" si="8"/>
        <v>1756.9870000000001</v>
      </c>
      <c r="U13" s="35">
        <f t="shared" ca="1" si="9"/>
        <v>1755.825</v>
      </c>
      <c r="W13" s="35">
        <f t="shared" ca="1" si="10"/>
        <v>1756.4036000000003</v>
      </c>
      <c r="Y13" s="35">
        <f ca="1">Total!E13</f>
        <v>1753.79</v>
      </c>
      <c r="AB13" s="35">
        <f t="shared" ca="1" si="11"/>
        <v>2.3263902747763E-3</v>
      </c>
      <c r="AC13" s="35">
        <f t="shared" ca="1" si="12"/>
        <v>1.2259164438160161E-3</v>
      </c>
      <c r="AD13" s="35">
        <f t="shared" ca="1" si="13"/>
        <v>1.7961101386141391E-3</v>
      </c>
      <c r="AE13" s="35">
        <f t="shared" ca="1" si="14"/>
        <v>6.6883720399819923E-4</v>
      </c>
      <c r="AF13" s="35">
        <f t="shared" ca="1" si="15"/>
        <v>2.2494141259785587E-3</v>
      </c>
      <c r="AG13" s="35">
        <f t="shared" ca="1" si="16"/>
        <v>2.136515774408607E-3</v>
      </c>
      <c r="AH13" s="35">
        <f t="shared" ca="1" si="17"/>
        <v>7.6234896994508414E-4</v>
      </c>
      <c r="AI13" s="35">
        <f t="shared" ca="1" si="18"/>
        <v>7.5379606452318491E-4</v>
      </c>
      <c r="AJ13" s="35">
        <f t="shared" ca="1" si="19"/>
        <v>1.8229092422696654E-3</v>
      </c>
      <c r="AK13" s="35">
        <f t="shared" ca="1" si="20"/>
        <v>1.1603441689142268E-3</v>
      </c>
      <c r="AM13" s="35">
        <f t="shared" ca="1" si="21"/>
        <v>1.4902582407243981E-2</v>
      </c>
    </row>
    <row r="14" spans="1:39" x14ac:dyDescent="0.3">
      <c r="A14" t="s">
        <v>17</v>
      </c>
      <c r="B14">
        <v>50</v>
      </c>
      <c r="C14">
        <v>1</v>
      </c>
      <c r="D14">
        <v>53.116999999999997</v>
      </c>
      <c r="E14">
        <v>19.553000000000001</v>
      </c>
      <c r="F14">
        <v>326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53.036999999999999</v>
      </c>
      <c r="E15">
        <v>19.556999999999999</v>
      </c>
      <c r="F15">
        <v>405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76.787000000000006</v>
      </c>
      <c r="M15" s="35">
        <f t="shared" ca="1" si="1"/>
        <v>76.272999999999996</v>
      </c>
      <c r="N15" s="35">
        <f t="shared" ca="1" si="1"/>
        <v>76.272999999999996</v>
      </c>
      <c r="O15" s="35">
        <f t="shared" ca="1" si="1"/>
        <v>76.266999999999996</v>
      </c>
      <c r="P15" s="35">
        <f t="shared" ca="1" si="1"/>
        <v>76.653000000000006</v>
      </c>
      <c r="Q15" s="35">
        <f t="shared" ca="1" si="1"/>
        <v>76.561000000000007</v>
      </c>
      <c r="R15" s="35">
        <f t="shared" ca="1" si="1"/>
        <v>76.787999999999997</v>
      </c>
      <c r="S15" s="35">
        <f t="shared" ca="1" si="1"/>
        <v>76.399000000000001</v>
      </c>
      <c r="T15" s="35">
        <f t="shared" ca="1" si="1"/>
        <v>76.766999999999996</v>
      </c>
      <c r="U15" s="35">
        <f t="shared" ca="1" si="1"/>
        <v>76.162999999999997</v>
      </c>
      <c r="W15" s="35">
        <f t="shared" ca="1" si="10"/>
        <v>76.493099999999998</v>
      </c>
      <c r="Y15" s="35">
        <f ca="1">Total!E15</f>
        <v>75.998000000000005</v>
      </c>
      <c r="AB15" s="35">
        <f t="shared" ca="1" si="11"/>
        <v>1.0381852154004072E-2</v>
      </c>
      <c r="AC15" s="35">
        <f t="shared" ca="1" si="12"/>
        <v>3.6185162767440123E-3</v>
      </c>
      <c r="AD15" s="35">
        <f t="shared" ca="1" si="13"/>
        <v>3.6185162767440123E-3</v>
      </c>
      <c r="AE15" s="35">
        <f t="shared" ca="1" si="14"/>
        <v>3.5395668307059559E-3</v>
      </c>
      <c r="AF15" s="35">
        <f t="shared" ca="1" si="15"/>
        <v>8.6186478591542028E-3</v>
      </c>
      <c r="AG15" s="35">
        <f t="shared" ca="1" si="16"/>
        <v>7.4080896865707305E-3</v>
      </c>
      <c r="AH15" s="35">
        <f t="shared" ca="1" si="17"/>
        <v>1.039501039501029E-2</v>
      </c>
      <c r="AI15" s="35">
        <f t="shared" ca="1" si="18"/>
        <v>5.2764546435432012E-3</v>
      </c>
      <c r="AJ15" s="35">
        <f t="shared" ca="1" si="19"/>
        <v>1.0118687333877092E-2</v>
      </c>
      <c r="AK15" s="35">
        <f t="shared" ca="1" si="20"/>
        <v>2.1711097660463701E-3</v>
      </c>
      <c r="AM15" s="35">
        <f t="shared" ca="1" si="21"/>
        <v>6.514645122239994E-2</v>
      </c>
    </row>
    <row r="16" spans="1:39" x14ac:dyDescent="0.3">
      <c r="A16" t="s">
        <v>17</v>
      </c>
      <c r="B16">
        <v>50</v>
      </c>
      <c r="C16">
        <v>1</v>
      </c>
      <c r="D16">
        <v>52.927999999999997</v>
      </c>
      <c r="E16">
        <v>19.59</v>
      </c>
      <c r="F16">
        <v>429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119.32299999999999</v>
      </c>
      <c r="M16" s="35">
        <f t="shared" ca="1" si="1"/>
        <v>119.405</v>
      </c>
      <c r="N16" s="35">
        <f t="shared" ca="1" si="1"/>
        <v>118.94499999999999</v>
      </c>
      <c r="O16" s="35">
        <f t="shared" ca="1" si="1"/>
        <v>118.845</v>
      </c>
      <c r="P16" s="35">
        <f t="shared" ca="1" si="1"/>
        <v>118.617</v>
      </c>
      <c r="Q16" s="35">
        <f t="shared" ca="1" si="1"/>
        <v>118.88200000000001</v>
      </c>
      <c r="R16" s="35">
        <f t="shared" ca="1" si="1"/>
        <v>119.116</v>
      </c>
      <c r="S16" s="35">
        <f t="shared" ca="1" si="1"/>
        <v>118.97</v>
      </c>
      <c r="T16" s="35">
        <f t="shared" ca="1" si="1"/>
        <v>118.751</v>
      </c>
      <c r="U16" s="35">
        <f t="shared" ca="1" si="1"/>
        <v>119.151</v>
      </c>
      <c r="W16" s="35">
        <f t="shared" ca="1" si="10"/>
        <v>119.00050000000002</v>
      </c>
      <c r="Y16" s="35">
        <f ca="1">Total!E16</f>
        <v>118.01</v>
      </c>
      <c r="AB16" s="35">
        <f t="shared" ca="1" si="11"/>
        <v>1.1126175747817881E-2</v>
      </c>
      <c r="AC16" s="35">
        <f t="shared" ca="1" si="12"/>
        <v>1.1821032115922345E-2</v>
      </c>
      <c r="AD16" s="35">
        <f t="shared" ca="1" si="13"/>
        <v>7.9230573680195582E-3</v>
      </c>
      <c r="AE16" s="35">
        <f t="shared" ca="1" si="14"/>
        <v>7.0756715532581454E-3</v>
      </c>
      <c r="AF16" s="35">
        <f t="shared" ca="1" si="15"/>
        <v>5.1436318956020613E-3</v>
      </c>
      <c r="AG16" s="35">
        <f t="shared" ca="1" si="16"/>
        <v>7.3892043047199376E-3</v>
      </c>
      <c r="AH16" s="35">
        <f t="shared" ca="1" si="17"/>
        <v>9.3720871112617111E-3</v>
      </c>
      <c r="AI16" s="35">
        <f t="shared" ca="1" si="18"/>
        <v>8.1349038217099715E-3</v>
      </c>
      <c r="AJ16" s="35">
        <f t="shared" ca="1" si="19"/>
        <v>6.279128887382422E-3</v>
      </c>
      <c r="AK16" s="35">
        <f t="shared" ca="1" si="20"/>
        <v>9.6686721464281939E-3</v>
      </c>
      <c r="AM16" s="35">
        <f t="shared" ca="1" si="21"/>
        <v>8.393356495212223E-2</v>
      </c>
    </row>
    <row r="17" spans="1:39" x14ac:dyDescent="0.3">
      <c r="A17" t="s">
        <v>17</v>
      </c>
      <c r="B17">
        <v>50</v>
      </c>
      <c r="C17">
        <v>1</v>
      </c>
      <c r="D17">
        <v>53.118000000000002</v>
      </c>
      <c r="E17">
        <v>19.545999999999999</v>
      </c>
      <c r="F17">
        <v>375</v>
      </c>
      <c r="H17" s="35" t="s">
        <v>34</v>
      </c>
      <c r="I17" s="35">
        <v>40</v>
      </c>
      <c r="J17" s="35">
        <v>1</v>
      </c>
      <c r="L17" s="35">
        <f t="shared" ca="1" si="22"/>
        <v>16.616</v>
      </c>
      <c r="M17" s="35">
        <f t="shared" ca="1" si="1"/>
        <v>16.616</v>
      </c>
      <c r="N17" s="35">
        <f t="shared" ca="1" si="1"/>
        <v>16.745999999999999</v>
      </c>
      <c r="O17" s="35">
        <f t="shared" ca="1" si="1"/>
        <v>16.75</v>
      </c>
      <c r="P17" s="35">
        <f t="shared" ca="1" si="1"/>
        <v>16.66</v>
      </c>
      <c r="Q17" s="35">
        <f t="shared" ca="1" si="1"/>
        <v>16.66</v>
      </c>
      <c r="R17" s="35">
        <f t="shared" ca="1" si="1"/>
        <v>16.515000000000001</v>
      </c>
      <c r="S17" s="35">
        <f t="shared" ca="1" si="1"/>
        <v>16.811</v>
      </c>
      <c r="T17" s="35">
        <f t="shared" ca="1" si="1"/>
        <v>16.75</v>
      </c>
      <c r="U17" s="35">
        <f t="shared" ca="1" si="1"/>
        <v>16.667999999999999</v>
      </c>
      <c r="W17" s="35">
        <f t="shared" ca="1" si="10"/>
        <v>16.679200000000002</v>
      </c>
      <c r="Y17" s="35">
        <f ca="1">Total!E17</f>
        <v>16.481999999999999</v>
      </c>
      <c r="AB17" s="35">
        <f t="shared" ca="1" si="11"/>
        <v>8.1300813008130298E-3</v>
      </c>
      <c r="AC17" s="35">
        <f t="shared" ca="1" si="12"/>
        <v>8.1300813008130298E-3</v>
      </c>
      <c r="AD17" s="35">
        <f t="shared" ca="1" si="13"/>
        <v>1.6017473607571858E-2</v>
      </c>
      <c r="AE17" s="35">
        <f t="shared" ca="1" si="14"/>
        <v>1.626016260162606E-2</v>
      </c>
      <c r="AF17" s="35">
        <f t="shared" ca="1" si="15"/>
        <v>1.0799660235408374E-2</v>
      </c>
      <c r="AG17" s="35">
        <f t="shared" ca="1" si="16"/>
        <v>1.0799660235408374E-2</v>
      </c>
      <c r="AH17" s="35">
        <f t="shared" ca="1" si="17"/>
        <v>2.0021842009465629E-3</v>
      </c>
      <c r="AI17" s="35">
        <f t="shared" ca="1" si="18"/>
        <v>1.9961169760951379E-2</v>
      </c>
      <c r="AJ17" s="35">
        <f t="shared" ca="1" si="19"/>
        <v>1.626016260162606E-2</v>
      </c>
      <c r="AK17" s="35">
        <f t="shared" ca="1" si="20"/>
        <v>1.128503822351656E-2</v>
      </c>
      <c r="AM17" s="35">
        <f t="shared" ca="1" si="21"/>
        <v>0.1196456740686813</v>
      </c>
    </row>
    <row r="18" spans="1:39" x14ac:dyDescent="0.3">
      <c r="A18" t="s">
        <v>17</v>
      </c>
      <c r="B18">
        <v>50</v>
      </c>
      <c r="C18">
        <v>1</v>
      </c>
      <c r="D18">
        <v>52.987000000000002</v>
      </c>
      <c r="E18">
        <v>19.545999999999999</v>
      </c>
      <c r="F18">
        <v>319</v>
      </c>
      <c r="H18" s="35" t="s">
        <v>34</v>
      </c>
      <c r="I18" s="35">
        <v>96</v>
      </c>
      <c r="J18" s="35">
        <v>1</v>
      </c>
      <c r="L18" s="35">
        <f t="shared" ca="1" si="22"/>
        <v>35.197000000000003</v>
      </c>
      <c r="M18" s="35">
        <f t="shared" ca="1" si="22"/>
        <v>35.186999999999998</v>
      </c>
      <c r="N18" s="35">
        <f t="shared" ca="1" si="22"/>
        <v>35.139000000000003</v>
      </c>
      <c r="O18" s="35">
        <f t="shared" ca="1" si="22"/>
        <v>35.127000000000002</v>
      </c>
      <c r="P18" s="35">
        <f t="shared" ca="1" si="22"/>
        <v>35.103000000000002</v>
      </c>
      <c r="Q18" s="35">
        <f t="shared" ca="1" si="22"/>
        <v>35.17</v>
      </c>
      <c r="R18" s="35">
        <f t="shared" ca="1" si="22"/>
        <v>35.097000000000001</v>
      </c>
      <c r="S18" s="35">
        <f t="shared" ca="1" si="22"/>
        <v>35.234999999999999</v>
      </c>
      <c r="T18" s="35">
        <f t="shared" ca="1" si="22"/>
        <v>35.146000000000001</v>
      </c>
      <c r="U18" s="35">
        <f t="shared" ca="1" si="22"/>
        <v>35.084000000000003</v>
      </c>
      <c r="W18" s="35">
        <f t="shared" ca="1" si="10"/>
        <v>35.148499999999999</v>
      </c>
      <c r="Y18" s="35">
        <f ca="1">Total!E18</f>
        <v>35.069000000000003</v>
      </c>
      <c r="AB18" s="35">
        <f t="shared" ca="1" si="11"/>
        <v>3.6499472468562006E-3</v>
      </c>
      <c r="AC18" s="35">
        <f t="shared" ca="1" si="12"/>
        <v>3.3647951181954142E-3</v>
      </c>
      <c r="AD18" s="35">
        <f t="shared" ca="1" si="13"/>
        <v>1.9960649006244913E-3</v>
      </c>
      <c r="AE18" s="35">
        <f t="shared" ca="1" si="14"/>
        <v>1.6538823462317097E-3</v>
      </c>
      <c r="AF18" s="35">
        <f t="shared" ca="1" si="15"/>
        <v>9.6951723744614666E-4</v>
      </c>
      <c r="AG18" s="35">
        <f t="shared" ca="1" si="16"/>
        <v>2.8800364994724425E-3</v>
      </c>
      <c r="AH18" s="35">
        <f t="shared" ca="1" si="17"/>
        <v>7.9842596024975597E-4</v>
      </c>
      <c r="AI18" s="35">
        <f t="shared" ca="1" si="18"/>
        <v>4.7335253357665402E-3</v>
      </c>
      <c r="AJ18" s="35">
        <f t="shared" ca="1" si="19"/>
        <v>2.1956713906868793E-3</v>
      </c>
      <c r="AK18" s="35">
        <f t="shared" ca="1" si="20"/>
        <v>4.2772819299097687E-4</v>
      </c>
      <c r="AM18" s="35">
        <f t="shared" ca="1" si="21"/>
        <v>2.2669594228520558E-2</v>
      </c>
    </row>
    <row r="19" spans="1:39" x14ac:dyDescent="0.3">
      <c r="A19" t="s">
        <v>17</v>
      </c>
      <c r="B19">
        <v>50</v>
      </c>
      <c r="C19">
        <v>1</v>
      </c>
      <c r="D19">
        <v>53.076999999999998</v>
      </c>
      <c r="E19">
        <v>19.596</v>
      </c>
      <c r="F19">
        <v>330</v>
      </c>
      <c r="H19" s="35" t="s">
        <v>34</v>
      </c>
      <c r="I19" s="35">
        <v>224</v>
      </c>
      <c r="J19" s="35">
        <v>1</v>
      </c>
      <c r="L19" s="35">
        <f t="shared" ca="1" si="22"/>
        <v>71.92</v>
      </c>
      <c r="M19" s="35">
        <f t="shared" ca="1" si="22"/>
        <v>72</v>
      </c>
      <c r="N19" s="35">
        <f t="shared" ca="1" si="22"/>
        <v>71.945999999999998</v>
      </c>
      <c r="O19" s="35">
        <f t="shared" ca="1" si="22"/>
        <v>71.930999999999997</v>
      </c>
      <c r="P19" s="35">
        <f t="shared" ca="1" si="22"/>
        <v>71.915000000000006</v>
      </c>
      <c r="Q19" s="35">
        <f t="shared" ca="1" si="22"/>
        <v>71.978999999999999</v>
      </c>
      <c r="R19" s="35">
        <f t="shared" ca="1" si="22"/>
        <v>72.004999999999995</v>
      </c>
      <c r="S19" s="35">
        <f t="shared" ca="1" si="22"/>
        <v>71.959000000000003</v>
      </c>
      <c r="T19" s="35">
        <f t="shared" ca="1" si="22"/>
        <v>71.92</v>
      </c>
      <c r="U19" s="35">
        <f t="shared" ca="1" si="22"/>
        <v>71.930000000000007</v>
      </c>
      <c r="W19" s="35">
        <f t="shared" ca="1" si="10"/>
        <v>71.950499999999991</v>
      </c>
      <c r="Y19" s="35">
        <f ca="1">Total!E19</f>
        <v>71.908000000000001</v>
      </c>
      <c r="AB19" s="35">
        <f t="shared" ca="1" si="11"/>
        <v>1.6687990209713043E-4</v>
      </c>
      <c r="AC19" s="35">
        <f t="shared" ca="1" si="12"/>
        <v>1.2794125827446008E-3</v>
      </c>
      <c r="AD19" s="35">
        <f t="shared" ca="1" si="13"/>
        <v>5.2845302330751381E-4</v>
      </c>
      <c r="AE19" s="35">
        <f t="shared" ca="1" si="14"/>
        <v>3.1985314568610076E-4</v>
      </c>
      <c r="AF19" s="35">
        <f t="shared" ca="1" si="15"/>
        <v>9.7346609556725285E-5</v>
      </c>
      <c r="AG19" s="35">
        <f t="shared" ca="1" si="16"/>
        <v>9.8737275407462244E-4</v>
      </c>
      <c r="AH19" s="35">
        <f t="shared" ca="1" si="17"/>
        <v>1.3489458752850058E-3</v>
      </c>
      <c r="AI19" s="35">
        <f t="shared" ca="1" si="18"/>
        <v>7.0923958391280436E-4</v>
      </c>
      <c r="AJ19" s="35">
        <f t="shared" ca="1" si="19"/>
        <v>1.6687990209713043E-4</v>
      </c>
      <c r="AK19" s="35">
        <f t="shared" ca="1" si="20"/>
        <v>3.059464871781383E-4</v>
      </c>
      <c r="AM19" s="35">
        <f t="shared" ca="1" si="21"/>
        <v>5.9103298659397719E-3</v>
      </c>
    </row>
    <row r="20" spans="1:39" x14ac:dyDescent="0.3">
      <c r="A20" t="s">
        <v>17</v>
      </c>
      <c r="B20">
        <v>50</v>
      </c>
      <c r="C20">
        <v>1</v>
      </c>
      <c r="D20">
        <v>52.987000000000002</v>
      </c>
      <c r="E20">
        <v>19.57</v>
      </c>
      <c r="F20">
        <v>310</v>
      </c>
    </row>
    <row r="21" spans="1:39" x14ac:dyDescent="0.3">
      <c r="A21" t="s">
        <v>17</v>
      </c>
      <c r="B21">
        <v>100</v>
      </c>
      <c r="C21">
        <v>1</v>
      </c>
      <c r="D21">
        <v>103.008</v>
      </c>
      <c r="E21">
        <v>102.029</v>
      </c>
      <c r="F21">
        <v>534</v>
      </c>
    </row>
    <row r="22" spans="1:39" x14ac:dyDescent="0.3">
      <c r="A22" t="s">
        <v>17</v>
      </c>
      <c r="B22">
        <v>100</v>
      </c>
      <c r="C22">
        <v>1</v>
      </c>
      <c r="D22">
        <v>103.289</v>
      </c>
      <c r="E22">
        <v>102.113</v>
      </c>
      <c r="F22">
        <v>556</v>
      </c>
    </row>
    <row r="23" spans="1:39" x14ac:dyDescent="0.3">
      <c r="A23" t="s">
        <v>17</v>
      </c>
      <c r="B23">
        <v>100</v>
      </c>
      <c r="C23">
        <v>1</v>
      </c>
      <c r="D23">
        <v>103.255</v>
      </c>
      <c r="E23">
        <v>102.14100000000001</v>
      </c>
      <c r="F23">
        <v>515</v>
      </c>
    </row>
    <row r="24" spans="1:39" x14ac:dyDescent="0.3">
      <c r="A24" t="s">
        <v>17</v>
      </c>
      <c r="B24">
        <v>100</v>
      </c>
      <c r="C24">
        <v>1</v>
      </c>
      <c r="D24">
        <v>103.048</v>
      </c>
      <c r="E24">
        <v>102.179</v>
      </c>
      <c r="F24">
        <v>543</v>
      </c>
    </row>
    <row r="25" spans="1:39" x14ac:dyDescent="0.3">
      <c r="A25" t="s">
        <v>17</v>
      </c>
      <c r="B25">
        <v>100</v>
      </c>
      <c r="C25">
        <v>1</v>
      </c>
      <c r="D25">
        <v>103.277</v>
      </c>
      <c r="E25">
        <v>102.078</v>
      </c>
      <c r="F25">
        <v>544</v>
      </c>
    </row>
    <row r="26" spans="1:39" x14ac:dyDescent="0.3">
      <c r="A26" t="s">
        <v>17</v>
      </c>
      <c r="B26">
        <v>100</v>
      </c>
      <c r="C26">
        <v>1</v>
      </c>
      <c r="D26">
        <v>103.25700000000001</v>
      </c>
      <c r="E26">
        <v>102.02200000000001</v>
      </c>
      <c r="F26">
        <v>517</v>
      </c>
    </row>
    <row r="27" spans="1:39" x14ac:dyDescent="0.3">
      <c r="A27" t="s">
        <v>17</v>
      </c>
      <c r="B27">
        <v>100</v>
      </c>
      <c r="C27">
        <v>1</v>
      </c>
      <c r="D27">
        <v>103.26300000000001</v>
      </c>
      <c r="E27">
        <v>102.05</v>
      </c>
      <c r="F27">
        <v>553</v>
      </c>
    </row>
    <row r="28" spans="1:39" x14ac:dyDescent="0.3">
      <c r="A28" t="s">
        <v>17</v>
      </c>
      <c r="B28">
        <v>100</v>
      </c>
      <c r="C28">
        <v>1</v>
      </c>
      <c r="D28">
        <v>103.273</v>
      </c>
      <c r="E28">
        <v>102.14400000000001</v>
      </c>
      <c r="F28">
        <v>514</v>
      </c>
    </row>
    <row r="29" spans="1:39" x14ac:dyDescent="0.3">
      <c r="A29" t="s">
        <v>17</v>
      </c>
      <c r="B29">
        <v>100</v>
      </c>
      <c r="C29">
        <v>1</v>
      </c>
      <c r="D29">
        <v>103.28100000000001</v>
      </c>
      <c r="E29">
        <v>102.173</v>
      </c>
      <c r="F29">
        <v>556</v>
      </c>
    </row>
    <row r="30" spans="1:39" x14ac:dyDescent="0.3">
      <c r="A30" t="s">
        <v>17</v>
      </c>
      <c r="B30">
        <v>100</v>
      </c>
      <c r="C30">
        <v>1</v>
      </c>
      <c r="D30">
        <v>103.23699999999999</v>
      </c>
      <c r="E30">
        <v>102.11</v>
      </c>
      <c r="F30">
        <v>546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8.0299999999999994</v>
      </c>
      <c r="F31">
        <v>298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8.0180000000000007</v>
      </c>
      <c r="F32">
        <v>288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8.0180000000000007</v>
      </c>
      <c r="F33">
        <v>272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8.0090000000000003</v>
      </c>
      <c r="F34">
        <v>311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</v>
      </c>
      <c r="F35">
        <v>310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8.0050000000000008</v>
      </c>
      <c r="F36">
        <v>349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8.016</v>
      </c>
      <c r="F37">
        <v>300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8.0139999999999993</v>
      </c>
      <c r="F38">
        <v>279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8.0030000000000001</v>
      </c>
      <c r="F39">
        <v>286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8.016</v>
      </c>
      <c r="F40">
        <v>264</v>
      </c>
    </row>
    <row r="41" spans="1:6" x14ac:dyDescent="0.3">
      <c r="A41" t="s">
        <v>18</v>
      </c>
      <c r="B41">
        <v>50</v>
      </c>
      <c r="C41">
        <v>1</v>
      </c>
      <c r="D41">
        <v>180.333</v>
      </c>
      <c r="E41">
        <v>22.463000000000001</v>
      </c>
      <c r="F41">
        <v>333</v>
      </c>
    </row>
    <row r="42" spans="1:6" x14ac:dyDescent="0.3">
      <c r="A42" t="s">
        <v>18</v>
      </c>
      <c r="B42">
        <v>50</v>
      </c>
      <c r="C42">
        <v>1</v>
      </c>
      <c r="D42">
        <v>179.93799999999999</v>
      </c>
      <c r="E42">
        <v>22.422000000000001</v>
      </c>
      <c r="F42">
        <v>333</v>
      </c>
    </row>
    <row r="43" spans="1:6" x14ac:dyDescent="0.3">
      <c r="A43" t="s">
        <v>18</v>
      </c>
      <c r="B43">
        <v>50</v>
      </c>
      <c r="C43">
        <v>1</v>
      </c>
      <c r="D43">
        <v>180.62100000000001</v>
      </c>
      <c r="E43">
        <v>22.401</v>
      </c>
      <c r="F43">
        <v>328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22.44</v>
      </c>
      <c r="F44">
        <v>327</v>
      </c>
    </row>
    <row r="45" spans="1:6" x14ac:dyDescent="0.3">
      <c r="A45" t="s">
        <v>18</v>
      </c>
      <c r="B45">
        <v>50</v>
      </c>
      <c r="C45">
        <v>1</v>
      </c>
      <c r="D45">
        <v>179.673</v>
      </c>
      <c r="E45">
        <v>22.414999999999999</v>
      </c>
      <c r="F45">
        <v>361</v>
      </c>
    </row>
    <row r="46" spans="1:6" x14ac:dyDescent="0.3">
      <c r="A46" t="s">
        <v>18</v>
      </c>
      <c r="B46">
        <v>50</v>
      </c>
      <c r="C46">
        <v>1</v>
      </c>
      <c r="D46">
        <v>179.93799999999999</v>
      </c>
      <c r="E46">
        <v>22.425000000000001</v>
      </c>
      <c r="F46">
        <v>455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22.411999999999999</v>
      </c>
      <c r="F47">
        <v>467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22.417000000000002</v>
      </c>
      <c r="F48">
        <v>445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22.414000000000001</v>
      </c>
      <c r="F49">
        <v>464</v>
      </c>
    </row>
    <row r="50" spans="1:6" x14ac:dyDescent="0.3">
      <c r="A50" t="s">
        <v>18</v>
      </c>
      <c r="B50">
        <v>50</v>
      </c>
      <c r="C50">
        <v>1</v>
      </c>
      <c r="D50">
        <v>180.87100000000001</v>
      </c>
      <c r="E50">
        <v>22.411999999999999</v>
      </c>
      <c r="F50">
        <v>411</v>
      </c>
    </row>
    <row r="51" spans="1:6" x14ac:dyDescent="0.3">
      <c r="A51" t="s">
        <v>18</v>
      </c>
      <c r="B51">
        <v>100</v>
      </c>
      <c r="C51">
        <v>1</v>
      </c>
      <c r="D51">
        <v>239.238</v>
      </c>
      <c r="E51">
        <v>138.625</v>
      </c>
      <c r="F51">
        <v>591</v>
      </c>
    </row>
    <row r="52" spans="1:6" x14ac:dyDescent="0.3">
      <c r="A52" t="s">
        <v>18</v>
      </c>
      <c r="B52">
        <v>100</v>
      </c>
      <c r="C52">
        <v>1</v>
      </c>
      <c r="D52">
        <v>239.21299999999999</v>
      </c>
      <c r="E52">
        <v>138.459</v>
      </c>
      <c r="F52">
        <v>591</v>
      </c>
    </row>
    <row r="53" spans="1:6" x14ac:dyDescent="0.3">
      <c r="A53" t="s">
        <v>18</v>
      </c>
      <c r="B53">
        <v>100</v>
      </c>
      <c r="C53">
        <v>1</v>
      </c>
      <c r="D53">
        <v>239.18899999999999</v>
      </c>
      <c r="E53">
        <v>138.56100000000001</v>
      </c>
      <c r="F53">
        <v>654</v>
      </c>
    </row>
    <row r="54" spans="1:6" x14ac:dyDescent="0.3">
      <c r="A54" t="s">
        <v>18</v>
      </c>
      <c r="B54">
        <v>100</v>
      </c>
      <c r="C54">
        <v>1</v>
      </c>
      <c r="D54">
        <v>240.286</v>
      </c>
      <c r="E54">
        <v>138.464</v>
      </c>
      <c r="F54">
        <v>694</v>
      </c>
    </row>
    <row r="55" spans="1:6" x14ac:dyDescent="0.3">
      <c r="A55" t="s">
        <v>18</v>
      </c>
      <c r="B55">
        <v>100</v>
      </c>
      <c r="C55">
        <v>1</v>
      </c>
      <c r="D55">
        <v>240.154</v>
      </c>
      <c r="E55">
        <v>138.482</v>
      </c>
      <c r="F55">
        <v>623</v>
      </c>
    </row>
    <row r="56" spans="1:6" x14ac:dyDescent="0.3">
      <c r="A56" t="s">
        <v>18</v>
      </c>
      <c r="B56">
        <v>100</v>
      </c>
      <c r="C56">
        <v>1</v>
      </c>
      <c r="D56">
        <v>239.15199999999999</v>
      </c>
      <c r="E56">
        <v>138.523</v>
      </c>
      <c r="F56">
        <v>592</v>
      </c>
    </row>
    <row r="57" spans="1:6" x14ac:dyDescent="0.3">
      <c r="A57" t="s">
        <v>18</v>
      </c>
      <c r="B57">
        <v>100</v>
      </c>
      <c r="C57">
        <v>1</v>
      </c>
      <c r="D57">
        <v>240.68100000000001</v>
      </c>
      <c r="E57">
        <v>138.47399999999999</v>
      </c>
      <c r="F57">
        <v>589</v>
      </c>
    </row>
    <row r="58" spans="1:6" x14ac:dyDescent="0.3">
      <c r="A58" t="s">
        <v>18</v>
      </c>
      <c r="B58">
        <v>100</v>
      </c>
      <c r="C58">
        <v>1</v>
      </c>
      <c r="D58">
        <v>239.41300000000001</v>
      </c>
      <c r="E58">
        <v>138.50200000000001</v>
      </c>
      <c r="F58">
        <v>593</v>
      </c>
    </row>
    <row r="59" spans="1:6" x14ac:dyDescent="0.3">
      <c r="A59" t="s">
        <v>18</v>
      </c>
      <c r="B59">
        <v>100</v>
      </c>
      <c r="C59">
        <v>1</v>
      </c>
      <c r="D59">
        <v>239.46100000000001</v>
      </c>
      <c r="E59">
        <v>138.63399999999999</v>
      </c>
      <c r="F59">
        <v>603</v>
      </c>
    </row>
    <row r="60" spans="1:6" x14ac:dyDescent="0.3">
      <c r="A60" t="s">
        <v>18</v>
      </c>
      <c r="B60">
        <v>100</v>
      </c>
      <c r="C60">
        <v>1</v>
      </c>
      <c r="D60">
        <v>239.11699999999999</v>
      </c>
      <c r="E60">
        <v>138.46</v>
      </c>
      <c r="F60">
        <v>663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4.3179999999999996</v>
      </c>
      <c r="F61">
        <v>207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4.319</v>
      </c>
      <c r="F62">
        <v>216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4.3129999999999997</v>
      </c>
      <c r="F63">
        <v>211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4.3239999999999998</v>
      </c>
      <c r="F64">
        <v>265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4.3109999999999999</v>
      </c>
      <c r="F65">
        <v>250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4.3179999999999996</v>
      </c>
      <c r="F66">
        <v>249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4.32</v>
      </c>
      <c r="F67">
        <v>233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4.319</v>
      </c>
      <c r="F68">
        <v>270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4.3259999999999996</v>
      </c>
      <c r="F69">
        <v>260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4.3259999999999996</v>
      </c>
      <c r="F70">
        <v>219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13.222</v>
      </c>
      <c r="F71">
        <v>248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13.202999999999999</v>
      </c>
      <c r="F72">
        <v>238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13.198</v>
      </c>
      <c r="F73">
        <v>260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13.196</v>
      </c>
      <c r="F74">
        <v>249</v>
      </c>
    </row>
    <row r="75" spans="1:6" x14ac:dyDescent="0.3">
      <c r="A75" t="s">
        <v>19</v>
      </c>
      <c r="B75">
        <v>47</v>
      </c>
      <c r="C75">
        <v>1</v>
      </c>
      <c r="D75">
        <v>4318.4880000000003</v>
      </c>
      <c r="E75">
        <v>13.199</v>
      </c>
      <c r="F75">
        <v>260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13.192</v>
      </c>
      <c r="F76">
        <v>264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13.194000000000001</v>
      </c>
      <c r="F77">
        <v>263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13.223000000000001</v>
      </c>
      <c r="F78">
        <v>252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13.214</v>
      </c>
      <c r="F79">
        <v>250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13.233000000000001</v>
      </c>
      <c r="F80">
        <v>254</v>
      </c>
    </row>
    <row r="81" spans="1:6" x14ac:dyDescent="0.3">
      <c r="A81" t="s">
        <v>19</v>
      </c>
      <c r="B81">
        <v>100</v>
      </c>
      <c r="C81">
        <v>1</v>
      </c>
      <c r="D81">
        <v>35243.981</v>
      </c>
      <c r="E81">
        <v>54.796999999999997</v>
      </c>
      <c r="F81">
        <v>332</v>
      </c>
    </row>
    <row r="82" spans="1:6" x14ac:dyDescent="0.3">
      <c r="A82" t="s">
        <v>19</v>
      </c>
      <c r="B82">
        <v>100</v>
      </c>
      <c r="C82">
        <v>1</v>
      </c>
      <c r="D82">
        <v>35273.252</v>
      </c>
      <c r="E82">
        <v>54.844999999999999</v>
      </c>
      <c r="F82">
        <v>306</v>
      </c>
    </row>
    <row r="83" spans="1:6" x14ac:dyDescent="0.3">
      <c r="A83" t="s">
        <v>19</v>
      </c>
      <c r="B83">
        <v>100</v>
      </c>
      <c r="C83">
        <v>1</v>
      </c>
      <c r="D83">
        <v>35272.862000000001</v>
      </c>
      <c r="E83">
        <v>54.808</v>
      </c>
      <c r="F83">
        <v>282</v>
      </c>
    </row>
    <row r="84" spans="1:6" x14ac:dyDescent="0.3">
      <c r="A84" t="s">
        <v>19</v>
      </c>
      <c r="B84">
        <v>100</v>
      </c>
      <c r="C84">
        <v>1</v>
      </c>
      <c r="D84">
        <v>35225.411999999997</v>
      </c>
      <c r="E84">
        <v>54.917999999999999</v>
      </c>
      <c r="F84">
        <v>284</v>
      </c>
    </row>
    <row r="85" spans="1:6" x14ac:dyDescent="0.3">
      <c r="A85" t="s">
        <v>19</v>
      </c>
      <c r="B85">
        <v>100</v>
      </c>
      <c r="C85">
        <v>1</v>
      </c>
      <c r="D85">
        <v>35235.357000000004</v>
      </c>
      <c r="E85">
        <v>54.802</v>
      </c>
      <c r="F85">
        <v>285</v>
      </c>
    </row>
    <row r="86" spans="1:6" x14ac:dyDescent="0.3">
      <c r="A86" t="s">
        <v>19</v>
      </c>
      <c r="B86">
        <v>100</v>
      </c>
      <c r="C86">
        <v>1</v>
      </c>
      <c r="D86">
        <v>35228.016000000003</v>
      </c>
      <c r="E86">
        <v>54.9</v>
      </c>
      <c r="F86">
        <v>280</v>
      </c>
    </row>
    <row r="87" spans="1:6" x14ac:dyDescent="0.3">
      <c r="A87" t="s">
        <v>19</v>
      </c>
      <c r="B87">
        <v>100</v>
      </c>
      <c r="C87">
        <v>1</v>
      </c>
      <c r="D87">
        <v>35295.983</v>
      </c>
      <c r="E87">
        <v>54.9</v>
      </c>
      <c r="F87">
        <v>283</v>
      </c>
    </row>
    <row r="88" spans="1:6" x14ac:dyDescent="0.3">
      <c r="A88" t="s">
        <v>19</v>
      </c>
      <c r="B88">
        <v>100</v>
      </c>
      <c r="C88">
        <v>1</v>
      </c>
      <c r="D88">
        <v>35237.391000000003</v>
      </c>
      <c r="E88">
        <v>54.817999999999998</v>
      </c>
      <c r="F88">
        <v>276</v>
      </c>
    </row>
    <row r="89" spans="1:6" x14ac:dyDescent="0.3">
      <c r="A89" t="s">
        <v>19</v>
      </c>
      <c r="B89">
        <v>100</v>
      </c>
      <c r="C89">
        <v>1</v>
      </c>
      <c r="D89">
        <v>35246.373</v>
      </c>
      <c r="E89">
        <v>54.847999999999999</v>
      </c>
      <c r="F89">
        <v>281</v>
      </c>
    </row>
    <row r="90" spans="1:6" x14ac:dyDescent="0.3">
      <c r="A90" t="s">
        <v>19</v>
      </c>
      <c r="B90">
        <v>100</v>
      </c>
      <c r="C90">
        <v>1</v>
      </c>
      <c r="D90">
        <v>35272.862000000001</v>
      </c>
      <c r="E90">
        <v>54.914999999999999</v>
      </c>
      <c r="F90">
        <v>279</v>
      </c>
    </row>
    <row r="91" spans="1:6" x14ac:dyDescent="0.3">
      <c r="A91" t="s">
        <v>20</v>
      </c>
      <c r="B91">
        <v>30</v>
      </c>
      <c r="C91">
        <v>1</v>
      </c>
      <c r="D91">
        <v>658.23299999999995</v>
      </c>
      <c r="E91">
        <v>6.4720000000000004</v>
      </c>
      <c r="F91">
        <v>247</v>
      </c>
    </row>
    <row r="92" spans="1:6" x14ac:dyDescent="0.3">
      <c r="A92" t="s">
        <v>20</v>
      </c>
      <c r="B92">
        <v>30</v>
      </c>
      <c r="C92">
        <v>1</v>
      </c>
      <c r="D92">
        <v>658.23299999999995</v>
      </c>
      <c r="E92">
        <v>6.4859999999999998</v>
      </c>
      <c r="F92">
        <v>254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6.4770000000000003</v>
      </c>
      <c r="F93">
        <v>238</v>
      </c>
    </row>
    <row r="94" spans="1:6" x14ac:dyDescent="0.3">
      <c r="A94" t="s">
        <v>20</v>
      </c>
      <c r="B94">
        <v>30</v>
      </c>
      <c r="C94">
        <v>1</v>
      </c>
      <c r="D94">
        <v>658.23299999999995</v>
      </c>
      <c r="E94">
        <v>6.4710000000000001</v>
      </c>
      <c r="F94">
        <v>251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6.4790000000000001</v>
      </c>
      <c r="F95">
        <v>278</v>
      </c>
    </row>
    <row r="96" spans="1:6" x14ac:dyDescent="0.3">
      <c r="A96" t="s">
        <v>20</v>
      </c>
      <c r="B96">
        <v>30</v>
      </c>
      <c r="C96">
        <v>1</v>
      </c>
      <c r="D96">
        <v>658.23299999999995</v>
      </c>
      <c r="E96">
        <v>6.4729999999999999</v>
      </c>
      <c r="F96">
        <v>216</v>
      </c>
    </row>
    <row r="97" spans="1:6" x14ac:dyDescent="0.3">
      <c r="A97" t="s">
        <v>20</v>
      </c>
      <c r="B97">
        <v>30</v>
      </c>
      <c r="C97">
        <v>1</v>
      </c>
      <c r="D97">
        <v>658.23299999999995</v>
      </c>
      <c r="E97">
        <v>6.4820000000000002</v>
      </c>
      <c r="F97">
        <v>237</v>
      </c>
    </row>
    <row r="98" spans="1:6" x14ac:dyDescent="0.3">
      <c r="A98" t="s">
        <v>20</v>
      </c>
      <c r="B98">
        <v>30</v>
      </c>
      <c r="C98">
        <v>1</v>
      </c>
      <c r="D98">
        <v>657.35599999999999</v>
      </c>
      <c r="E98">
        <v>6.4909999999999997</v>
      </c>
      <c r="F98">
        <v>225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6.4809999999999999</v>
      </c>
      <c r="F99">
        <v>242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6.492</v>
      </c>
      <c r="F100">
        <v>256</v>
      </c>
    </row>
    <row r="101" spans="1:6" x14ac:dyDescent="0.3">
      <c r="A101" t="s">
        <v>20</v>
      </c>
      <c r="B101">
        <v>50</v>
      </c>
      <c r="C101">
        <v>1</v>
      </c>
      <c r="D101">
        <v>993.721</v>
      </c>
      <c r="E101">
        <v>14.714</v>
      </c>
      <c r="F101">
        <v>260</v>
      </c>
    </row>
    <row r="102" spans="1:6" x14ac:dyDescent="0.3">
      <c r="A102" t="s">
        <v>20</v>
      </c>
      <c r="B102">
        <v>50</v>
      </c>
      <c r="C102">
        <v>1</v>
      </c>
      <c r="D102">
        <v>991.76499999999999</v>
      </c>
      <c r="E102">
        <v>14.701000000000001</v>
      </c>
      <c r="F102">
        <v>260</v>
      </c>
    </row>
    <row r="103" spans="1:6" x14ac:dyDescent="0.3">
      <c r="A103" t="s">
        <v>20</v>
      </c>
      <c r="B103">
        <v>50</v>
      </c>
      <c r="C103">
        <v>1</v>
      </c>
      <c r="D103">
        <v>994.19100000000003</v>
      </c>
      <c r="E103">
        <v>14.709</v>
      </c>
      <c r="F103">
        <v>256</v>
      </c>
    </row>
    <row r="104" spans="1:6" x14ac:dyDescent="0.3">
      <c r="A104" t="s">
        <v>20</v>
      </c>
      <c r="B104">
        <v>50</v>
      </c>
      <c r="C104">
        <v>1</v>
      </c>
      <c r="D104">
        <v>994.27800000000002</v>
      </c>
      <c r="E104">
        <v>14.743</v>
      </c>
      <c r="F104">
        <v>251</v>
      </c>
    </row>
    <row r="105" spans="1:6" x14ac:dyDescent="0.3">
      <c r="A105" t="s">
        <v>20</v>
      </c>
      <c r="B105">
        <v>50</v>
      </c>
      <c r="C105">
        <v>1</v>
      </c>
      <c r="D105">
        <v>1002.903</v>
      </c>
      <c r="E105">
        <v>14.715</v>
      </c>
      <c r="F105">
        <v>256</v>
      </c>
    </row>
    <row r="106" spans="1:6" x14ac:dyDescent="0.3">
      <c r="A106" t="s">
        <v>20</v>
      </c>
      <c r="B106">
        <v>50</v>
      </c>
      <c r="C106">
        <v>1</v>
      </c>
      <c r="D106">
        <v>997.71299999999997</v>
      </c>
      <c r="E106">
        <v>14.688000000000001</v>
      </c>
      <c r="F106">
        <v>260</v>
      </c>
    </row>
    <row r="107" spans="1:6" x14ac:dyDescent="0.3">
      <c r="A107" t="s">
        <v>20</v>
      </c>
      <c r="B107">
        <v>50</v>
      </c>
      <c r="C107">
        <v>1</v>
      </c>
      <c r="D107">
        <v>994.84799999999996</v>
      </c>
      <c r="E107">
        <v>14.706</v>
      </c>
      <c r="F107">
        <v>260</v>
      </c>
    </row>
    <row r="108" spans="1:6" x14ac:dyDescent="0.3">
      <c r="A108" t="s">
        <v>20</v>
      </c>
      <c r="B108">
        <v>50</v>
      </c>
      <c r="C108">
        <v>1</v>
      </c>
      <c r="D108">
        <v>990.98800000000006</v>
      </c>
      <c r="E108">
        <v>14.709</v>
      </c>
      <c r="F108">
        <v>258</v>
      </c>
    </row>
    <row r="109" spans="1:6" x14ac:dyDescent="0.3">
      <c r="A109" t="s">
        <v>20</v>
      </c>
      <c r="B109">
        <v>50</v>
      </c>
      <c r="C109">
        <v>1</v>
      </c>
      <c r="D109">
        <v>992.42100000000005</v>
      </c>
      <c r="E109">
        <v>14.688000000000001</v>
      </c>
      <c r="F109">
        <v>258</v>
      </c>
    </row>
    <row r="110" spans="1:6" x14ac:dyDescent="0.3">
      <c r="A110" t="s">
        <v>20</v>
      </c>
      <c r="B110">
        <v>50</v>
      </c>
      <c r="C110">
        <v>1</v>
      </c>
      <c r="D110">
        <v>992.005</v>
      </c>
      <c r="E110">
        <v>14.721</v>
      </c>
      <c r="F110">
        <v>257</v>
      </c>
    </row>
    <row r="111" spans="1:6" x14ac:dyDescent="0.3">
      <c r="A111" t="s">
        <v>20</v>
      </c>
      <c r="B111">
        <v>100</v>
      </c>
      <c r="C111">
        <v>1</v>
      </c>
      <c r="D111">
        <v>1757.87</v>
      </c>
      <c r="E111">
        <v>32.456000000000003</v>
      </c>
      <c r="F111">
        <v>187</v>
      </c>
    </row>
    <row r="112" spans="1:6" x14ac:dyDescent="0.3">
      <c r="A112" t="s">
        <v>20</v>
      </c>
      <c r="B112">
        <v>100</v>
      </c>
      <c r="C112">
        <v>1</v>
      </c>
      <c r="D112">
        <v>1755.94</v>
      </c>
      <c r="E112">
        <v>32.603999999999999</v>
      </c>
      <c r="F112">
        <v>185</v>
      </c>
    </row>
    <row r="113" spans="1:6" x14ac:dyDescent="0.3">
      <c r="A113" t="s">
        <v>20</v>
      </c>
      <c r="B113">
        <v>100</v>
      </c>
      <c r="C113">
        <v>1</v>
      </c>
      <c r="D113">
        <v>1756.94</v>
      </c>
      <c r="E113">
        <v>32.551000000000002</v>
      </c>
      <c r="F113">
        <v>189</v>
      </c>
    </row>
    <row r="114" spans="1:6" x14ac:dyDescent="0.3">
      <c r="A114" t="s">
        <v>20</v>
      </c>
      <c r="B114">
        <v>100</v>
      </c>
      <c r="C114">
        <v>1</v>
      </c>
      <c r="D114">
        <v>1754.963</v>
      </c>
      <c r="E114">
        <v>32.520000000000003</v>
      </c>
      <c r="F114">
        <v>209</v>
      </c>
    </row>
    <row r="115" spans="1:6" x14ac:dyDescent="0.3">
      <c r="A115" t="s">
        <v>20</v>
      </c>
      <c r="B115">
        <v>100</v>
      </c>
      <c r="C115">
        <v>1</v>
      </c>
      <c r="D115">
        <v>1757.7349999999999</v>
      </c>
      <c r="E115">
        <v>32.545000000000002</v>
      </c>
      <c r="F115">
        <v>227</v>
      </c>
    </row>
    <row r="116" spans="1:6" x14ac:dyDescent="0.3">
      <c r="A116" t="s">
        <v>20</v>
      </c>
      <c r="B116">
        <v>100</v>
      </c>
      <c r="C116">
        <v>1</v>
      </c>
      <c r="D116">
        <v>1757.537</v>
      </c>
      <c r="E116">
        <v>32.51</v>
      </c>
      <c r="F116">
        <v>227</v>
      </c>
    </row>
    <row r="117" spans="1:6" x14ac:dyDescent="0.3">
      <c r="A117" t="s">
        <v>20</v>
      </c>
      <c r="B117">
        <v>100</v>
      </c>
      <c r="C117">
        <v>1</v>
      </c>
      <c r="D117">
        <v>1755.127</v>
      </c>
      <c r="E117">
        <v>32.484999999999999</v>
      </c>
      <c r="F117">
        <v>226</v>
      </c>
    </row>
    <row r="118" spans="1:6" x14ac:dyDescent="0.3">
      <c r="A118" t="s">
        <v>20</v>
      </c>
      <c r="B118">
        <v>100</v>
      </c>
      <c r="C118">
        <v>1</v>
      </c>
      <c r="D118">
        <v>1755.1120000000001</v>
      </c>
      <c r="E118">
        <v>32.494999999999997</v>
      </c>
      <c r="F118">
        <v>236</v>
      </c>
    </row>
    <row r="119" spans="1:6" x14ac:dyDescent="0.3">
      <c r="A119" t="s">
        <v>20</v>
      </c>
      <c r="B119">
        <v>100</v>
      </c>
      <c r="C119">
        <v>1</v>
      </c>
      <c r="D119">
        <v>1756.9870000000001</v>
      </c>
      <c r="E119">
        <v>32.470999999999997</v>
      </c>
      <c r="F119">
        <v>219</v>
      </c>
    </row>
    <row r="120" spans="1:6" x14ac:dyDescent="0.3">
      <c r="A120" t="s">
        <v>20</v>
      </c>
      <c r="B120">
        <v>100</v>
      </c>
      <c r="C120">
        <v>1</v>
      </c>
      <c r="D120">
        <v>1755.825</v>
      </c>
      <c r="E120">
        <v>32.506</v>
      </c>
      <c r="F120">
        <v>222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1.3640000000000001</v>
      </c>
      <c r="F121">
        <v>330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1.38</v>
      </c>
      <c r="F122">
        <v>580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1.385</v>
      </c>
      <c r="F123">
        <v>308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1.3680000000000001</v>
      </c>
      <c r="F124">
        <v>281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1.3680000000000001</v>
      </c>
      <c r="F125">
        <v>97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1.37</v>
      </c>
      <c r="F126">
        <v>123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1.371</v>
      </c>
      <c r="F127">
        <v>242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1.3879999999999999</v>
      </c>
      <c r="F128">
        <v>267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1.365</v>
      </c>
      <c r="F129">
        <v>444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1.3759999999999999</v>
      </c>
      <c r="F130">
        <v>80</v>
      </c>
    </row>
    <row r="131" spans="1:6" x14ac:dyDescent="0.3">
      <c r="A131" t="s">
        <v>33</v>
      </c>
      <c r="B131">
        <v>209</v>
      </c>
      <c r="C131">
        <v>1</v>
      </c>
      <c r="D131">
        <v>76.787000000000006</v>
      </c>
      <c r="E131">
        <v>180.721</v>
      </c>
      <c r="F131">
        <v>236</v>
      </c>
    </row>
    <row r="132" spans="1:6" x14ac:dyDescent="0.3">
      <c r="A132" t="s">
        <v>33</v>
      </c>
      <c r="B132">
        <v>209</v>
      </c>
      <c r="C132">
        <v>1</v>
      </c>
      <c r="D132">
        <v>76.272999999999996</v>
      </c>
      <c r="E132">
        <v>181.08799999999999</v>
      </c>
      <c r="F132">
        <v>240</v>
      </c>
    </row>
    <row r="133" spans="1:6" x14ac:dyDescent="0.3">
      <c r="A133" t="s">
        <v>33</v>
      </c>
      <c r="B133">
        <v>209</v>
      </c>
      <c r="C133">
        <v>1</v>
      </c>
      <c r="D133">
        <v>76.272999999999996</v>
      </c>
      <c r="E133">
        <v>180.785</v>
      </c>
      <c r="F133">
        <v>243</v>
      </c>
    </row>
    <row r="134" spans="1:6" x14ac:dyDescent="0.3">
      <c r="A134" t="s">
        <v>33</v>
      </c>
      <c r="B134">
        <v>209</v>
      </c>
      <c r="C134">
        <v>1</v>
      </c>
      <c r="D134">
        <v>76.266999999999996</v>
      </c>
      <c r="E134">
        <v>181.25800000000001</v>
      </c>
      <c r="F134">
        <v>244</v>
      </c>
    </row>
    <row r="135" spans="1:6" x14ac:dyDescent="0.3">
      <c r="A135" t="s">
        <v>33</v>
      </c>
      <c r="B135">
        <v>209</v>
      </c>
      <c r="C135">
        <v>1</v>
      </c>
      <c r="D135">
        <v>76.653000000000006</v>
      </c>
      <c r="E135">
        <v>180.965</v>
      </c>
      <c r="F135">
        <v>236</v>
      </c>
    </row>
    <row r="136" spans="1:6" x14ac:dyDescent="0.3">
      <c r="A136" t="s">
        <v>33</v>
      </c>
      <c r="B136">
        <v>209</v>
      </c>
      <c r="C136">
        <v>1</v>
      </c>
      <c r="D136">
        <v>76.561000000000007</v>
      </c>
      <c r="E136">
        <v>181.02799999999999</v>
      </c>
      <c r="F136">
        <v>243</v>
      </c>
    </row>
    <row r="137" spans="1:6" x14ac:dyDescent="0.3">
      <c r="A137" t="s">
        <v>33</v>
      </c>
      <c r="B137">
        <v>209</v>
      </c>
      <c r="C137">
        <v>1</v>
      </c>
      <c r="D137">
        <v>76.787999999999997</v>
      </c>
      <c r="E137">
        <v>180.96799999999999</v>
      </c>
      <c r="F137">
        <v>239</v>
      </c>
    </row>
    <row r="138" spans="1:6" x14ac:dyDescent="0.3">
      <c r="A138" t="s">
        <v>33</v>
      </c>
      <c r="B138">
        <v>209</v>
      </c>
      <c r="C138">
        <v>1</v>
      </c>
      <c r="D138">
        <v>76.399000000000001</v>
      </c>
      <c r="E138">
        <v>181.21199999999999</v>
      </c>
      <c r="F138">
        <v>245</v>
      </c>
    </row>
    <row r="139" spans="1:6" x14ac:dyDescent="0.3">
      <c r="A139" t="s">
        <v>33</v>
      </c>
      <c r="B139">
        <v>209</v>
      </c>
      <c r="C139">
        <v>1</v>
      </c>
      <c r="D139">
        <v>76.766999999999996</v>
      </c>
      <c r="E139">
        <v>180.994</v>
      </c>
      <c r="F139">
        <v>242</v>
      </c>
    </row>
    <row r="140" spans="1:6" x14ac:dyDescent="0.3">
      <c r="A140" t="s">
        <v>33</v>
      </c>
      <c r="B140">
        <v>209</v>
      </c>
      <c r="C140">
        <v>1</v>
      </c>
      <c r="D140">
        <v>76.162999999999997</v>
      </c>
      <c r="E140">
        <v>180.90600000000001</v>
      </c>
      <c r="F140">
        <v>246</v>
      </c>
    </row>
    <row r="141" spans="1:6" x14ac:dyDescent="0.3">
      <c r="A141" t="s">
        <v>33</v>
      </c>
      <c r="B141">
        <v>324</v>
      </c>
      <c r="C141">
        <v>1</v>
      </c>
      <c r="D141">
        <v>119.32299999999999</v>
      </c>
      <c r="E141">
        <v>420.80700000000002</v>
      </c>
      <c r="F141">
        <v>202</v>
      </c>
    </row>
    <row r="142" spans="1:6" x14ac:dyDescent="0.3">
      <c r="A142" t="s">
        <v>33</v>
      </c>
      <c r="B142">
        <v>324</v>
      </c>
      <c r="C142">
        <v>1</v>
      </c>
      <c r="D142">
        <v>119.405</v>
      </c>
      <c r="E142">
        <v>419.839</v>
      </c>
      <c r="F142">
        <v>209</v>
      </c>
    </row>
    <row r="143" spans="1:6" x14ac:dyDescent="0.3">
      <c r="A143" t="s">
        <v>33</v>
      </c>
      <c r="B143">
        <v>324</v>
      </c>
      <c r="C143">
        <v>1</v>
      </c>
      <c r="D143">
        <v>118.94499999999999</v>
      </c>
      <c r="E143">
        <v>420.94600000000003</v>
      </c>
      <c r="F143">
        <v>208</v>
      </c>
    </row>
    <row r="144" spans="1:6" x14ac:dyDescent="0.3">
      <c r="A144" t="s">
        <v>33</v>
      </c>
      <c r="B144">
        <v>324</v>
      </c>
      <c r="C144">
        <v>1</v>
      </c>
      <c r="D144">
        <v>118.845</v>
      </c>
      <c r="E144">
        <v>420.78199999999998</v>
      </c>
      <c r="F144">
        <v>203</v>
      </c>
    </row>
    <row r="145" spans="1:6" x14ac:dyDescent="0.3">
      <c r="A145" t="s">
        <v>33</v>
      </c>
      <c r="B145">
        <v>324</v>
      </c>
      <c r="C145">
        <v>1</v>
      </c>
      <c r="D145">
        <v>118.617</v>
      </c>
      <c r="E145">
        <v>420.36099999999999</v>
      </c>
      <c r="F145">
        <v>212</v>
      </c>
    </row>
    <row r="146" spans="1:6" x14ac:dyDescent="0.3">
      <c r="A146" t="s">
        <v>33</v>
      </c>
      <c r="B146">
        <v>324</v>
      </c>
      <c r="C146">
        <v>1</v>
      </c>
      <c r="D146">
        <v>118.88200000000001</v>
      </c>
      <c r="E146">
        <v>420.47199999999998</v>
      </c>
      <c r="F146">
        <v>204</v>
      </c>
    </row>
    <row r="147" spans="1:6" x14ac:dyDescent="0.3">
      <c r="A147" t="s">
        <v>33</v>
      </c>
      <c r="B147">
        <v>324</v>
      </c>
      <c r="C147">
        <v>1</v>
      </c>
      <c r="D147">
        <v>119.116</v>
      </c>
      <c r="E147">
        <v>420.94</v>
      </c>
      <c r="F147">
        <v>206</v>
      </c>
    </row>
    <row r="148" spans="1:6" x14ac:dyDescent="0.3">
      <c r="A148" t="s">
        <v>33</v>
      </c>
      <c r="B148">
        <v>324</v>
      </c>
      <c r="C148">
        <v>1</v>
      </c>
      <c r="D148">
        <v>118.97</v>
      </c>
      <c r="E148">
        <v>419.62900000000002</v>
      </c>
      <c r="F148">
        <v>213</v>
      </c>
    </row>
    <row r="149" spans="1:6" x14ac:dyDescent="0.3">
      <c r="A149" t="s">
        <v>33</v>
      </c>
      <c r="B149">
        <v>324</v>
      </c>
      <c r="C149">
        <v>1</v>
      </c>
      <c r="D149">
        <v>118.751</v>
      </c>
      <c r="E149">
        <v>419.46</v>
      </c>
      <c r="F149">
        <v>207</v>
      </c>
    </row>
    <row r="150" spans="1:6" x14ac:dyDescent="0.3">
      <c r="A150" t="s">
        <v>33</v>
      </c>
      <c r="B150">
        <v>324</v>
      </c>
      <c r="C150">
        <v>1</v>
      </c>
      <c r="D150">
        <v>119.151</v>
      </c>
      <c r="E150">
        <v>419.94099999999997</v>
      </c>
      <c r="F150">
        <v>207</v>
      </c>
    </row>
    <row r="151" spans="1:6" x14ac:dyDescent="0.3">
      <c r="A151" t="s">
        <v>34</v>
      </c>
      <c r="B151">
        <v>40</v>
      </c>
      <c r="C151">
        <v>1</v>
      </c>
      <c r="D151">
        <v>16.616</v>
      </c>
      <c r="E151">
        <v>11.625</v>
      </c>
      <c r="F151">
        <v>264</v>
      </c>
    </row>
    <row r="152" spans="1:6" x14ac:dyDescent="0.3">
      <c r="A152" t="s">
        <v>34</v>
      </c>
      <c r="B152">
        <v>40</v>
      </c>
      <c r="C152">
        <v>1</v>
      </c>
      <c r="D152">
        <v>16.616</v>
      </c>
      <c r="E152">
        <v>11.609</v>
      </c>
      <c r="F152">
        <v>266</v>
      </c>
    </row>
    <row r="153" spans="1:6" x14ac:dyDescent="0.3">
      <c r="A153" t="s">
        <v>34</v>
      </c>
      <c r="B153">
        <v>40</v>
      </c>
      <c r="C153">
        <v>1</v>
      </c>
      <c r="D153">
        <v>16.745999999999999</v>
      </c>
      <c r="E153">
        <v>11.641999999999999</v>
      </c>
      <c r="F153">
        <v>296</v>
      </c>
    </row>
    <row r="154" spans="1:6" x14ac:dyDescent="0.3">
      <c r="A154" t="s">
        <v>34</v>
      </c>
      <c r="B154">
        <v>40</v>
      </c>
      <c r="C154">
        <v>1</v>
      </c>
      <c r="D154">
        <v>16.75</v>
      </c>
      <c r="E154">
        <v>11.614000000000001</v>
      </c>
      <c r="F154">
        <v>282</v>
      </c>
    </row>
    <row r="155" spans="1:6" x14ac:dyDescent="0.3">
      <c r="A155" t="s">
        <v>34</v>
      </c>
      <c r="B155">
        <v>40</v>
      </c>
      <c r="C155">
        <v>1</v>
      </c>
      <c r="D155">
        <v>16.66</v>
      </c>
      <c r="E155">
        <v>11.641</v>
      </c>
      <c r="F155">
        <v>293</v>
      </c>
    </row>
    <row r="156" spans="1:6" x14ac:dyDescent="0.3">
      <c r="A156" t="s">
        <v>34</v>
      </c>
      <c r="B156">
        <v>40</v>
      </c>
      <c r="C156">
        <v>1</v>
      </c>
      <c r="D156">
        <v>16.66</v>
      </c>
      <c r="E156">
        <v>11.638</v>
      </c>
      <c r="F156">
        <v>265</v>
      </c>
    </row>
    <row r="157" spans="1:6" x14ac:dyDescent="0.3">
      <c r="A157" t="s">
        <v>34</v>
      </c>
      <c r="B157">
        <v>40</v>
      </c>
      <c r="C157">
        <v>1</v>
      </c>
      <c r="D157">
        <v>16.515000000000001</v>
      </c>
      <c r="E157">
        <v>11.635</v>
      </c>
      <c r="F157">
        <v>274</v>
      </c>
    </row>
    <row r="158" spans="1:6" x14ac:dyDescent="0.3">
      <c r="A158" t="s">
        <v>34</v>
      </c>
      <c r="B158">
        <v>40</v>
      </c>
      <c r="C158">
        <v>1</v>
      </c>
      <c r="D158">
        <v>16.811</v>
      </c>
      <c r="E158">
        <v>11.64</v>
      </c>
      <c r="F158">
        <v>265</v>
      </c>
    </row>
    <row r="159" spans="1:6" x14ac:dyDescent="0.3">
      <c r="A159" t="s">
        <v>34</v>
      </c>
      <c r="B159">
        <v>40</v>
      </c>
      <c r="C159">
        <v>1</v>
      </c>
      <c r="D159">
        <v>16.75</v>
      </c>
      <c r="E159">
        <v>11.632999999999999</v>
      </c>
      <c r="F159">
        <v>276</v>
      </c>
    </row>
    <row r="160" spans="1:6" x14ac:dyDescent="0.3">
      <c r="A160" t="s">
        <v>34</v>
      </c>
      <c r="B160">
        <v>40</v>
      </c>
      <c r="C160">
        <v>1</v>
      </c>
      <c r="D160">
        <v>16.667999999999999</v>
      </c>
      <c r="E160">
        <v>11.615</v>
      </c>
      <c r="F160">
        <v>265</v>
      </c>
    </row>
    <row r="161" spans="1:6" x14ac:dyDescent="0.3">
      <c r="A161" t="s">
        <v>34</v>
      </c>
      <c r="B161">
        <v>96</v>
      </c>
      <c r="C161">
        <v>1</v>
      </c>
      <c r="D161">
        <v>35.197000000000003</v>
      </c>
      <c r="E161">
        <v>51.311</v>
      </c>
      <c r="F161">
        <v>314</v>
      </c>
    </row>
    <row r="162" spans="1:6" x14ac:dyDescent="0.3">
      <c r="A162" t="s">
        <v>34</v>
      </c>
      <c r="B162">
        <v>96</v>
      </c>
      <c r="C162">
        <v>1</v>
      </c>
      <c r="D162">
        <v>35.186999999999998</v>
      </c>
      <c r="E162">
        <v>51.317999999999998</v>
      </c>
      <c r="F162">
        <v>323</v>
      </c>
    </row>
    <row r="163" spans="1:6" x14ac:dyDescent="0.3">
      <c r="A163" t="s">
        <v>34</v>
      </c>
      <c r="B163">
        <v>96</v>
      </c>
      <c r="C163">
        <v>1</v>
      </c>
      <c r="D163">
        <v>35.139000000000003</v>
      </c>
      <c r="E163">
        <v>51.314999999999998</v>
      </c>
      <c r="F163">
        <v>320</v>
      </c>
    </row>
    <row r="164" spans="1:6" x14ac:dyDescent="0.3">
      <c r="A164" t="s">
        <v>34</v>
      </c>
      <c r="B164">
        <v>96</v>
      </c>
      <c r="C164">
        <v>1</v>
      </c>
      <c r="D164">
        <v>35.127000000000002</v>
      </c>
      <c r="E164">
        <v>51.277000000000001</v>
      </c>
      <c r="F164">
        <v>311</v>
      </c>
    </row>
    <row r="165" spans="1:6" x14ac:dyDescent="0.3">
      <c r="A165" t="s">
        <v>34</v>
      </c>
      <c r="B165">
        <v>96</v>
      </c>
      <c r="C165">
        <v>1</v>
      </c>
      <c r="D165">
        <v>35.103000000000002</v>
      </c>
      <c r="E165">
        <v>51.386000000000003</v>
      </c>
      <c r="F165">
        <v>329</v>
      </c>
    </row>
    <row r="166" spans="1:6" x14ac:dyDescent="0.3">
      <c r="A166" t="s">
        <v>34</v>
      </c>
      <c r="B166">
        <v>96</v>
      </c>
      <c r="C166">
        <v>1</v>
      </c>
      <c r="D166">
        <v>35.17</v>
      </c>
      <c r="E166">
        <v>51.401000000000003</v>
      </c>
      <c r="F166">
        <v>318</v>
      </c>
    </row>
    <row r="167" spans="1:6" x14ac:dyDescent="0.3">
      <c r="A167" t="s">
        <v>34</v>
      </c>
      <c r="B167">
        <v>96</v>
      </c>
      <c r="C167">
        <v>1</v>
      </c>
      <c r="D167">
        <v>35.097000000000001</v>
      </c>
      <c r="E167">
        <v>51.387</v>
      </c>
      <c r="F167">
        <v>317</v>
      </c>
    </row>
    <row r="168" spans="1:6" x14ac:dyDescent="0.3">
      <c r="A168" t="s">
        <v>34</v>
      </c>
      <c r="B168">
        <v>96</v>
      </c>
      <c r="C168">
        <v>1</v>
      </c>
      <c r="D168">
        <v>35.234999999999999</v>
      </c>
      <c r="E168">
        <v>51.287999999999997</v>
      </c>
      <c r="F168">
        <v>334</v>
      </c>
    </row>
    <row r="169" spans="1:6" x14ac:dyDescent="0.3">
      <c r="A169" t="s">
        <v>34</v>
      </c>
      <c r="B169">
        <v>96</v>
      </c>
      <c r="C169">
        <v>1</v>
      </c>
      <c r="D169">
        <v>35.146000000000001</v>
      </c>
      <c r="E169">
        <v>51.304000000000002</v>
      </c>
      <c r="F169">
        <v>322</v>
      </c>
    </row>
    <row r="170" spans="1:6" x14ac:dyDescent="0.3">
      <c r="A170" t="s">
        <v>34</v>
      </c>
      <c r="B170">
        <v>96</v>
      </c>
      <c r="C170">
        <v>1</v>
      </c>
      <c r="D170">
        <v>35.084000000000003</v>
      </c>
      <c r="E170">
        <v>51.329000000000001</v>
      </c>
      <c r="F170">
        <v>322</v>
      </c>
    </row>
    <row r="171" spans="1:6" x14ac:dyDescent="0.3">
      <c r="A171" t="s">
        <v>34</v>
      </c>
      <c r="B171">
        <v>224</v>
      </c>
      <c r="C171">
        <v>1</v>
      </c>
      <c r="D171">
        <v>71.92</v>
      </c>
      <c r="E171">
        <v>256.13499999999999</v>
      </c>
      <c r="F171">
        <v>289</v>
      </c>
    </row>
    <row r="172" spans="1:6" x14ac:dyDescent="0.3">
      <c r="A172" t="s">
        <v>34</v>
      </c>
      <c r="B172">
        <v>224</v>
      </c>
      <c r="C172">
        <v>1</v>
      </c>
      <c r="D172">
        <v>72</v>
      </c>
      <c r="E172">
        <v>255.47399999999999</v>
      </c>
      <c r="F172">
        <v>291</v>
      </c>
    </row>
    <row r="173" spans="1:6" x14ac:dyDescent="0.3">
      <c r="A173" t="s">
        <v>34</v>
      </c>
      <c r="B173">
        <v>224</v>
      </c>
      <c r="C173">
        <v>1</v>
      </c>
      <c r="D173">
        <v>71.945999999999998</v>
      </c>
      <c r="E173">
        <v>255.79900000000001</v>
      </c>
      <c r="F173">
        <v>283</v>
      </c>
    </row>
    <row r="174" spans="1:6" x14ac:dyDescent="0.3">
      <c r="A174" t="s">
        <v>34</v>
      </c>
      <c r="B174">
        <v>224</v>
      </c>
      <c r="C174">
        <v>1</v>
      </c>
      <c r="D174">
        <v>71.930999999999997</v>
      </c>
      <c r="E174">
        <v>256.01400000000001</v>
      </c>
      <c r="F174">
        <v>289</v>
      </c>
    </row>
    <row r="175" spans="1:6" x14ac:dyDescent="0.3">
      <c r="A175" t="s">
        <v>34</v>
      </c>
      <c r="B175">
        <v>224</v>
      </c>
      <c r="C175">
        <v>1</v>
      </c>
      <c r="D175">
        <v>71.915000000000006</v>
      </c>
      <c r="E175">
        <v>255.52699999999999</v>
      </c>
      <c r="F175">
        <v>290</v>
      </c>
    </row>
    <row r="176" spans="1:6" x14ac:dyDescent="0.3">
      <c r="A176" t="s">
        <v>34</v>
      </c>
      <c r="B176">
        <v>224</v>
      </c>
      <c r="C176">
        <v>1</v>
      </c>
      <c r="D176">
        <v>71.978999999999999</v>
      </c>
      <c r="E176">
        <v>255.68199999999999</v>
      </c>
      <c r="F176">
        <v>291</v>
      </c>
    </row>
    <row r="177" spans="1:6" x14ac:dyDescent="0.3">
      <c r="A177" t="s">
        <v>34</v>
      </c>
      <c r="B177">
        <v>224</v>
      </c>
      <c r="C177">
        <v>1</v>
      </c>
      <c r="D177">
        <v>72.004999999999995</v>
      </c>
      <c r="E177">
        <v>255.68799999999999</v>
      </c>
      <c r="F177">
        <v>286</v>
      </c>
    </row>
    <row r="178" spans="1:6" x14ac:dyDescent="0.3">
      <c r="A178" t="s">
        <v>34</v>
      </c>
      <c r="B178">
        <v>224</v>
      </c>
      <c r="C178">
        <v>1</v>
      </c>
      <c r="D178">
        <v>71.959000000000003</v>
      </c>
      <c r="E178">
        <v>256.13600000000002</v>
      </c>
      <c r="F178">
        <v>286</v>
      </c>
    </row>
    <row r="179" spans="1:6" x14ac:dyDescent="0.3">
      <c r="A179" t="s">
        <v>34</v>
      </c>
      <c r="B179">
        <v>224</v>
      </c>
      <c r="C179">
        <v>1</v>
      </c>
      <c r="D179">
        <v>71.92</v>
      </c>
      <c r="E179">
        <v>255.99799999999999</v>
      </c>
      <c r="F179">
        <v>294</v>
      </c>
    </row>
    <row r="180" spans="1:6" x14ac:dyDescent="0.3">
      <c r="A180" t="s">
        <v>34</v>
      </c>
      <c r="B180">
        <v>224</v>
      </c>
      <c r="C180">
        <v>1</v>
      </c>
      <c r="D180">
        <v>71.930000000000007</v>
      </c>
      <c r="E180">
        <v>255.83699999999999</v>
      </c>
      <c r="F180">
        <v>285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33203125"/>
    <col min="2" max="2" width="3.75"/>
    <col min="3" max="3" width="2.58203125"/>
    <col min="4" max="4" width="10.5" bestFit="1" customWidth="1"/>
    <col min="5" max="5" width="7.25"/>
    <col min="6" max="6" width="5.6640625" customWidth="1"/>
    <col min="7" max="7" width="3"/>
    <col min="8" max="8" width="10.25"/>
    <col min="9" max="9" width="4.33203125"/>
    <col min="10" max="10" width="3.33203125"/>
    <col min="11" max="11" width="2.5"/>
    <col min="12" max="21" width="9.5"/>
    <col min="22" max="22" width="2.33203125"/>
    <col min="23" max="23" width="9.5"/>
    <col min="24" max="24" width="2.5"/>
    <col min="25" max="25" width="9.5"/>
    <col min="26" max="27" width="2.08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5.2850000000000001</v>
      </c>
      <c r="F1">
        <v>259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5.2880000000000003</v>
      </c>
      <c r="F2">
        <v>241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28.587</v>
      </c>
      <c r="U2" s="35">
        <f t="shared" ref="U2:U13" ca="1" si="9">INDIRECT("D"&amp;1+(ROW(M1)-1)*10+COLUMN(J1)-1)</f>
        <v>28.504000000000001</v>
      </c>
      <c r="W2" s="35">
        <f t="shared" ref="W2:W19" ca="1" si="10">AVERAGE(L2:U2)</f>
        <v>28.5459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1.4734774066796953E-3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1.4734774066796953E-3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2.9118720179623354E-3</v>
      </c>
      <c r="AK2" s="35">
        <f t="shared" ref="AK2:AK19" ca="1" si="20">(U2-$Y2)/$Y2</f>
        <v>0</v>
      </c>
      <c r="AM2" s="35">
        <f t="shared" ref="AM2:AM19" ca="1" si="21">SUM(AB2:AK2)</f>
        <v>1.46996912713999E-2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5.2960000000000003</v>
      </c>
      <c r="F3">
        <v>255</v>
      </c>
      <c r="H3" s="35" t="s">
        <v>17</v>
      </c>
      <c r="I3" s="35">
        <v>50</v>
      </c>
      <c r="J3" s="35">
        <v>1</v>
      </c>
      <c r="L3" s="35">
        <f t="shared" ca="1" si="0"/>
        <v>52.987000000000002</v>
      </c>
      <c r="M3" s="35">
        <f t="shared" ca="1" si="1"/>
        <v>52.987000000000002</v>
      </c>
      <c r="N3" s="35">
        <f t="shared" ca="1" si="2"/>
        <v>53.057000000000002</v>
      </c>
      <c r="O3" s="35">
        <f t="shared" ca="1" si="3"/>
        <v>53.137</v>
      </c>
      <c r="P3" s="35">
        <f t="shared" ca="1" si="4"/>
        <v>53.017000000000003</v>
      </c>
      <c r="Q3" s="35">
        <f t="shared" ca="1" si="5"/>
        <v>53.067</v>
      </c>
      <c r="R3" s="35">
        <f t="shared" ca="1" si="6"/>
        <v>53.017000000000003</v>
      </c>
      <c r="S3" s="35">
        <f t="shared" ca="1" si="7"/>
        <v>53.017000000000003</v>
      </c>
      <c r="T3" s="35">
        <f t="shared" ca="1" si="8"/>
        <v>53.017000000000003</v>
      </c>
      <c r="U3" s="35">
        <f t="shared" ca="1" si="9"/>
        <v>53.067</v>
      </c>
      <c r="W3" s="35">
        <f t="shared" ca="1" si="10"/>
        <v>53.036999999999999</v>
      </c>
      <c r="Y3" s="35">
        <f ca="1">Total!E3</f>
        <v>52.927</v>
      </c>
      <c r="AB3" s="35">
        <f t="shared" ca="1" si="11"/>
        <v>1.1336368961022214E-3</v>
      </c>
      <c r="AC3" s="35">
        <f t="shared" ca="1" si="12"/>
        <v>1.1336368961022214E-3</v>
      </c>
      <c r="AD3" s="35">
        <f t="shared" ca="1" si="13"/>
        <v>2.4562132748881015E-3</v>
      </c>
      <c r="AE3" s="35">
        <f t="shared" ca="1" si="14"/>
        <v>3.967729136357641E-3</v>
      </c>
      <c r="AF3" s="35">
        <f t="shared" ca="1" si="15"/>
        <v>1.7004553441533322E-3</v>
      </c>
      <c r="AG3" s="35">
        <f t="shared" ca="1" si="16"/>
        <v>2.6451527575717605E-3</v>
      </c>
      <c r="AH3" s="35">
        <f t="shared" ca="1" si="17"/>
        <v>1.7004553441533322E-3</v>
      </c>
      <c r="AI3" s="35">
        <f t="shared" ca="1" si="18"/>
        <v>1.7004553441533322E-3</v>
      </c>
      <c r="AJ3" s="35">
        <f t="shared" ca="1" si="19"/>
        <v>1.7004553441533322E-3</v>
      </c>
      <c r="AK3" s="35">
        <f t="shared" ca="1" si="20"/>
        <v>2.6451527575717605E-3</v>
      </c>
      <c r="AM3" s="35">
        <f t="shared" ca="1" si="21"/>
        <v>2.0783343095207032E-2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5.2770000000000001</v>
      </c>
      <c r="F4">
        <v>239</v>
      </c>
      <c r="H4" s="35" t="s">
        <v>17</v>
      </c>
      <c r="I4" s="35">
        <v>100</v>
      </c>
      <c r="J4" s="35">
        <v>1</v>
      </c>
      <c r="L4" s="35">
        <f t="shared" ca="1" si="0"/>
        <v>103.274</v>
      </c>
      <c r="M4" s="35">
        <f t="shared" ca="1" si="1"/>
        <v>103.062</v>
      </c>
      <c r="N4" s="35">
        <f t="shared" ca="1" si="2"/>
        <v>103.304</v>
      </c>
      <c r="O4" s="35">
        <f t="shared" ca="1" si="3"/>
        <v>103.235</v>
      </c>
      <c r="P4" s="35">
        <f t="shared" ca="1" si="4"/>
        <v>103.277</v>
      </c>
      <c r="Q4" s="35">
        <f t="shared" ca="1" si="5"/>
        <v>103.273</v>
      </c>
      <c r="R4" s="35">
        <f t="shared" ca="1" si="6"/>
        <v>103.358</v>
      </c>
      <c r="S4" s="35">
        <f t="shared" ca="1" si="7"/>
        <v>103.292</v>
      </c>
      <c r="T4" s="35">
        <f t="shared" ca="1" si="8"/>
        <v>103.282</v>
      </c>
      <c r="U4" s="35">
        <f t="shared" ca="1" si="9"/>
        <v>103.277</v>
      </c>
      <c r="W4" s="35">
        <f t="shared" ca="1" si="10"/>
        <v>103.26340000000002</v>
      </c>
      <c r="Y4" s="35">
        <f ca="1">Total!E4</f>
        <v>102.80200000000001</v>
      </c>
      <c r="AB4" s="35">
        <f t="shared" ca="1" si="11"/>
        <v>4.5913503628333512E-3</v>
      </c>
      <c r="AC4" s="35">
        <f t="shared" ca="1" si="12"/>
        <v>2.5291336744420428E-3</v>
      </c>
      <c r="AD4" s="35">
        <f t="shared" ca="1" si="13"/>
        <v>4.8831734791151471E-3</v>
      </c>
      <c r="AE4" s="35">
        <f t="shared" ca="1" si="14"/>
        <v>4.2119803116670174E-3</v>
      </c>
      <c r="AF4" s="35">
        <f t="shared" ca="1" si="15"/>
        <v>4.620532674461531E-3</v>
      </c>
      <c r="AG4" s="35">
        <f t="shared" ca="1" si="16"/>
        <v>4.5816229256239122E-3</v>
      </c>
      <c r="AH4" s="35">
        <f t="shared" ca="1" si="17"/>
        <v>5.4084550884223783E-3</v>
      </c>
      <c r="AI4" s="35">
        <f t="shared" ca="1" si="18"/>
        <v>4.7664442326024285E-3</v>
      </c>
      <c r="AJ4" s="35">
        <f t="shared" ca="1" si="19"/>
        <v>4.6691698605084509E-3</v>
      </c>
      <c r="AK4" s="35">
        <f t="shared" ca="1" si="20"/>
        <v>4.620532674461531E-3</v>
      </c>
      <c r="AM4" s="35">
        <f t="shared" ca="1" si="21"/>
        <v>4.4882395284137788E-2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5.2969999999999997</v>
      </c>
      <c r="F5">
        <v>232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5.2990000000000004</v>
      </c>
      <c r="F6">
        <v>226</v>
      </c>
      <c r="H6" s="35" t="s">
        <v>18</v>
      </c>
      <c r="I6" s="35">
        <v>50</v>
      </c>
      <c r="J6" s="35">
        <v>1</v>
      </c>
      <c r="L6" s="35">
        <f t="shared" ca="1" si="0"/>
        <v>180.685</v>
      </c>
      <c r="M6" s="35">
        <f t="shared" ca="1" si="1"/>
        <v>180.685</v>
      </c>
      <c r="N6" s="35">
        <f t="shared" ca="1" si="2"/>
        <v>181.89</v>
      </c>
      <c r="O6" s="35">
        <f t="shared" ca="1" si="3"/>
        <v>179.93799999999999</v>
      </c>
      <c r="P6" s="35">
        <f t="shared" ca="1" si="4"/>
        <v>181.59700000000001</v>
      </c>
      <c r="Q6" s="35">
        <f t="shared" ca="1" si="5"/>
        <v>179.953</v>
      </c>
      <c r="R6" s="35">
        <f t="shared" ca="1" si="6"/>
        <v>179.93799999999999</v>
      </c>
      <c r="S6" s="35">
        <f t="shared" ca="1" si="7"/>
        <v>179.93799999999999</v>
      </c>
      <c r="T6" s="35">
        <f t="shared" ca="1" si="8"/>
        <v>179.953</v>
      </c>
      <c r="U6" s="35">
        <f t="shared" ca="1" si="9"/>
        <v>179.953</v>
      </c>
      <c r="W6" s="35">
        <f t="shared" ca="1" si="10"/>
        <v>180.45300000000003</v>
      </c>
      <c r="Y6" s="35">
        <f ca="1">Total!E6</f>
        <v>179.673</v>
      </c>
      <c r="AB6" s="35">
        <f t="shared" ca="1" si="11"/>
        <v>5.6324545145903975E-3</v>
      </c>
      <c r="AC6" s="35">
        <f t="shared" ca="1" si="12"/>
        <v>5.6324545145903975E-3</v>
      </c>
      <c r="AD6" s="35">
        <f t="shared" ca="1" si="13"/>
        <v>1.2339082666844681E-2</v>
      </c>
      <c r="AE6" s="35">
        <f t="shared" ca="1" si="14"/>
        <v>1.4749016268442469E-3</v>
      </c>
      <c r="AF6" s="35">
        <f t="shared" ca="1" si="15"/>
        <v>1.0708342377541459E-2</v>
      </c>
      <c r="AG6" s="35">
        <f t="shared" ca="1" si="16"/>
        <v>1.5583866245902341E-3</v>
      </c>
      <c r="AH6" s="35">
        <f t="shared" ca="1" si="17"/>
        <v>1.4749016268442469E-3</v>
      </c>
      <c r="AI6" s="35">
        <f t="shared" ca="1" si="18"/>
        <v>1.4749016268442469E-3</v>
      </c>
      <c r="AJ6" s="35">
        <f t="shared" ca="1" si="19"/>
        <v>1.5583866245902341E-3</v>
      </c>
      <c r="AK6" s="35">
        <f t="shared" ca="1" si="20"/>
        <v>1.5583866245902341E-3</v>
      </c>
      <c r="AM6" s="35">
        <f t="shared" ca="1" si="21"/>
        <v>4.3412198827870382E-2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5.2910000000000004</v>
      </c>
      <c r="F7">
        <v>220</v>
      </c>
      <c r="H7" s="35" t="s">
        <v>18</v>
      </c>
      <c r="I7" s="35">
        <v>100</v>
      </c>
      <c r="J7" s="35">
        <v>1</v>
      </c>
      <c r="L7" s="35">
        <f t="shared" ca="1" si="0"/>
        <v>239.227</v>
      </c>
      <c r="M7" s="35">
        <f t="shared" ca="1" si="1"/>
        <v>239.15600000000001</v>
      </c>
      <c r="N7" s="35">
        <f t="shared" ca="1" si="2"/>
        <v>239.16900000000001</v>
      </c>
      <c r="O7" s="35">
        <f t="shared" ca="1" si="3"/>
        <v>239.227</v>
      </c>
      <c r="P7" s="35">
        <f t="shared" ca="1" si="4"/>
        <v>239.27099999999999</v>
      </c>
      <c r="Q7" s="35">
        <f t="shared" ca="1" si="5"/>
        <v>240.607</v>
      </c>
      <c r="R7" s="35">
        <f t="shared" ca="1" si="6"/>
        <v>239.55500000000001</v>
      </c>
      <c r="S7" s="35">
        <f t="shared" ca="1" si="7"/>
        <v>239.75299999999999</v>
      </c>
      <c r="T7" s="35">
        <f t="shared" ca="1" si="8"/>
        <v>239.08699999999999</v>
      </c>
      <c r="U7" s="35">
        <f t="shared" ca="1" si="9"/>
        <v>239.25</v>
      </c>
      <c r="W7" s="35">
        <f t="shared" ca="1" si="10"/>
        <v>239.43019999999996</v>
      </c>
      <c r="Y7" s="35">
        <f ca="1">Total!E7</f>
        <v>238.86699999999999</v>
      </c>
      <c r="AB7" s="35">
        <f t="shared" ca="1" si="11"/>
        <v>1.5071148379642799E-3</v>
      </c>
      <c r="AC7" s="35">
        <f t="shared" ca="1" si="12"/>
        <v>1.2098783004769E-3</v>
      </c>
      <c r="AD7" s="35">
        <f t="shared" ca="1" si="13"/>
        <v>1.2643018918478523E-3</v>
      </c>
      <c r="AE7" s="35">
        <f t="shared" ca="1" si="14"/>
        <v>1.5071148379642799E-3</v>
      </c>
      <c r="AF7" s="35">
        <f t="shared" ca="1" si="15"/>
        <v>1.6913177626042793E-3</v>
      </c>
      <c r="AG7" s="35">
        <f t="shared" ca="1" si="16"/>
        <v>7.284388383493782E-3</v>
      </c>
      <c r="AH7" s="35">
        <f t="shared" ca="1" si="17"/>
        <v>2.8802639125539175E-3</v>
      </c>
      <c r="AI7" s="35">
        <f t="shared" ca="1" si="18"/>
        <v>3.7091770734341526E-3</v>
      </c>
      <c r="AJ7" s="35">
        <f t="shared" ca="1" si="19"/>
        <v>9.2101462320035368E-4</v>
      </c>
      <c r="AK7" s="35">
        <f t="shared" ca="1" si="20"/>
        <v>1.6034027303897557E-3</v>
      </c>
      <c r="AM7" s="35">
        <f t="shared" ca="1" si="21"/>
        <v>2.3577974353929554E-2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5.29</v>
      </c>
      <c r="F8">
        <v>258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28.587</v>
      </c>
      <c r="E9">
        <v>5.2750000000000004</v>
      </c>
      <c r="F9">
        <v>290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28.504000000000001</v>
      </c>
      <c r="E10">
        <v>5.2750000000000004</v>
      </c>
      <c r="F10">
        <v>229</v>
      </c>
      <c r="H10" s="35" t="s">
        <v>19</v>
      </c>
      <c r="I10" s="35">
        <v>100</v>
      </c>
      <c r="J10" s="35">
        <v>1</v>
      </c>
      <c r="L10" s="35">
        <f t="shared" ca="1" si="0"/>
        <v>35272.953000000001</v>
      </c>
      <c r="M10" s="35">
        <f t="shared" ca="1" si="1"/>
        <v>35246.373</v>
      </c>
      <c r="N10" s="35">
        <f t="shared" ca="1" si="2"/>
        <v>35266.559000000001</v>
      </c>
      <c r="O10" s="35">
        <f t="shared" ca="1" si="3"/>
        <v>35260.512999999999</v>
      </c>
      <c r="P10" s="35">
        <f t="shared" ca="1" si="4"/>
        <v>35272.953000000001</v>
      </c>
      <c r="Q10" s="35">
        <f t="shared" ca="1" si="5"/>
        <v>35223.197</v>
      </c>
      <c r="R10" s="35">
        <f t="shared" ca="1" si="6"/>
        <v>35260.472000000002</v>
      </c>
      <c r="S10" s="35">
        <f t="shared" ca="1" si="7"/>
        <v>35258.428</v>
      </c>
      <c r="T10" s="35">
        <f t="shared" ca="1" si="8"/>
        <v>35228.758000000002</v>
      </c>
      <c r="U10" s="35">
        <f t="shared" ca="1" si="9"/>
        <v>35245.222999999998</v>
      </c>
      <c r="W10" s="35">
        <f t="shared" ca="1" si="10"/>
        <v>35253.5429</v>
      </c>
      <c r="Y10" s="35">
        <f ca="1">Total!E10</f>
        <v>35210.383000000002</v>
      </c>
      <c r="AB10" s="35">
        <f t="shared" ca="1" si="11"/>
        <v>1.7770326440357013E-3</v>
      </c>
      <c r="AC10" s="35">
        <f t="shared" ca="1" si="12"/>
        <v>1.0221416790609167E-3</v>
      </c>
      <c r="AD10" s="35">
        <f t="shared" ca="1" si="13"/>
        <v>1.5954384818818777E-3</v>
      </c>
      <c r="AE10" s="35">
        <f t="shared" ca="1" si="14"/>
        <v>1.4237277680278961E-3</v>
      </c>
      <c r="AF10" s="35">
        <f t="shared" ca="1" si="15"/>
        <v>1.7770326440357013E-3</v>
      </c>
      <c r="AG10" s="35">
        <f t="shared" ca="1" si="16"/>
        <v>3.6392674285873252E-4</v>
      </c>
      <c r="AH10" s="35">
        <f t="shared" ca="1" si="17"/>
        <v>1.4225633387742456E-3</v>
      </c>
      <c r="AI10" s="35">
        <f t="shared" ca="1" si="18"/>
        <v>1.3645122803690676E-3</v>
      </c>
      <c r="AJ10" s="35">
        <f t="shared" ca="1" si="19"/>
        <v>5.218631106625565E-4</v>
      </c>
      <c r="AK10" s="35">
        <f t="shared" ca="1" si="20"/>
        <v>9.8948085852961333E-4</v>
      </c>
      <c r="AM10" s="35">
        <f t="shared" ca="1" si="21"/>
        <v>1.2257719548236309E-2</v>
      </c>
    </row>
    <row r="11" spans="1:39" x14ac:dyDescent="0.3">
      <c r="A11" t="s">
        <v>17</v>
      </c>
      <c r="B11">
        <v>50</v>
      </c>
      <c r="C11">
        <v>1</v>
      </c>
      <c r="D11">
        <v>52.987000000000002</v>
      </c>
      <c r="E11">
        <v>19.562000000000001</v>
      </c>
      <c r="F11">
        <v>311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657.35599999999999</v>
      </c>
      <c r="N11" s="35">
        <f t="shared" ca="1" si="2"/>
        <v>658.005</v>
      </c>
      <c r="O11" s="35">
        <f t="shared" ca="1" si="3"/>
        <v>658.23299999999995</v>
      </c>
      <c r="P11" s="35">
        <f t="shared" ca="1" si="4"/>
        <v>658.23299999999995</v>
      </c>
      <c r="Q11" s="35">
        <f t="shared" ca="1" si="5"/>
        <v>657.35599999999999</v>
      </c>
      <c r="R11" s="35">
        <f t="shared" ca="1" si="6"/>
        <v>658.23299999999995</v>
      </c>
      <c r="S11" s="35">
        <f t="shared" ca="1" si="7"/>
        <v>657.98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657.74639999999999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2.8849747888902728E-3</v>
      </c>
      <c r="AD11" s="35">
        <f t="shared" ca="1" si="13"/>
        <v>3.8751115620207998E-3</v>
      </c>
      <c r="AE11" s="35">
        <f t="shared" ca="1" si="14"/>
        <v>4.2229562219186613E-3</v>
      </c>
      <c r="AF11" s="35">
        <f t="shared" ca="1" si="15"/>
        <v>4.2229562219186613E-3</v>
      </c>
      <c r="AG11" s="35">
        <f t="shared" ca="1" si="16"/>
        <v>2.8849747888902728E-3</v>
      </c>
      <c r="AH11" s="35">
        <f t="shared" ca="1" si="17"/>
        <v>4.2229562219186613E-3</v>
      </c>
      <c r="AI11" s="35">
        <f t="shared" ca="1" si="18"/>
        <v>3.8369707001899207E-3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3.4805824872418067E-2</v>
      </c>
    </row>
    <row r="12" spans="1:39" x14ac:dyDescent="0.3">
      <c r="A12" t="s">
        <v>17</v>
      </c>
      <c r="B12">
        <v>50</v>
      </c>
      <c r="C12">
        <v>1</v>
      </c>
      <c r="D12">
        <v>52.987000000000002</v>
      </c>
      <c r="E12">
        <v>19.550999999999998</v>
      </c>
      <c r="F12">
        <v>316</v>
      </c>
      <c r="H12" s="35" t="s">
        <v>20</v>
      </c>
      <c r="I12" s="35">
        <v>50</v>
      </c>
      <c r="J12" s="35">
        <v>1</v>
      </c>
      <c r="L12" s="35">
        <f t="shared" ca="1" si="0"/>
        <v>994.88199999999995</v>
      </c>
      <c r="M12" s="35">
        <f t="shared" ca="1" si="1"/>
        <v>995.04399999999998</v>
      </c>
      <c r="N12" s="35">
        <f t="shared" ca="1" si="2"/>
        <v>994.827</v>
      </c>
      <c r="O12" s="35">
        <f t="shared" ca="1" si="3"/>
        <v>992.07500000000005</v>
      </c>
      <c r="P12" s="35">
        <f t="shared" ca="1" si="4"/>
        <v>993.86199999999997</v>
      </c>
      <c r="Q12" s="35">
        <f t="shared" ca="1" si="5"/>
        <v>993.34199999999998</v>
      </c>
      <c r="R12" s="35">
        <f t="shared" ca="1" si="6"/>
        <v>994.16200000000003</v>
      </c>
      <c r="S12" s="35">
        <f t="shared" ca="1" si="7"/>
        <v>991.51300000000003</v>
      </c>
      <c r="T12" s="35">
        <f t="shared" ca="1" si="8"/>
        <v>993.82899999999995</v>
      </c>
      <c r="U12" s="35">
        <f t="shared" ca="1" si="9"/>
        <v>993.226</v>
      </c>
      <c r="W12" s="35">
        <f t="shared" ca="1" si="10"/>
        <v>993.67620000000011</v>
      </c>
      <c r="Y12" s="35">
        <f ca="1">Total!E12</f>
        <v>990.096</v>
      </c>
      <c r="AB12" s="35">
        <f t="shared" ca="1" si="11"/>
        <v>4.8338746949790163E-3</v>
      </c>
      <c r="AC12" s="35">
        <f t="shared" ca="1" si="12"/>
        <v>4.997495192385364E-3</v>
      </c>
      <c r="AD12" s="35">
        <f t="shared" ca="1" si="13"/>
        <v>4.7783245261065537E-3</v>
      </c>
      <c r="AE12" s="35">
        <f t="shared" ca="1" si="14"/>
        <v>1.9987960763401145E-3</v>
      </c>
      <c r="AF12" s="35">
        <f t="shared" ca="1" si="15"/>
        <v>3.8036715631615142E-3</v>
      </c>
      <c r="AG12" s="35">
        <f t="shared" ca="1" si="16"/>
        <v>3.2784699665486792E-3</v>
      </c>
      <c r="AH12" s="35">
        <f t="shared" ca="1" si="17"/>
        <v>4.106672484284383E-3</v>
      </c>
      <c r="AI12" s="35">
        <f t="shared" ca="1" si="18"/>
        <v>1.4311743507700566E-3</v>
      </c>
      <c r="AJ12" s="35">
        <f t="shared" ca="1" si="19"/>
        <v>3.7703414618379906E-3</v>
      </c>
      <c r="AK12" s="35">
        <f t="shared" ca="1" si="20"/>
        <v>3.161309610381211E-3</v>
      </c>
      <c r="AM12" s="35">
        <f t="shared" ca="1" si="21"/>
        <v>3.6160129926794883E-2</v>
      </c>
    </row>
    <row r="13" spans="1:39" x14ac:dyDescent="0.3">
      <c r="A13" t="s">
        <v>17</v>
      </c>
      <c r="B13">
        <v>50</v>
      </c>
      <c r="C13">
        <v>1</v>
      </c>
      <c r="D13">
        <v>53.057000000000002</v>
      </c>
      <c r="E13">
        <v>19.556000000000001</v>
      </c>
      <c r="F13">
        <v>310</v>
      </c>
      <c r="H13" s="35" t="s">
        <v>20</v>
      </c>
      <c r="I13" s="35">
        <v>100</v>
      </c>
      <c r="J13" s="35">
        <v>1</v>
      </c>
      <c r="L13" s="35">
        <f t="shared" ca="1" si="0"/>
        <v>1757.2449999999999</v>
      </c>
      <c r="M13" s="35">
        <f t="shared" ca="1" si="1"/>
        <v>1755.02</v>
      </c>
      <c r="N13" s="35">
        <f t="shared" ca="1" si="2"/>
        <v>1756.2950000000001</v>
      </c>
      <c r="O13" s="35">
        <f t="shared" ca="1" si="3"/>
        <v>1756.9069999999999</v>
      </c>
      <c r="P13" s="35">
        <f t="shared" ca="1" si="4"/>
        <v>1755.4469999999999</v>
      </c>
      <c r="Q13" s="35">
        <f t="shared" ca="1" si="5"/>
        <v>1758.827</v>
      </c>
      <c r="R13" s="35">
        <f t="shared" ca="1" si="6"/>
        <v>1760.751</v>
      </c>
      <c r="S13" s="35">
        <f t="shared" ca="1" si="7"/>
        <v>1759.74</v>
      </c>
      <c r="T13" s="35">
        <f t="shared" ca="1" si="8"/>
        <v>1758.348</v>
      </c>
      <c r="U13" s="35">
        <f t="shared" ca="1" si="9"/>
        <v>1757.758</v>
      </c>
      <c r="W13" s="35">
        <f t="shared" ca="1" si="10"/>
        <v>1757.6338000000001</v>
      </c>
      <c r="Y13" s="35">
        <f ca="1">Total!E13</f>
        <v>1753.79</v>
      </c>
      <c r="AB13" s="35">
        <f t="shared" ca="1" si="11"/>
        <v>1.9700192155274734E-3</v>
      </c>
      <c r="AC13" s="35">
        <f t="shared" ca="1" si="12"/>
        <v>7.0133824460170155E-4</v>
      </c>
      <c r="AD13" s="35">
        <f t="shared" ca="1" si="13"/>
        <v>1.4283352054693603E-3</v>
      </c>
      <c r="AE13" s="35">
        <f t="shared" ca="1" si="14"/>
        <v>1.7772937466857275E-3</v>
      </c>
      <c r="AF13" s="35">
        <f t="shared" ca="1" si="15"/>
        <v>9.4481095228044713E-4</v>
      </c>
      <c r="AG13" s="35">
        <f t="shared" ca="1" si="16"/>
        <v>2.8720656406981651E-3</v>
      </c>
      <c r="AH13" s="35">
        <f t="shared" ca="1" si="17"/>
        <v>3.9691183094897409E-3</v>
      </c>
      <c r="AI13" s="35">
        <f t="shared" ca="1" si="18"/>
        <v>3.3926524840488573E-3</v>
      </c>
      <c r="AJ13" s="35">
        <f t="shared" ca="1" si="19"/>
        <v>2.5989428608898402E-3</v>
      </c>
      <c r="AK13" s="35">
        <f t="shared" ca="1" si="20"/>
        <v>2.2625285809589942E-3</v>
      </c>
      <c r="AM13" s="35">
        <f t="shared" ca="1" si="21"/>
        <v>2.1917105240650304E-2</v>
      </c>
    </row>
    <row r="14" spans="1:39" x14ac:dyDescent="0.3">
      <c r="A14" t="s">
        <v>17</v>
      </c>
      <c r="B14">
        <v>50</v>
      </c>
      <c r="C14">
        <v>1</v>
      </c>
      <c r="D14">
        <v>53.137</v>
      </c>
      <c r="E14">
        <v>19.562000000000001</v>
      </c>
      <c r="F14">
        <v>326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53.017000000000003</v>
      </c>
      <c r="E15">
        <v>19.545999999999999</v>
      </c>
      <c r="F15">
        <v>425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76.989000000000004</v>
      </c>
      <c r="M15" s="35">
        <f t="shared" ca="1" si="1"/>
        <v>76.531999999999996</v>
      </c>
      <c r="N15" s="35">
        <f t="shared" ca="1" si="1"/>
        <v>76.67</v>
      </c>
      <c r="O15" s="35">
        <f t="shared" ca="1" si="1"/>
        <v>76.710999999999999</v>
      </c>
      <c r="P15" s="35">
        <f t="shared" ca="1" si="1"/>
        <v>76.644999999999996</v>
      </c>
      <c r="Q15" s="35">
        <f t="shared" ca="1" si="1"/>
        <v>76.844999999999999</v>
      </c>
      <c r="R15" s="35">
        <f t="shared" ca="1" si="1"/>
        <v>76.527000000000001</v>
      </c>
      <c r="S15" s="35">
        <f t="shared" ca="1" si="1"/>
        <v>76.427000000000007</v>
      </c>
      <c r="T15" s="35">
        <f t="shared" ca="1" si="1"/>
        <v>76.617999999999995</v>
      </c>
      <c r="U15" s="35">
        <f t="shared" ca="1" si="1"/>
        <v>76.444000000000003</v>
      </c>
      <c r="W15" s="35">
        <f t="shared" ca="1" si="10"/>
        <v>76.640800000000013</v>
      </c>
      <c r="Y15" s="35">
        <f ca="1">Total!E15</f>
        <v>75.998000000000005</v>
      </c>
      <c r="AB15" s="35">
        <f t="shared" ca="1" si="11"/>
        <v>1.3039816837285187E-2</v>
      </c>
      <c r="AC15" s="35">
        <f t="shared" ca="1" si="12"/>
        <v>7.0265006973866655E-3</v>
      </c>
      <c r="AD15" s="35">
        <f t="shared" ca="1" si="13"/>
        <v>8.8423379562619676E-3</v>
      </c>
      <c r="AE15" s="35">
        <f t="shared" ca="1" si="14"/>
        <v>9.3818258375219579E-3</v>
      </c>
      <c r="AF15" s="35">
        <f t="shared" ca="1" si="15"/>
        <v>8.5133819311033355E-3</v>
      </c>
      <c r="AG15" s="35">
        <f t="shared" ca="1" si="16"/>
        <v>1.1145030132371827E-2</v>
      </c>
      <c r="AH15" s="35">
        <f t="shared" ca="1" si="17"/>
        <v>6.9607094923550134E-3</v>
      </c>
      <c r="AI15" s="35">
        <f t="shared" ca="1" si="18"/>
        <v>5.6448853917208611E-3</v>
      </c>
      <c r="AJ15" s="35">
        <f t="shared" ca="1" si="19"/>
        <v>8.1581094239320806E-3</v>
      </c>
      <c r="AK15" s="35">
        <f t="shared" ca="1" si="20"/>
        <v>5.868575488828626E-3</v>
      </c>
      <c r="AM15" s="35">
        <f t="shared" ca="1" si="21"/>
        <v>8.4581173188767539E-2</v>
      </c>
    </row>
    <row r="16" spans="1:39" x14ac:dyDescent="0.3">
      <c r="A16" t="s">
        <v>17</v>
      </c>
      <c r="B16">
        <v>50</v>
      </c>
      <c r="C16">
        <v>1</v>
      </c>
      <c r="D16">
        <v>53.067</v>
      </c>
      <c r="E16">
        <v>19.57</v>
      </c>
      <c r="F16">
        <v>432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119.41800000000001</v>
      </c>
      <c r="M16" s="35">
        <f t="shared" ca="1" si="1"/>
        <v>119.52800000000001</v>
      </c>
      <c r="N16" s="35">
        <f t="shared" ca="1" si="1"/>
        <v>119.402</v>
      </c>
      <c r="O16" s="35">
        <f t="shared" ca="1" si="1"/>
        <v>119.226</v>
      </c>
      <c r="P16" s="35">
        <f t="shared" ca="1" si="1"/>
        <v>119.506</v>
      </c>
      <c r="Q16" s="35">
        <f t="shared" ca="1" si="1"/>
        <v>119.134</v>
      </c>
      <c r="R16" s="35">
        <f t="shared" ca="1" si="1"/>
        <v>119.53700000000001</v>
      </c>
      <c r="S16" s="35">
        <f t="shared" ca="1" si="1"/>
        <v>119.60899999999999</v>
      </c>
      <c r="T16" s="35">
        <f t="shared" ca="1" si="1"/>
        <v>119.239</v>
      </c>
      <c r="U16" s="35">
        <f t="shared" ca="1" si="1"/>
        <v>119.319</v>
      </c>
      <c r="W16" s="35">
        <f t="shared" ca="1" si="10"/>
        <v>119.39180000000002</v>
      </c>
      <c r="Y16" s="35">
        <f ca="1">Total!E16</f>
        <v>118.01</v>
      </c>
      <c r="AB16" s="35">
        <f t="shared" ca="1" si="11"/>
        <v>1.1931192271841379E-2</v>
      </c>
      <c r="AC16" s="35">
        <f t="shared" ca="1" si="12"/>
        <v>1.2863316668078982E-2</v>
      </c>
      <c r="AD16" s="35">
        <f t="shared" ca="1" si="13"/>
        <v>1.17956105414795E-2</v>
      </c>
      <c r="AE16" s="35">
        <f t="shared" ca="1" si="14"/>
        <v>1.0304211507499312E-2</v>
      </c>
      <c r="AF16" s="35">
        <f t="shared" ca="1" si="15"/>
        <v>1.2676891788831413E-2</v>
      </c>
      <c r="AG16" s="35">
        <f t="shared" ca="1" si="16"/>
        <v>9.5246165579187803E-3</v>
      </c>
      <c r="AH16" s="35">
        <f t="shared" ca="1" si="17"/>
        <v>1.2939581391407516E-2</v>
      </c>
      <c r="AI16" s="35">
        <f t="shared" ca="1" si="18"/>
        <v>1.354969917803567E-2</v>
      </c>
      <c r="AJ16" s="35">
        <f t="shared" ca="1" si="19"/>
        <v>1.0414371663418347E-2</v>
      </c>
      <c r="AK16" s="35">
        <f t="shared" ca="1" si="20"/>
        <v>1.1092280315227502E-2</v>
      </c>
      <c r="AM16" s="35">
        <f t="shared" ca="1" si="21"/>
        <v>0.11709177188373841</v>
      </c>
    </row>
    <row r="17" spans="1:39" x14ac:dyDescent="0.3">
      <c r="A17" t="s">
        <v>17</v>
      </c>
      <c r="B17">
        <v>50</v>
      </c>
      <c r="C17">
        <v>1</v>
      </c>
      <c r="D17">
        <v>53.017000000000003</v>
      </c>
      <c r="E17">
        <v>19.587</v>
      </c>
      <c r="F17">
        <v>415</v>
      </c>
      <c r="H17" s="35" t="s">
        <v>34</v>
      </c>
      <c r="I17" s="35">
        <v>40</v>
      </c>
      <c r="J17" s="35">
        <v>1</v>
      </c>
      <c r="L17" s="35">
        <f t="shared" ca="1" si="22"/>
        <v>16.539000000000001</v>
      </c>
      <c r="M17" s="35">
        <f t="shared" ca="1" si="1"/>
        <v>16.515000000000001</v>
      </c>
      <c r="N17" s="35">
        <f t="shared" ca="1" si="1"/>
        <v>16.600999999999999</v>
      </c>
      <c r="O17" s="35">
        <f t="shared" ca="1" si="1"/>
        <v>16.771000000000001</v>
      </c>
      <c r="P17" s="35">
        <f t="shared" ca="1" si="1"/>
        <v>16.792999999999999</v>
      </c>
      <c r="Q17" s="35">
        <f t="shared" ca="1" si="1"/>
        <v>16.692</v>
      </c>
      <c r="R17" s="35">
        <f t="shared" ca="1" si="1"/>
        <v>16.649000000000001</v>
      </c>
      <c r="S17" s="35">
        <f t="shared" ca="1" si="1"/>
        <v>16.539000000000001</v>
      </c>
      <c r="T17" s="35">
        <f t="shared" ca="1" si="1"/>
        <v>16.763000000000002</v>
      </c>
      <c r="U17" s="35">
        <f t="shared" ca="1" si="1"/>
        <v>16.616</v>
      </c>
      <c r="W17" s="35">
        <f t="shared" ca="1" si="10"/>
        <v>16.6478</v>
      </c>
      <c r="Y17" s="35">
        <f ca="1">Total!E17</f>
        <v>16.481999999999999</v>
      </c>
      <c r="AB17" s="35">
        <f t="shared" ca="1" si="11"/>
        <v>3.4583181652713363E-3</v>
      </c>
      <c r="AC17" s="35">
        <f t="shared" ca="1" si="12"/>
        <v>2.0021842009465629E-3</v>
      </c>
      <c r="AD17" s="35">
        <f t="shared" ca="1" si="13"/>
        <v>7.2199975731100461E-3</v>
      </c>
      <c r="AE17" s="35">
        <f t="shared" ca="1" si="14"/>
        <v>1.7534279820410236E-2</v>
      </c>
      <c r="AF17" s="35">
        <f t="shared" ca="1" si="15"/>
        <v>1.8869069287707801E-2</v>
      </c>
      <c r="AG17" s="35">
        <f t="shared" ca="1" si="16"/>
        <v>1.2741172187841333E-2</v>
      </c>
      <c r="AH17" s="35">
        <f t="shared" ca="1" si="17"/>
        <v>1.0132265501759592E-2</v>
      </c>
      <c r="AI17" s="35">
        <f t="shared" ca="1" si="18"/>
        <v>3.4583181652713363E-3</v>
      </c>
      <c r="AJ17" s="35">
        <f t="shared" ca="1" si="19"/>
        <v>1.7048901832302048E-2</v>
      </c>
      <c r="AK17" s="35">
        <f t="shared" ca="1" si="20"/>
        <v>8.1300813008130298E-3</v>
      </c>
      <c r="AM17" s="35">
        <f t="shared" ca="1" si="21"/>
        <v>0.10059458803543332</v>
      </c>
    </row>
    <row r="18" spans="1:39" x14ac:dyDescent="0.3">
      <c r="A18" t="s">
        <v>17</v>
      </c>
      <c r="B18">
        <v>50</v>
      </c>
      <c r="C18">
        <v>1</v>
      </c>
      <c r="D18">
        <v>53.017000000000003</v>
      </c>
      <c r="E18">
        <v>19.552</v>
      </c>
      <c r="F18">
        <v>312</v>
      </c>
      <c r="H18" s="35" t="s">
        <v>34</v>
      </c>
      <c r="I18" s="35">
        <v>96</v>
      </c>
      <c r="J18" s="35">
        <v>1</v>
      </c>
      <c r="L18" s="35">
        <f t="shared" ca="1" si="22"/>
        <v>35.204999999999998</v>
      </c>
      <c r="M18" s="35">
        <f t="shared" ca="1" si="22"/>
        <v>35.152999999999999</v>
      </c>
      <c r="N18" s="35">
        <f t="shared" ca="1" si="22"/>
        <v>35.218000000000004</v>
      </c>
      <c r="O18" s="35">
        <f t="shared" ca="1" si="22"/>
        <v>35.188000000000002</v>
      </c>
      <c r="P18" s="35">
        <f t="shared" ca="1" si="22"/>
        <v>35.173000000000002</v>
      </c>
      <c r="Q18" s="35">
        <f t="shared" ca="1" si="22"/>
        <v>35.159999999999997</v>
      </c>
      <c r="R18" s="35">
        <f t="shared" ca="1" si="22"/>
        <v>35.145000000000003</v>
      </c>
      <c r="S18" s="35">
        <f t="shared" ca="1" si="22"/>
        <v>35.104999999999997</v>
      </c>
      <c r="T18" s="35">
        <f t="shared" ca="1" si="22"/>
        <v>35.177999999999997</v>
      </c>
      <c r="U18" s="35">
        <f t="shared" ca="1" si="22"/>
        <v>35.101999999999997</v>
      </c>
      <c r="W18" s="35">
        <f t="shared" ca="1" si="10"/>
        <v>35.162700000000001</v>
      </c>
      <c r="Y18" s="35">
        <f ca="1">Total!E18</f>
        <v>35.069000000000003</v>
      </c>
      <c r="AB18" s="35">
        <f t="shared" ca="1" si="11"/>
        <v>3.8780689497845866E-3</v>
      </c>
      <c r="AC18" s="35">
        <f t="shared" ca="1" si="12"/>
        <v>2.3952778807492677E-3</v>
      </c>
      <c r="AD18" s="35">
        <f t="shared" ca="1" si="13"/>
        <v>4.2487667170435679E-3</v>
      </c>
      <c r="AE18" s="35">
        <f t="shared" ca="1" si="14"/>
        <v>3.3933103310616148E-3</v>
      </c>
      <c r="AF18" s="35">
        <f t="shared" ca="1" si="15"/>
        <v>2.9655821380706378E-3</v>
      </c>
      <c r="AG18" s="35">
        <f t="shared" ca="1" si="16"/>
        <v>2.5948843708116561E-3</v>
      </c>
      <c r="AH18" s="35">
        <f t="shared" ca="1" si="17"/>
        <v>2.1671561778208817E-3</v>
      </c>
      <c r="AI18" s="35">
        <f t="shared" ca="1" si="18"/>
        <v>1.0265476631781418E-3</v>
      </c>
      <c r="AJ18" s="35">
        <f t="shared" ca="1" si="19"/>
        <v>3.1081582024008285E-3</v>
      </c>
      <c r="AK18" s="35">
        <f t="shared" ca="1" si="20"/>
        <v>9.410020245799465E-4</v>
      </c>
      <c r="AM18" s="35">
        <f t="shared" ca="1" si="21"/>
        <v>2.6718754455501131E-2</v>
      </c>
    </row>
    <row r="19" spans="1:39" x14ac:dyDescent="0.3">
      <c r="A19" t="s">
        <v>17</v>
      </c>
      <c r="B19">
        <v>50</v>
      </c>
      <c r="C19">
        <v>1</v>
      </c>
      <c r="D19">
        <v>53.017000000000003</v>
      </c>
      <c r="E19">
        <v>19.574999999999999</v>
      </c>
      <c r="F19">
        <v>322</v>
      </c>
      <c r="H19" s="35" t="s">
        <v>34</v>
      </c>
      <c r="I19" s="35">
        <v>224</v>
      </c>
      <c r="J19" s="35">
        <v>1</v>
      </c>
      <c r="L19" s="35">
        <f t="shared" ca="1" si="22"/>
        <v>71.918999999999997</v>
      </c>
      <c r="M19" s="35">
        <f t="shared" ca="1" si="22"/>
        <v>71.921000000000006</v>
      </c>
      <c r="N19" s="35">
        <f t="shared" ca="1" si="22"/>
        <v>71.911000000000001</v>
      </c>
      <c r="O19" s="35">
        <f t="shared" ca="1" si="22"/>
        <v>71.912000000000006</v>
      </c>
      <c r="P19" s="35">
        <f t="shared" ca="1" si="22"/>
        <v>71.924999999999997</v>
      </c>
      <c r="Q19" s="35">
        <f t="shared" ca="1" si="22"/>
        <v>71.951999999999998</v>
      </c>
      <c r="R19" s="35">
        <f t="shared" ca="1" si="22"/>
        <v>72.024000000000001</v>
      </c>
      <c r="S19" s="35">
        <f t="shared" ca="1" si="22"/>
        <v>71.932000000000002</v>
      </c>
      <c r="T19" s="35">
        <f t="shared" ca="1" si="22"/>
        <v>71.918000000000006</v>
      </c>
      <c r="U19" s="35">
        <f t="shared" ca="1" si="22"/>
        <v>71.915000000000006</v>
      </c>
      <c r="W19" s="35">
        <f t="shared" ca="1" si="10"/>
        <v>71.932899999999989</v>
      </c>
      <c r="Y19" s="35">
        <f ca="1">Total!E19</f>
        <v>71.908000000000001</v>
      </c>
      <c r="AB19" s="35">
        <f t="shared" ca="1" si="11"/>
        <v>1.5297324358897035E-4</v>
      </c>
      <c r="AC19" s="35">
        <f t="shared" ca="1" si="12"/>
        <v>1.8078656060529049E-4</v>
      </c>
      <c r="AD19" s="35">
        <f t="shared" ca="1" si="13"/>
        <v>4.1719975524282608E-5</v>
      </c>
      <c r="AE19" s="35">
        <f t="shared" ca="1" si="14"/>
        <v>5.5626634032442683E-5</v>
      </c>
      <c r="AF19" s="35">
        <f t="shared" ca="1" si="15"/>
        <v>2.3641319463753557E-4</v>
      </c>
      <c r="AG19" s="35">
        <f t="shared" ca="1" si="16"/>
        <v>6.1189297435607906E-4</v>
      </c>
      <c r="AH19" s="35">
        <f t="shared" ca="1" si="17"/>
        <v>1.6131723869388616E-3</v>
      </c>
      <c r="AI19" s="35">
        <f t="shared" ca="1" si="18"/>
        <v>3.3375980419426087E-4</v>
      </c>
      <c r="AJ19" s="35">
        <f t="shared" ca="1" si="19"/>
        <v>1.3906658508100789E-4</v>
      </c>
      <c r="AK19" s="35">
        <f t="shared" ca="1" si="20"/>
        <v>9.7346609556725285E-5</v>
      </c>
      <c r="AM19" s="35">
        <f t="shared" ca="1" si="21"/>
        <v>3.4627579685154561E-3</v>
      </c>
    </row>
    <row r="20" spans="1:39" x14ac:dyDescent="0.3">
      <c r="A20" t="s">
        <v>17</v>
      </c>
      <c r="B20">
        <v>50</v>
      </c>
      <c r="C20">
        <v>1</v>
      </c>
      <c r="D20">
        <v>53.067</v>
      </c>
      <c r="E20">
        <v>19.587</v>
      </c>
      <c r="F20">
        <v>325</v>
      </c>
    </row>
    <row r="21" spans="1:39" x14ac:dyDescent="0.3">
      <c r="A21" t="s">
        <v>17</v>
      </c>
      <c r="B21">
        <v>100</v>
      </c>
      <c r="C21">
        <v>1</v>
      </c>
      <c r="D21">
        <v>103.274</v>
      </c>
      <c r="E21">
        <v>102.16</v>
      </c>
      <c r="F21">
        <v>520</v>
      </c>
    </row>
    <row r="22" spans="1:39" x14ac:dyDescent="0.3">
      <c r="A22" t="s">
        <v>17</v>
      </c>
      <c r="B22">
        <v>100</v>
      </c>
      <c r="C22">
        <v>1</v>
      </c>
      <c r="D22">
        <v>103.062</v>
      </c>
      <c r="E22">
        <v>102.166</v>
      </c>
      <c r="F22">
        <v>553</v>
      </c>
    </row>
    <row r="23" spans="1:39" x14ac:dyDescent="0.3">
      <c r="A23" t="s">
        <v>17</v>
      </c>
      <c r="B23">
        <v>100</v>
      </c>
      <c r="C23">
        <v>1</v>
      </c>
      <c r="D23">
        <v>103.304</v>
      </c>
      <c r="E23">
        <v>102.086</v>
      </c>
      <c r="F23">
        <v>497</v>
      </c>
    </row>
    <row r="24" spans="1:39" x14ac:dyDescent="0.3">
      <c r="A24" t="s">
        <v>17</v>
      </c>
      <c r="B24">
        <v>100</v>
      </c>
      <c r="C24">
        <v>1</v>
      </c>
      <c r="D24">
        <v>103.235</v>
      </c>
      <c r="E24">
        <v>102.136</v>
      </c>
      <c r="F24">
        <v>538</v>
      </c>
    </row>
    <row r="25" spans="1:39" x14ac:dyDescent="0.3">
      <c r="A25" t="s">
        <v>17</v>
      </c>
      <c r="B25">
        <v>100</v>
      </c>
      <c r="C25">
        <v>1</v>
      </c>
      <c r="D25">
        <v>103.277</v>
      </c>
      <c r="E25">
        <v>102.02200000000001</v>
      </c>
      <c r="F25">
        <v>532</v>
      </c>
    </row>
    <row r="26" spans="1:39" x14ac:dyDescent="0.3">
      <c r="A26" t="s">
        <v>17</v>
      </c>
      <c r="B26">
        <v>100</v>
      </c>
      <c r="C26">
        <v>1</v>
      </c>
      <c r="D26">
        <v>103.273</v>
      </c>
      <c r="E26">
        <v>102.04600000000001</v>
      </c>
      <c r="F26">
        <v>520</v>
      </c>
    </row>
    <row r="27" spans="1:39" x14ac:dyDescent="0.3">
      <c r="A27" t="s">
        <v>17</v>
      </c>
      <c r="B27">
        <v>100</v>
      </c>
      <c r="C27">
        <v>1</v>
      </c>
      <c r="D27">
        <v>103.358</v>
      </c>
      <c r="E27">
        <v>102.123</v>
      </c>
      <c r="F27">
        <v>550</v>
      </c>
    </row>
    <row r="28" spans="1:39" x14ac:dyDescent="0.3">
      <c r="A28" t="s">
        <v>17</v>
      </c>
      <c r="B28">
        <v>100</v>
      </c>
      <c r="C28">
        <v>1</v>
      </c>
      <c r="D28">
        <v>103.292</v>
      </c>
      <c r="E28">
        <v>102.059</v>
      </c>
      <c r="F28">
        <v>507</v>
      </c>
    </row>
    <row r="29" spans="1:39" x14ac:dyDescent="0.3">
      <c r="A29" t="s">
        <v>17</v>
      </c>
      <c r="B29">
        <v>100</v>
      </c>
      <c r="C29">
        <v>1</v>
      </c>
      <c r="D29">
        <v>103.282</v>
      </c>
      <c r="E29">
        <v>102.142</v>
      </c>
      <c r="F29">
        <v>550</v>
      </c>
    </row>
    <row r="30" spans="1:39" x14ac:dyDescent="0.3">
      <c r="A30" t="s">
        <v>17</v>
      </c>
      <c r="B30">
        <v>100</v>
      </c>
      <c r="C30">
        <v>1</v>
      </c>
      <c r="D30">
        <v>103.277</v>
      </c>
      <c r="E30">
        <v>102.04300000000001</v>
      </c>
      <c r="F30">
        <v>519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8.0180000000000007</v>
      </c>
      <c r="F31">
        <v>325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8.0229999999999997</v>
      </c>
      <c r="F32">
        <v>325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</v>
      </c>
      <c r="F33">
        <v>323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8.02</v>
      </c>
      <c r="F34">
        <v>299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7.9969999999999999</v>
      </c>
      <c r="F35">
        <v>327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8.0030000000000001</v>
      </c>
      <c r="F36">
        <v>292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8.0280000000000005</v>
      </c>
      <c r="F37">
        <v>275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8.0090000000000003</v>
      </c>
      <c r="F38">
        <v>364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8.0079999999999991</v>
      </c>
      <c r="F39">
        <v>380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8.0169999999999995</v>
      </c>
      <c r="F40">
        <v>313</v>
      </c>
    </row>
    <row r="41" spans="1:6" x14ac:dyDescent="0.3">
      <c r="A41" t="s">
        <v>18</v>
      </c>
      <c r="B41">
        <v>50</v>
      </c>
      <c r="C41">
        <v>1</v>
      </c>
      <c r="D41">
        <v>180.685</v>
      </c>
      <c r="E41">
        <v>22.428000000000001</v>
      </c>
      <c r="F41">
        <v>463</v>
      </c>
    </row>
    <row r="42" spans="1:6" x14ac:dyDescent="0.3">
      <c r="A42" t="s">
        <v>18</v>
      </c>
      <c r="B42">
        <v>50</v>
      </c>
      <c r="C42">
        <v>1</v>
      </c>
      <c r="D42">
        <v>180.685</v>
      </c>
      <c r="E42">
        <v>22.442</v>
      </c>
      <c r="F42">
        <v>452</v>
      </c>
    </row>
    <row r="43" spans="1:6" x14ac:dyDescent="0.3">
      <c r="A43" t="s">
        <v>18</v>
      </c>
      <c r="B43">
        <v>50</v>
      </c>
      <c r="C43">
        <v>1</v>
      </c>
      <c r="D43">
        <v>181.89</v>
      </c>
      <c r="E43">
        <v>22.445</v>
      </c>
      <c r="F43">
        <v>434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22.404</v>
      </c>
      <c r="F44">
        <v>424</v>
      </c>
    </row>
    <row r="45" spans="1:6" x14ac:dyDescent="0.3">
      <c r="A45" t="s">
        <v>18</v>
      </c>
      <c r="B45">
        <v>50</v>
      </c>
      <c r="C45">
        <v>1</v>
      </c>
      <c r="D45">
        <v>181.59700000000001</v>
      </c>
      <c r="E45">
        <v>22.434999999999999</v>
      </c>
      <c r="F45">
        <v>437</v>
      </c>
    </row>
    <row r="46" spans="1:6" x14ac:dyDescent="0.3">
      <c r="A46" t="s">
        <v>18</v>
      </c>
      <c r="B46">
        <v>50</v>
      </c>
      <c r="C46">
        <v>1</v>
      </c>
      <c r="D46">
        <v>179.953</v>
      </c>
      <c r="E46">
        <v>22.431999999999999</v>
      </c>
      <c r="F46">
        <v>448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22.445</v>
      </c>
      <c r="F47">
        <v>456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22.457000000000001</v>
      </c>
      <c r="F48">
        <v>387</v>
      </c>
    </row>
    <row r="49" spans="1:6" x14ac:dyDescent="0.3">
      <c r="A49" t="s">
        <v>18</v>
      </c>
      <c r="B49">
        <v>50</v>
      </c>
      <c r="C49">
        <v>1</v>
      </c>
      <c r="D49">
        <v>179.953</v>
      </c>
      <c r="E49">
        <v>22.42</v>
      </c>
      <c r="F49">
        <v>331</v>
      </c>
    </row>
    <row r="50" spans="1:6" x14ac:dyDescent="0.3">
      <c r="A50" t="s">
        <v>18</v>
      </c>
      <c r="B50">
        <v>50</v>
      </c>
      <c r="C50">
        <v>1</v>
      </c>
      <c r="D50">
        <v>179.953</v>
      </c>
      <c r="E50">
        <v>22.446999999999999</v>
      </c>
      <c r="F50">
        <v>323</v>
      </c>
    </row>
    <row r="51" spans="1:6" x14ac:dyDescent="0.3">
      <c r="A51" t="s">
        <v>18</v>
      </c>
      <c r="B51">
        <v>100</v>
      </c>
      <c r="C51">
        <v>1</v>
      </c>
      <c r="D51">
        <v>239.227</v>
      </c>
      <c r="E51">
        <v>138.58000000000001</v>
      </c>
      <c r="F51">
        <v>636</v>
      </c>
    </row>
    <row r="52" spans="1:6" x14ac:dyDescent="0.3">
      <c r="A52" t="s">
        <v>18</v>
      </c>
      <c r="B52">
        <v>100</v>
      </c>
      <c r="C52">
        <v>1</v>
      </c>
      <c r="D52">
        <v>239.15600000000001</v>
      </c>
      <c r="E52">
        <v>138.501</v>
      </c>
      <c r="F52">
        <v>579</v>
      </c>
    </row>
    <row r="53" spans="1:6" x14ac:dyDescent="0.3">
      <c r="A53" t="s">
        <v>18</v>
      </c>
      <c r="B53">
        <v>100</v>
      </c>
      <c r="C53">
        <v>1</v>
      </c>
      <c r="D53">
        <v>239.16900000000001</v>
      </c>
      <c r="E53">
        <v>138.53200000000001</v>
      </c>
      <c r="F53">
        <v>581</v>
      </c>
    </row>
    <row r="54" spans="1:6" x14ac:dyDescent="0.3">
      <c r="A54" t="s">
        <v>18</v>
      </c>
      <c r="B54">
        <v>100</v>
      </c>
      <c r="C54">
        <v>1</v>
      </c>
      <c r="D54">
        <v>239.227</v>
      </c>
      <c r="E54">
        <v>138.51599999999999</v>
      </c>
      <c r="F54">
        <v>581</v>
      </c>
    </row>
    <row r="55" spans="1:6" x14ac:dyDescent="0.3">
      <c r="A55" t="s">
        <v>18</v>
      </c>
      <c r="B55">
        <v>100</v>
      </c>
      <c r="C55">
        <v>1</v>
      </c>
      <c r="D55">
        <v>239.27099999999999</v>
      </c>
      <c r="E55">
        <v>138.636</v>
      </c>
      <c r="F55">
        <v>580</v>
      </c>
    </row>
    <row r="56" spans="1:6" x14ac:dyDescent="0.3">
      <c r="A56" t="s">
        <v>18</v>
      </c>
      <c r="B56">
        <v>100</v>
      </c>
      <c r="C56">
        <v>1</v>
      </c>
      <c r="D56">
        <v>240.607</v>
      </c>
      <c r="E56">
        <v>138.506</v>
      </c>
      <c r="F56">
        <v>640</v>
      </c>
    </row>
    <row r="57" spans="1:6" x14ac:dyDescent="0.3">
      <c r="A57" t="s">
        <v>18</v>
      </c>
      <c r="B57">
        <v>100</v>
      </c>
      <c r="C57">
        <v>1</v>
      </c>
      <c r="D57">
        <v>239.55500000000001</v>
      </c>
      <c r="E57">
        <v>138.523</v>
      </c>
      <c r="F57">
        <v>653</v>
      </c>
    </row>
    <row r="58" spans="1:6" x14ac:dyDescent="0.3">
      <c r="A58" t="s">
        <v>18</v>
      </c>
      <c r="B58">
        <v>100</v>
      </c>
      <c r="C58">
        <v>1</v>
      </c>
      <c r="D58">
        <v>239.75299999999999</v>
      </c>
      <c r="E58">
        <v>138.58199999999999</v>
      </c>
      <c r="F58">
        <v>594</v>
      </c>
    </row>
    <row r="59" spans="1:6" x14ac:dyDescent="0.3">
      <c r="A59" t="s">
        <v>18</v>
      </c>
      <c r="B59">
        <v>100</v>
      </c>
      <c r="C59">
        <v>1</v>
      </c>
      <c r="D59">
        <v>239.08699999999999</v>
      </c>
      <c r="E59">
        <v>138.52600000000001</v>
      </c>
      <c r="F59">
        <v>582</v>
      </c>
    </row>
    <row r="60" spans="1:6" x14ac:dyDescent="0.3">
      <c r="A60" t="s">
        <v>18</v>
      </c>
      <c r="B60">
        <v>100</v>
      </c>
      <c r="C60">
        <v>1</v>
      </c>
      <c r="D60">
        <v>239.25</v>
      </c>
      <c r="E60">
        <v>138.566</v>
      </c>
      <c r="F60">
        <v>583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4.3330000000000002</v>
      </c>
      <c r="F61">
        <v>182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</v>
      </c>
      <c r="F62">
        <v>206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4.3319999999999999</v>
      </c>
      <c r="F63">
        <v>270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4.3179999999999996</v>
      </c>
      <c r="F64">
        <v>232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4.3140000000000001</v>
      </c>
      <c r="F65">
        <v>187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4.32</v>
      </c>
      <c r="F66">
        <v>235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4.3150000000000004</v>
      </c>
      <c r="F67">
        <v>222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4.3460000000000001</v>
      </c>
      <c r="F68">
        <v>178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4.3289999999999997</v>
      </c>
      <c r="F69">
        <v>181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4.3129999999999997</v>
      </c>
      <c r="F70">
        <v>199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13.205</v>
      </c>
      <c r="F71">
        <v>270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13.218</v>
      </c>
      <c r="F72">
        <v>262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13.241</v>
      </c>
      <c r="F73">
        <v>259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13.247</v>
      </c>
      <c r="F74">
        <v>256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13.218999999999999</v>
      </c>
      <c r="F75">
        <v>259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13.196</v>
      </c>
      <c r="F76">
        <v>259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13.23</v>
      </c>
      <c r="F77">
        <v>257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13.231</v>
      </c>
      <c r="F78">
        <v>260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13.198</v>
      </c>
      <c r="F79">
        <v>253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13.218</v>
      </c>
      <c r="F80">
        <v>241</v>
      </c>
    </row>
    <row r="81" spans="1:6" x14ac:dyDescent="0.3">
      <c r="A81" t="s">
        <v>19</v>
      </c>
      <c r="B81">
        <v>100</v>
      </c>
      <c r="C81">
        <v>1</v>
      </c>
      <c r="D81">
        <v>35272.953000000001</v>
      </c>
      <c r="E81">
        <v>54.819000000000003</v>
      </c>
      <c r="F81">
        <v>284</v>
      </c>
    </row>
    <row r="82" spans="1:6" x14ac:dyDescent="0.3">
      <c r="A82" t="s">
        <v>19</v>
      </c>
      <c r="B82">
        <v>100</v>
      </c>
      <c r="C82">
        <v>1</v>
      </c>
      <c r="D82">
        <v>35246.373</v>
      </c>
      <c r="E82">
        <v>54.939</v>
      </c>
      <c r="F82">
        <v>280</v>
      </c>
    </row>
    <row r="83" spans="1:6" x14ac:dyDescent="0.3">
      <c r="A83" t="s">
        <v>19</v>
      </c>
      <c r="B83">
        <v>100</v>
      </c>
      <c r="C83">
        <v>1</v>
      </c>
      <c r="D83">
        <v>35266.559000000001</v>
      </c>
      <c r="E83">
        <v>54.899000000000001</v>
      </c>
      <c r="F83">
        <v>281</v>
      </c>
    </row>
    <row r="84" spans="1:6" x14ac:dyDescent="0.3">
      <c r="A84" t="s">
        <v>19</v>
      </c>
      <c r="B84">
        <v>100</v>
      </c>
      <c r="C84">
        <v>1</v>
      </c>
      <c r="D84">
        <v>35260.512999999999</v>
      </c>
      <c r="E84">
        <v>54.814999999999998</v>
      </c>
      <c r="F84">
        <v>336</v>
      </c>
    </row>
    <row r="85" spans="1:6" x14ac:dyDescent="0.3">
      <c r="A85" t="s">
        <v>19</v>
      </c>
      <c r="B85">
        <v>100</v>
      </c>
      <c r="C85">
        <v>1</v>
      </c>
      <c r="D85">
        <v>35272.953000000001</v>
      </c>
      <c r="E85">
        <v>54.938000000000002</v>
      </c>
      <c r="F85">
        <v>319</v>
      </c>
    </row>
    <row r="86" spans="1:6" x14ac:dyDescent="0.3">
      <c r="A86" t="s">
        <v>19</v>
      </c>
      <c r="B86">
        <v>100</v>
      </c>
      <c r="C86">
        <v>1</v>
      </c>
      <c r="D86">
        <v>35223.197</v>
      </c>
      <c r="E86">
        <v>54.887999999999998</v>
      </c>
      <c r="F86">
        <v>319</v>
      </c>
    </row>
    <row r="87" spans="1:6" x14ac:dyDescent="0.3">
      <c r="A87" t="s">
        <v>19</v>
      </c>
      <c r="B87">
        <v>100</v>
      </c>
      <c r="C87">
        <v>1</v>
      </c>
      <c r="D87">
        <v>35260.472000000002</v>
      </c>
      <c r="E87">
        <v>54.884999999999998</v>
      </c>
      <c r="F87">
        <v>336</v>
      </c>
    </row>
    <row r="88" spans="1:6" x14ac:dyDescent="0.3">
      <c r="A88" t="s">
        <v>19</v>
      </c>
      <c r="B88">
        <v>100</v>
      </c>
      <c r="C88">
        <v>1</v>
      </c>
      <c r="D88">
        <v>35258.428</v>
      </c>
      <c r="E88">
        <v>54.917000000000002</v>
      </c>
      <c r="F88">
        <v>325</v>
      </c>
    </row>
    <row r="89" spans="1:6" x14ac:dyDescent="0.3">
      <c r="A89" t="s">
        <v>19</v>
      </c>
      <c r="B89">
        <v>100</v>
      </c>
      <c r="C89">
        <v>1</v>
      </c>
      <c r="D89">
        <v>35228.758000000002</v>
      </c>
      <c r="E89">
        <v>54.930999999999997</v>
      </c>
      <c r="F89">
        <v>280</v>
      </c>
    </row>
    <row r="90" spans="1:6" x14ac:dyDescent="0.3">
      <c r="A90" t="s">
        <v>19</v>
      </c>
      <c r="B90">
        <v>100</v>
      </c>
      <c r="C90">
        <v>1</v>
      </c>
      <c r="D90">
        <v>35245.222999999998</v>
      </c>
      <c r="E90">
        <v>54.841999999999999</v>
      </c>
      <c r="F90">
        <v>287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6.4969999999999999</v>
      </c>
      <c r="F91">
        <v>235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6.4960000000000004</v>
      </c>
      <c r="F92">
        <v>226</v>
      </c>
    </row>
    <row r="93" spans="1:6" x14ac:dyDescent="0.3">
      <c r="A93" t="s">
        <v>20</v>
      </c>
      <c r="B93">
        <v>30</v>
      </c>
      <c r="C93">
        <v>1</v>
      </c>
      <c r="D93">
        <v>658.005</v>
      </c>
      <c r="E93">
        <v>6.4930000000000003</v>
      </c>
      <c r="F93">
        <v>241</v>
      </c>
    </row>
    <row r="94" spans="1:6" x14ac:dyDescent="0.3">
      <c r="A94" t="s">
        <v>20</v>
      </c>
      <c r="B94">
        <v>30</v>
      </c>
      <c r="C94">
        <v>1</v>
      </c>
      <c r="D94">
        <v>658.23299999999995</v>
      </c>
      <c r="E94">
        <v>6.47</v>
      </c>
      <c r="F94">
        <v>246</v>
      </c>
    </row>
    <row r="95" spans="1:6" x14ac:dyDescent="0.3">
      <c r="A95" t="s">
        <v>20</v>
      </c>
      <c r="B95">
        <v>30</v>
      </c>
      <c r="C95">
        <v>1</v>
      </c>
      <c r="D95">
        <v>658.23299999999995</v>
      </c>
      <c r="E95">
        <v>6.4859999999999998</v>
      </c>
      <c r="F95">
        <v>251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6.4859999999999998</v>
      </c>
      <c r="F96">
        <v>246</v>
      </c>
    </row>
    <row r="97" spans="1:6" x14ac:dyDescent="0.3">
      <c r="A97" t="s">
        <v>20</v>
      </c>
      <c r="B97">
        <v>30</v>
      </c>
      <c r="C97">
        <v>1</v>
      </c>
      <c r="D97">
        <v>658.23299999999995</v>
      </c>
      <c r="E97">
        <v>6.468</v>
      </c>
      <c r="F97">
        <v>234</v>
      </c>
    </row>
    <row r="98" spans="1:6" x14ac:dyDescent="0.3">
      <c r="A98" t="s">
        <v>20</v>
      </c>
      <c r="B98">
        <v>30</v>
      </c>
      <c r="C98">
        <v>1</v>
      </c>
      <c r="D98">
        <v>657.98</v>
      </c>
      <c r="E98">
        <v>6.4870000000000001</v>
      </c>
      <c r="F98">
        <v>247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6.49</v>
      </c>
      <c r="F99">
        <v>292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6.4980000000000002</v>
      </c>
      <c r="F100">
        <v>249</v>
      </c>
    </row>
    <row r="101" spans="1:6" x14ac:dyDescent="0.3">
      <c r="A101" t="s">
        <v>20</v>
      </c>
      <c r="B101">
        <v>50</v>
      </c>
      <c r="C101">
        <v>1</v>
      </c>
      <c r="D101">
        <v>994.88199999999995</v>
      </c>
      <c r="E101">
        <v>14.705</v>
      </c>
      <c r="F101">
        <v>258</v>
      </c>
    </row>
    <row r="102" spans="1:6" x14ac:dyDescent="0.3">
      <c r="A102" t="s">
        <v>20</v>
      </c>
      <c r="B102">
        <v>50</v>
      </c>
      <c r="C102">
        <v>1</v>
      </c>
      <c r="D102">
        <v>995.04399999999998</v>
      </c>
      <c r="E102">
        <v>14.717000000000001</v>
      </c>
      <c r="F102">
        <v>257</v>
      </c>
    </row>
    <row r="103" spans="1:6" x14ac:dyDescent="0.3">
      <c r="A103" t="s">
        <v>20</v>
      </c>
      <c r="B103">
        <v>50</v>
      </c>
      <c r="C103">
        <v>1</v>
      </c>
      <c r="D103">
        <v>994.827</v>
      </c>
      <c r="E103">
        <v>14.708</v>
      </c>
      <c r="F103">
        <v>263</v>
      </c>
    </row>
    <row r="104" spans="1:6" x14ac:dyDescent="0.3">
      <c r="A104" t="s">
        <v>20</v>
      </c>
      <c r="B104">
        <v>50</v>
      </c>
      <c r="C104">
        <v>1</v>
      </c>
      <c r="D104">
        <v>992.07500000000005</v>
      </c>
      <c r="E104">
        <v>14.702</v>
      </c>
      <c r="F104">
        <v>253</v>
      </c>
    </row>
    <row r="105" spans="1:6" x14ac:dyDescent="0.3">
      <c r="A105" t="s">
        <v>20</v>
      </c>
      <c r="B105">
        <v>50</v>
      </c>
      <c r="C105">
        <v>1</v>
      </c>
      <c r="D105">
        <v>993.86199999999997</v>
      </c>
      <c r="E105">
        <v>14.717000000000001</v>
      </c>
      <c r="F105">
        <v>240</v>
      </c>
    </row>
    <row r="106" spans="1:6" x14ac:dyDescent="0.3">
      <c r="A106" t="s">
        <v>20</v>
      </c>
      <c r="B106">
        <v>50</v>
      </c>
      <c r="C106">
        <v>1</v>
      </c>
      <c r="D106">
        <v>993.34199999999998</v>
      </c>
      <c r="E106">
        <v>14.695</v>
      </c>
      <c r="F106">
        <v>256</v>
      </c>
    </row>
    <row r="107" spans="1:6" x14ac:dyDescent="0.3">
      <c r="A107" t="s">
        <v>20</v>
      </c>
      <c r="B107">
        <v>50</v>
      </c>
      <c r="C107">
        <v>1</v>
      </c>
      <c r="D107">
        <v>994.16200000000003</v>
      </c>
      <c r="E107">
        <v>14.705</v>
      </c>
      <c r="F107">
        <v>351</v>
      </c>
    </row>
    <row r="108" spans="1:6" x14ac:dyDescent="0.3">
      <c r="A108" t="s">
        <v>20</v>
      </c>
      <c r="B108">
        <v>50</v>
      </c>
      <c r="C108">
        <v>1</v>
      </c>
      <c r="D108">
        <v>991.51300000000003</v>
      </c>
      <c r="E108">
        <v>14.7</v>
      </c>
      <c r="F108">
        <v>335</v>
      </c>
    </row>
    <row r="109" spans="1:6" x14ac:dyDescent="0.3">
      <c r="A109" t="s">
        <v>20</v>
      </c>
      <c r="B109">
        <v>50</v>
      </c>
      <c r="C109">
        <v>1</v>
      </c>
      <c r="D109">
        <v>993.82899999999995</v>
      </c>
      <c r="E109">
        <v>14.712999999999999</v>
      </c>
      <c r="F109">
        <v>347</v>
      </c>
    </row>
    <row r="110" spans="1:6" x14ac:dyDescent="0.3">
      <c r="A110" t="s">
        <v>20</v>
      </c>
      <c r="B110">
        <v>50</v>
      </c>
      <c r="C110">
        <v>1</v>
      </c>
      <c r="D110">
        <v>993.226</v>
      </c>
      <c r="E110">
        <v>14.699</v>
      </c>
      <c r="F110">
        <v>333</v>
      </c>
    </row>
    <row r="111" spans="1:6" x14ac:dyDescent="0.3">
      <c r="A111" t="s">
        <v>20</v>
      </c>
      <c r="B111">
        <v>100</v>
      </c>
      <c r="C111">
        <v>1</v>
      </c>
      <c r="D111">
        <v>1757.2449999999999</v>
      </c>
      <c r="E111">
        <v>32.554000000000002</v>
      </c>
      <c r="F111">
        <v>227</v>
      </c>
    </row>
    <row r="112" spans="1:6" x14ac:dyDescent="0.3">
      <c r="A112" t="s">
        <v>20</v>
      </c>
      <c r="B112">
        <v>100</v>
      </c>
      <c r="C112">
        <v>1</v>
      </c>
      <c r="D112">
        <v>1755.02</v>
      </c>
      <c r="E112">
        <v>32.524999999999999</v>
      </c>
      <c r="F112">
        <v>223</v>
      </c>
    </row>
    <row r="113" spans="1:6" x14ac:dyDescent="0.3">
      <c r="A113" t="s">
        <v>20</v>
      </c>
      <c r="B113">
        <v>100</v>
      </c>
      <c r="C113">
        <v>1</v>
      </c>
      <c r="D113">
        <v>1756.2950000000001</v>
      </c>
      <c r="E113">
        <v>32.593000000000004</v>
      </c>
      <c r="F113">
        <v>189</v>
      </c>
    </row>
    <row r="114" spans="1:6" x14ac:dyDescent="0.3">
      <c r="A114" t="s">
        <v>20</v>
      </c>
      <c r="B114">
        <v>100</v>
      </c>
      <c r="C114">
        <v>1</v>
      </c>
      <c r="D114">
        <v>1756.9069999999999</v>
      </c>
      <c r="E114">
        <v>32.494999999999997</v>
      </c>
      <c r="F114">
        <v>183</v>
      </c>
    </row>
    <row r="115" spans="1:6" x14ac:dyDescent="0.3">
      <c r="A115" t="s">
        <v>20</v>
      </c>
      <c r="B115">
        <v>100</v>
      </c>
      <c r="C115">
        <v>1</v>
      </c>
      <c r="D115">
        <v>1755.4469999999999</v>
      </c>
      <c r="E115">
        <v>32.491</v>
      </c>
      <c r="F115">
        <v>186</v>
      </c>
    </row>
    <row r="116" spans="1:6" x14ac:dyDescent="0.3">
      <c r="A116" t="s">
        <v>20</v>
      </c>
      <c r="B116">
        <v>100</v>
      </c>
      <c r="C116">
        <v>1</v>
      </c>
      <c r="D116">
        <v>1758.827</v>
      </c>
      <c r="E116">
        <v>32.576999999999998</v>
      </c>
      <c r="F116">
        <v>183</v>
      </c>
    </row>
    <row r="117" spans="1:6" x14ac:dyDescent="0.3">
      <c r="A117" t="s">
        <v>20</v>
      </c>
      <c r="B117">
        <v>100</v>
      </c>
      <c r="C117">
        <v>1</v>
      </c>
      <c r="D117">
        <v>1760.751</v>
      </c>
      <c r="E117">
        <v>32.497999999999998</v>
      </c>
      <c r="F117">
        <v>184</v>
      </c>
    </row>
    <row r="118" spans="1:6" x14ac:dyDescent="0.3">
      <c r="A118" t="s">
        <v>20</v>
      </c>
      <c r="B118">
        <v>100</v>
      </c>
      <c r="C118">
        <v>1</v>
      </c>
      <c r="D118">
        <v>1759.74</v>
      </c>
      <c r="E118">
        <v>32.502000000000002</v>
      </c>
      <c r="F118">
        <v>186</v>
      </c>
    </row>
    <row r="119" spans="1:6" x14ac:dyDescent="0.3">
      <c r="A119" t="s">
        <v>20</v>
      </c>
      <c r="B119">
        <v>100</v>
      </c>
      <c r="C119">
        <v>1</v>
      </c>
      <c r="D119">
        <v>1758.348</v>
      </c>
      <c r="E119">
        <v>32.508000000000003</v>
      </c>
      <c r="F119">
        <v>183</v>
      </c>
    </row>
    <row r="120" spans="1:6" x14ac:dyDescent="0.3">
      <c r="A120" t="s">
        <v>20</v>
      </c>
      <c r="B120">
        <v>100</v>
      </c>
      <c r="C120">
        <v>1</v>
      </c>
      <c r="D120">
        <v>1757.758</v>
      </c>
      <c r="E120">
        <v>32.521000000000001</v>
      </c>
      <c r="F120">
        <v>182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1.381</v>
      </c>
      <c r="F121">
        <v>218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1.369</v>
      </c>
      <c r="F122">
        <v>92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1.37</v>
      </c>
      <c r="F123">
        <v>145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1.375</v>
      </c>
      <c r="F124">
        <v>96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1.377</v>
      </c>
      <c r="F125">
        <v>115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1.3680000000000001</v>
      </c>
      <c r="F126">
        <v>317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1.389</v>
      </c>
      <c r="F127">
        <v>505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1.3640000000000001</v>
      </c>
      <c r="F128">
        <v>233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1.3640000000000001</v>
      </c>
      <c r="F129">
        <v>297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1.369</v>
      </c>
      <c r="F130">
        <v>185</v>
      </c>
    </row>
    <row r="131" spans="1:6" x14ac:dyDescent="0.3">
      <c r="A131" t="s">
        <v>33</v>
      </c>
      <c r="B131">
        <v>209</v>
      </c>
      <c r="C131">
        <v>1</v>
      </c>
      <c r="D131">
        <v>76.989000000000004</v>
      </c>
      <c r="E131">
        <v>180.81299999999999</v>
      </c>
      <c r="F131">
        <v>233</v>
      </c>
    </row>
    <row r="132" spans="1:6" x14ac:dyDescent="0.3">
      <c r="A132" t="s">
        <v>33</v>
      </c>
      <c r="B132">
        <v>209</v>
      </c>
      <c r="C132">
        <v>1</v>
      </c>
      <c r="D132">
        <v>76.531999999999996</v>
      </c>
      <c r="E132">
        <v>181.249</v>
      </c>
      <c r="F132">
        <v>234</v>
      </c>
    </row>
    <row r="133" spans="1:6" x14ac:dyDescent="0.3">
      <c r="A133" t="s">
        <v>33</v>
      </c>
      <c r="B133">
        <v>209</v>
      </c>
      <c r="C133">
        <v>1</v>
      </c>
      <c r="D133">
        <v>76.67</v>
      </c>
      <c r="E133">
        <v>181.261</v>
      </c>
      <c r="F133">
        <v>232</v>
      </c>
    </row>
    <row r="134" spans="1:6" x14ac:dyDescent="0.3">
      <c r="A134" t="s">
        <v>33</v>
      </c>
      <c r="B134">
        <v>209</v>
      </c>
      <c r="C134">
        <v>1</v>
      </c>
      <c r="D134">
        <v>76.710999999999999</v>
      </c>
      <c r="E134">
        <v>180.88399999999999</v>
      </c>
      <c r="F134">
        <v>231</v>
      </c>
    </row>
    <row r="135" spans="1:6" x14ac:dyDescent="0.3">
      <c r="A135" t="s">
        <v>33</v>
      </c>
      <c r="B135">
        <v>209</v>
      </c>
      <c r="C135">
        <v>1</v>
      </c>
      <c r="D135">
        <v>76.644999999999996</v>
      </c>
      <c r="E135">
        <v>180.846</v>
      </c>
      <c r="F135">
        <v>234</v>
      </c>
    </row>
    <row r="136" spans="1:6" x14ac:dyDescent="0.3">
      <c r="A136" t="s">
        <v>33</v>
      </c>
      <c r="B136">
        <v>209</v>
      </c>
      <c r="C136">
        <v>1</v>
      </c>
      <c r="D136">
        <v>76.844999999999999</v>
      </c>
      <c r="E136">
        <v>181.10499999999999</v>
      </c>
      <c r="F136">
        <v>234</v>
      </c>
    </row>
    <row r="137" spans="1:6" x14ac:dyDescent="0.3">
      <c r="A137" t="s">
        <v>33</v>
      </c>
      <c r="B137">
        <v>209</v>
      </c>
      <c r="C137">
        <v>1</v>
      </c>
      <c r="D137">
        <v>76.527000000000001</v>
      </c>
      <c r="E137">
        <v>180.821</v>
      </c>
      <c r="F137">
        <v>231</v>
      </c>
    </row>
    <row r="138" spans="1:6" x14ac:dyDescent="0.3">
      <c r="A138" t="s">
        <v>33</v>
      </c>
      <c r="B138">
        <v>209</v>
      </c>
      <c r="C138">
        <v>1</v>
      </c>
      <c r="D138">
        <v>76.427000000000007</v>
      </c>
      <c r="E138">
        <v>181.244</v>
      </c>
      <c r="F138">
        <v>233</v>
      </c>
    </row>
    <row r="139" spans="1:6" x14ac:dyDescent="0.3">
      <c r="A139" t="s">
        <v>33</v>
      </c>
      <c r="B139">
        <v>209</v>
      </c>
      <c r="C139">
        <v>1</v>
      </c>
      <c r="D139">
        <v>76.617999999999995</v>
      </c>
      <c r="E139">
        <v>180.78800000000001</v>
      </c>
      <c r="F139">
        <v>231</v>
      </c>
    </row>
    <row r="140" spans="1:6" x14ac:dyDescent="0.3">
      <c r="A140" t="s">
        <v>33</v>
      </c>
      <c r="B140">
        <v>209</v>
      </c>
      <c r="C140">
        <v>1</v>
      </c>
      <c r="D140">
        <v>76.444000000000003</v>
      </c>
      <c r="E140">
        <v>180.76499999999999</v>
      </c>
      <c r="F140">
        <v>234</v>
      </c>
    </row>
    <row r="141" spans="1:6" x14ac:dyDescent="0.3">
      <c r="A141" t="s">
        <v>33</v>
      </c>
      <c r="B141">
        <v>324</v>
      </c>
      <c r="C141">
        <v>1</v>
      </c>
      <c r="D141">
        <v>119.41800000000001</v>
      </c>
      <c r="E141">
        <v>420.01600000000002</v>
      </c>
      <c r="F141">
        <v>201</v>
      </c>
    </row>
    <row r="142" spans="1:6" x14ac:dyDescent="0.3">
      <c r="A142" t="s">
        <v>33</v>
      </c>
      <c r="B142">
        <v>324</v>
      </c>
      <c r="C142">
        <v>1</v>
      </c>
      <c r="D142">
        <v>119.52800000000001</v>
      </c>
      <c r="E142">
        <v>419.49099999999999</v>
      </c>
      <c r="F142">
        <v>200</v>
      </c>
    </row>
    <row r="143" spans="1:6" x14ac:dyDescent="0.3">
      <c r="A143" t="s">
        <v>33</v>
      </c>
      <c r="B143">
        <v>324</v>
      </c>
      <c r="C143">
        <v>1</v>
      </c>
      <c r="D143">
        <v>119.402</v>
      </c>
      <c r="E143">
        <v>420.97699999999998</v>
      </c>
      <c r="F143">
        <v>200</v>
      </c>
    </row>
    <row r="144" spans="1:6" x14ac:dyDescent="0.3">
      <c r="A144" t="s">
        <v>33</v>
      </c>
      <c r="B144">
        <v>324</v>
      </c>
      <c r="C144">
        <v>1</v>
      </c>
      <c r="D144">
        <v>119.226</v>
      </c>
      <c r="E144">
        <v>420.07900000000001</v>
      </c>
      <c r="F144">
        <v>203</v>
      </c>
    </row>
    <row r="145" spans="1:6" x14ac:dyDescent="0.3">
      <c r="A145" t="s">
        <v>33</v>
      </c>
      <c r="B145">
        <v>324</v>
      </c>
      <c r="C145">
        <v>1</v>
      </c>
      <c r="D145">
        <v>119.506</v>
      </c>
      <c r="E145">
        <v>420.69799999999998</v>
      </c>
      <c r="F145">
        <v>199</v>
      </c>
    </row>
    <row r="146" spans="1:6" x14ac:dyDescent="0.3">
      <c r="A146" t="s">
        <v>33</v>
      </c>
      <c r="B146">
        <v>324</v>
      </c>
      <c r="C146">
        <v>1</v>
      </c>
      <c r="D146">
        <v>119.134</v>
      </c>
      <c r="E146">
        <v>419.75700000000001</v>
      </c>
      <c r="F146">
        <v>198</v>
      </c>
    </row>
    <row r="147" spans="1:6" x14ac:dyDescent="0.3">
      <c r="A147" t="s">
        <v>33</v>
      </c>
      <c r="B147">
        <v>324</v>
      </c>
      <c r="C147">
        <v>1</v>
      </c>
      <c r="D147">
        <v>119.53700000000001</v>
      </c>
      <c r="E147">
        <v>419.97399999999999</v>
      </c>
      <c r="F147">
        <v>202</v>
      </c>
    </row>
    <row r="148" spans="1:6" x14ac:dyDescent="0.3">
      <c r="A148" t="s">
        <v>33</v>
      </c>
      <c r="B148">
        <v>324</v>
      </c>
      <c r="C148">
        <v>1</v>
      </c>
      <c r="D148">
        <v>119.60899999999999</v>
      </c>
      <c r="E148">
        <v>419.33800000000002</v>
      </c>
      <c r="F148">
        <v>201</v>
      </c>
    </row>
    <row r="149" spans="1:6" x14ac:dyDescent="0.3">
      <c r="A149" t="s">
        <v>33</v>
      </c>
      <c r="B149">
        <v>324</v>
      </c>
      <c r="C149">
        <v>1</v>
      </c>
      <c r="D149">
        <v>119.239</v>
      </c>
      <c r="E149">
        <v>420.202</v>
      </c>
      <c r="F149">
        <v>200</v>
      </c>
    </row>
    <row r="150" spans="1:6" x14ac:dyDescent="0.3">
      <c r="A150" t="s">
        <v>33</v>
      </c>
      <c r="B150">
        <v>324</v>
      </c>
      <c r="C150">
        <v>1</v>
      </c>
      <c r="D150">
        <v>119.319</v>
      </c>
      <c r="E150">
        <v>420.01499999999999</v>
      </c>
      <c r="F150">
        <v>204</v>
      </c>
    </row>
    <row r="151" spans="1:6" x14ac:dyDescent="0.3">
      <c r="A151" t="s">
        <v>34</v>
      </c>
      <c r="B151">
        <v>40</v>
      </c>
      <c r="C151">
        <v>1</v>
      </c>
      <c r="D151">
        <v>16.539000000000001</v>
      </c>
      <c r="E151">
        <v>11.644</v>
      </c>
      <c r="F151">
        <v>296</v>
      </c>
    </row>
    <row r="152" spans="1:6" x14ac:dyDescent="0.3">
      <c r="A152" t="s">
        <v>34</v>
      </c>
      <c r="B152">
        <v>40</v>
      </c>
      <c r="C152">
        <v>1</v>
      </c>
      <c r="D152">
        <v>16.515000000000001</v>
      </c>
      <c r="E152">
        <v>11.635</v>
      </c>
      <c r="F152">
        <v>265</v>
      </c>
    </row>
    <row r="153" spans="1:6" x14ac:dyDescent="0.3">
      <c r="A153" t="s">
        <v>34</v>
      </c>
      <c r="B153">
        <v>40</v>
      </c>
      <c r="C153">
        <v>1</v>
      </c>
      <c r="D153">
        <v>16.600999999999999</v>
      </c>
      <c r="E153">
        <v>11.632999999999999</v>
      </c>
      <c r="F153">
        <v>281</v>
      </c>
    </row>
    <row r="154" spans="1:6" x14ac:dyDescent="0.3">
      <c r="A154" t="s">
        <v>34</v>
      </c>
      <c r="B154">
        <v>40</v>
      </c>
      <c r="C154">
        <v>1</v>
      </c>
      <c r="D154">
        <v>16.771000000000001</v>
      </c>
      <c r="E154">
        <v>11.632999999999999</v>
      </c>
      <c r="F154">
        <v>294</v>
      </c>
    </row>
    <row r="155" spans="1:6" x14ac:dyDescent="0.3">
      <c r="A155" t="s">
        <v>34</v>
      </c>
      <c r="B155">
        <v>40</v>
      </c>
      <c r="C155">
        <v>1</v>
      </c>
      <c r="D155">
        <v>16.792999999999999</v>
      </c>
      <c r="E155">
        <v>11.609</v>
      </c>
      <c r="F155">
        <v>266</v>
      </c>
    </row>
    <row r="156" spans="1:6" x14ac:dyDescent="0.3">
      <c r="A156" t="s">
        <v>34</v>
      </c>
      <c r="B156">
        <v>40</v>
      </c>
      <c r="C156">
        <v>1</v>
      </c>
      <c r="D156">
        <v>16.692</v>
      </c>
      <c r="E156">
        <v>11.611000000000001</v>
      </c>
      <c r="F156">
        <v>234</v>
      </c>
    </row>
    <row r="157" spans="1:6" x14ac:dyDescent="0.3">
      <c r="A157" t="s">
        <v>34</v>
      </c>
      <c r="B157">
        <v>40</v>
      </c>
      <c r="C157">
        <v>1</v>
      </c>
      <c r="D157">
        <v>16.649000000000001</v>
      </c>
      <c r="E157">
        <v>11.617000000000001</v>
      </c>
      <c r="F157">
        <v>238</v>
      </c>
    </row>
    <row r="158" spans="1:6" x14ac:dyDescent="0.3">
      <c r="A158" t="s">
        <v>34</v>
      </c>
      <c r="B158">
        <v>40</v>
      </c>
      <c r="C158">
        <v>1</v>
      </c>
      <c r="D158">
        <v>16.539000000000001</v>
      </c>
      <c r="E158">
        <v>11.619</v>
      </c>
      <c r="F158">
        <v>262</v>
      </c>
    </row>
    <row r="159" spans="1:6" x14ac:dyDescent="0.3">
      <c r="A159" t="s">
        <v>34</v>
      </c>
      <c r="B159">
        <v>40</v>
      </c>
      <c r="C159">
        <v>1</v>
      </c>
      <c r="D159">
        <v>16.763000000000002</v>
      </c>
      <c r="E159">
        <v>11.632</v>
      </c>
      <c r="F159">
        <v>270</v>
      </c>
    </row>
    <row r="160" spans="1:6" x14ac:dyDescent="0.3">
      <c r="A160" t="s">
        <v>34</v>
      </c>
      <c r="B160">
        <v>40</v>
      </c>
      <c r="C160">
        <v>1</v>
      </c>
      <c r="D160">
        <v>16.616</v>
      </c>
      <c r="E160">
        <v>11.61</v>
      </c>
      <c r="F160">
        <v>280</v>
      </c>
    </row>
    <row r="161" spans="1:6" x14ac:dyDescent="0.3">
      <c r="A161" t="s">
        <v>34</v>
      </c>
      <c r="B161">
        <v>96</v>
      </c>
      <c r="C161">
        <v>1</v>
      </c>
      <c r="D161">
        <v>35.204999999999998</v>
      </c>
      <c r="E161">
        <v>51.363999999999997</v>
      </c>
      <c r="F161">
        <v>333</v>
      </c>
    </row>
    <row r="162" spans="1:6" x14ac:dyDescent="0.3">
      <c r="A162" t="s">
        <v>34</v>
      </c>
      <c r="B162">
        <v>96</v>
      </c>
      <c r="C162">
        <v>1</v>
      </c>
      <c r="D162">
        <v>35.152999999999999</v>
      </c>
      <c r="E162">
        <v>51.268000000000001</v>
      </c>
      <c r="F162">
        <v>315</v>
      </c>
    </row>
    <row r="163" spans="1:6" x14ac:dyDescent="0.3">
      <c r="A163" t="s">
        <v>34</v>
      </c>
      <c r="B163">
        <v>96</v>
      </c>
      <c r="C163">
        <v>1</v>
      </c>
      <c r="D163">
        <v>35.218000000000004</v>
      </c>
      <c r="E163">
        <v>51.360999999999997</v>
      </c>
      <c r="F163">
        <v>307</v>
      </c>
    </row>
    <row r="164" spans="1:6" x14ac:dyDescent="0.3">
      <c r="A164" t="s">
        <v>34</v>
      </c>
      <c r="B164">
        <v>96</v>
      </c>
      <c r="C164">
        <v>1</v>
      </c>
      <c r="D164">
        <v>35.188000000000002</v>
      </c>
      <c r="E164">
        <v>51.412999999999997</v>
      </c>
      <c r="F164">
        <v>322</v>
      </c>
    </row>
    <row r="165" spans="1:6" x14ac:dyDescent="0.3">
      <c r="A165" t="s">
        <v>34</v>
      </c>
      <c r="B165">
        <v>96</v>
      </c>
      <c r="C165">
        <v>1</v>
      </c>
      <c r="D165">
        <v>35.173000000000002</v>
      </c>
      <c r="E165">
        <v>51.295999999999999</v>
      </c>
      <c r="F165">
        <v>311</v>
      </c>
    </row>
    <row r="166" spans="1:6" x14ac:dyDescent="0.3">
      <c r="A166" t="s">
        <v>34</v>
      </c>
      <c r="B166">
        <v>96</v>
      </c>
      <c r="C166">
        <v>1</v>
      </c>
      <c r="D166">
        <v>35.159999999999997</v>
      </c>
      <c r="E166">
        <v>51.308999999999997</v>
      </c>
      <c r="F166">
        <v>313</v>
      </c>
    </row>
    <row r="167" spans="1:6" x14ac:dyDescent="0.3">
      <c r="A167" t="s">
        <v>34</v>
      </c>
      <c r="B167">
        <v>96</v>
      </c>
      <c r="C167">
        <v>1</v>
      </c>
      <c r="D167">
        <v>35.145000000000003</v>
      </c>
      <c r="E167">
        <v>51.308999999999997</v>
      </c>
      <c r="F167">
        <v>321</v>
      </c>
    </row>
    <row r="168" spans="1:6" x14ac:dyDescent="0.3">
      <c r="A168" t="s">
        <v>34</v>
      </c>
      <c r="B168">
        <v>96</v>
      </c>
      <c r="C168">
        <v>1</v>
      </c>
      <c r="D168">
        <v>35.104999999999997</v>
      </c>
      <c r="E168">
        <v>51.335000000000001</v>
      </c>
      <c r="F168">
        <v>312</v>
      </c>
    </row>
    <row r="169" spans="1:6" x14ac:dyDescent="0.3">
      <c r="A169" t="s">
        <v>34</v>
      </c>
      <c r="B169">
        <v>96</v>
      </c>
      <c r="C169">
        <v>1</v>
      </c>
      <c r="D169">
        <v>35.177999999999997</v>
      </c>
      <c r="E169">
        <v>51.280999999999999</v>
      </c>
      <c r="F169">
        <v>321</v>
      </c>
    </row>
    <row r="170" spans="1:6" x14ac:dyDescent="0.3">
      <c r="A170" t="s">
        <v>34</v>
      </c>
      <c r="B170">
        <v>96</v>
      </c>
      <c r="C170">
        <v>1</v>
      </c>
      <c r="D170">
        <v>35.101999999999997</v>
      </c>
      <c r="E170">
        <v>51.387999999999998</v>
      </c>
      <c r="F170">
        <v>319</v>
      </c>
    </row>
    <row r="171" spans="1:6" x14ac:dyDescent="0.3">
      <c r="A171" t="s">
        <v>34</v>
      </c>
      <c r="B171">
        <v>224</v>
      </c>
      <c r="C171">
        <v>1</v>
      </c>
      <c r="D171">
        <v>71.918999999999997</v>
      </c>
      <c r="E171">
        <v>256.04199999999997</v>
      </c>
      <c r="F171">
        <v>286</v>
      </c>
    </row>
    <row r="172" spans="1:6" x14ac:dyDescent="0.3">
      <c r="A172" t="s">
        <v>34</v>
      </c>
      <c r="B172">
        <v>224</v>
      </c>
      <c r="C172">
        <v>1</v>
      </c>
      <c r="D172">
        <v>71.921000000000006</v>
      </c>
      <c r="E172">
        <v>255.93</v>
      </c>
      <c r="F172">
        <v>280</v>
      </c>
    </row>
    <row r="173" spans="1:6" x14ac:dyDescent="0.3">
      <c r="A173" t="s">
        <v>34</v>
      </c>
      <c r="B173">
        <v>224</v>
      </c>
      <c r="C173">
        <v>1</v>
      </c>
      <c r="D173">
        <v>71.911000000000001</v>
      </c>
      <c r="E173">
        <v>256.14299999999997</v>
      </c>
      <c r="F173">
        <v>290</v>
      </c>
    </row>
    <row r="174" spans="1:6" x14ac:dyDescent="0.3">
      <c r="A174" t="s">
        <v>34</v>
      </c>
      <c r="B174">
        <v>224</v>
      </c>
      <c r="C174">
        <v>1</v>
      </c>
      <c r="D174">
        <v>71.912000000000006</v>
      </c>
      <c r="E174">
        <v>255.77799999999999</v>
      </c>
      <c r="F174">
        <v>280</v>
      </c>
    </row>
    <row r="175" spans="1:6" x14ac:dyDescent="0.3">
      <c r="A175" t="s">
        <v>34</v>
      </c>
      <c r="B175">
        <v>224</v>
      </c>
      <c r="C175">
        <v>1</v>
      </c>
      <c r="D175">
        <v>71.924999999999997</v>
      </c>
      <c r="E175">
        <v>255.67500000000001</v>
      </c>
      <c r="F175">
        <v>285</v>
      </c>
    </row>
    <row r="176" spans="1:6" x14ac:dyDescent="0.3">
      <c r="A176" t="s">
        <v>34</v>
      </c>
      <c r="B176">
        <v>224</v>
      </c>
      <c r="C176">
        <v>1</v>
      </c>
      <c r="D176">
        <v>71.951999999999998</v>
      </c>
      <c r="E176">
        <v>255.50800000000001</v>
      </c>
      <c r="F176">
        <v>278</v>
      </c>
    </row>
    <row r="177" spans="1:6" x14ac:dyDescent="0.3">
      <c r="A177" t="s">
        <v>34</v>
      </c>
      <c r="B177">
        <v>224</v>
      </c>
      <c r="C177">
        <v>1</v>
      </c>
      <c r="D177">
        <v>72.024000000000001</v>
      </c>
      <c r="E177">
        <v>255.43299999999999</v>
      </c>
      <c r="F177">
        <v>284</v>
      </c>
    </row>
    <row r="178" spans="1:6" x14ac:dyDescent="0.3">
      <c r="A178" t="s">
        <v>34</v>
      </c>
      <c r="B178">
        <v>224</v>
      </c>
      <c r="C178">
        <v>1</v>
      </c>
      <c r="D178">
        <v>71.932000000000002</v>
      </c>
      <c r="E178">
        <v>255.86799999999999</v>
      </c>
      <c r="F178">
        <v>277</v>
      </c>
    </row>
    <row r="179" spans="1:6" x14ac:dyDescent="0.3">
      <c r="A179" t="s">
        <v>34</v>
      </c>
      <c r="B179">
        <v>224</v>
      </c>
      <c r="C179">
        <v>1</v>
      </c>
      <c r="D179">
        <v>71.918000000000006</v>
      </c>
      <c r="E179">
        <v>255.649</v>
      </c>
      <c r="F179">
        <v>285</v>
      </c>
    </row>
    <row r="180" spans="1:6" x14ac:dyDescent="0.3">
      <c r="A180" t="s">
        <v>34</v>
      </c>
      <c r="B180">
        <v>224</v>
      </c>
      <c r="C180">
        <v>1</v>
      </c>
      <c r="D180">
        <v>71.915000000000006</v>
      </c>
      <c r="E180">
        <v>256.06700000000001</v>
      </c>
      <c r="F180">
        <v>281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33203125"/>
    <col min="2" max="2" width="4"/>
    <col min="3" max="3" width="2.58203125"/>
    <col min="4" max="4" width="10.5" bestFit="1" customWidth="1"/>
    <col min="5" max="5" width="7.25"/>
    <col min="6" max="6" width="4.9140625" customWidth="1"/>
    <col min="7" max="7" width="2.08203125"/>
    <col min="8" max="8" width="10.5"/>
    <col min="9" max="9" width="4.33203125"/>
    <col min="10" max="10" width="3.33203125"/>
    <col min="11" max="11" width="2.5"/>
    <col min="12" max="21" width="9.5"/>
    <col min="22" max="22" width="3"/>
    <col min="23" max="23" width="9.5"/>
    <col min="24" max="24" width="3"/>
    <col min="25" max="25" width="9.5"/>
    <col min="26" max="27" width="2.08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5.2859999999999996</v>
      </c>
      <c r="F1">
        <v>217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5.2770000000000001</v>
      </c>
      <c r="F2">
        <v>272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28.504000000000001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28.504000000000001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28.606000000000002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28.543599999999998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1.4734774066796953E-3</v>
      </c>
      <c r="AD2" s="35">
        <f t="shared" ref="AD2:AD19" ca="1" si="13">(N2-$Y2)/$Y2</f>
        <v>0</v>
      </c>
      <c r="AE2" s="35">
        <f t="shared" ref="AE2:AE19" ca="1" si="14">(O2-$Y2)/$Y2</f>
        <v>1.4734774066796953E-3</v>
      </c>
      <c r="AF2" s="35">
        <f t="shared" ref="AF2:AF19" ca="1" si="15">(P2-$Y2)/$Y2</f>
        <v>0</v>
      </c>
      <c r="AG2" s="35">
        <f t="shared" ref="AG2:AG19" ca="1" si="16">(Q2-$Y2)/$Y2</f>
        <v>1.4734774066796953E-3</v>
      </c>
      <c r="AH2" s="35">
        <f t="shared" ref="AH2:AH19" ca="1" si="17">(R2-$Y2)/$Y2</f>
        <v>1.4734774066796953E-3</v>
      </c>
      <c r="AI2" s="35">
        <f t="shared" ref="AI2:AI19" ca="1" si="18">(S2-$Y2)/$Y2</f>
        <v>3.5784451305080098E-3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1.3892786977265878E-2</v>
      </c>
    </row>
    <row r="3" spans="1:39" x14ac:dyDescent="0.3">
      <c r="A3" t="s">
        <v>17</v>
      </c>
      <c r="B3">
        <v>25</v>
      </c>
      <c r="C3">
        <v>1</v>
      </c>
      <c r="D3">
        <v>28.504000000000001</v>
      </c>
      <c r="E3">
        <v>5.2880000000000003</v>
      </c>
      <c r="F3">
        <v>194</v>
      </c>
      <c r="H3" s="35" t="s">
        <v>17</v>
      </c>
      <c r="I3" s="35">
        <v>50</v>
      </c>
      <c r="J3" s="35">
        <v>1</v>
      </c>
      <c r="L3" s="35">
        <f t="shared" ca="1" si="0"/>
        <v>53.137999999999998</v>
      </c>
      <c r="M3" s="35">
        <f t="shared" ca="1" si="1"/>
        <v>53.127000000000002</v>
      </c>
      <c r="N3" s="35">
        <f t="shared" ca="1" si="2"/>
        <v>52.976999999999997</v>
      </c>
      <c r="O3" s="35">
        <f t="shared" ca="1" si="3"/>
        <v>53.072000000000003</v>
      </c>
      <c r="P3" s="35">
        <f t="shared" ca="1" si="4"/>
        <v>52.988</v>
      </c>
      <c r="Q3" s="35">
        <f t="shared" ca="1" si="5"/>
        <v>53.058</v>
      </c>
      <c r="R3" s="35">
        <f t="shared" ca="1" si="6"/>
        <v>53.247999999999998</v>
      </c>
      <c r="S3" s="35">
        <f t="shared" ca="1" si="7"/>
        <v>53.067</v>
      </c>
      <c r="T3" s="35">
        <f t="shared" ca="1" si="8"/>
        <v>52.976999999999997</v>
      </c>
      <c r="U3" s="35">
        <f t="shared" ca="1" si="9"/>
        <v>53.006999999999998</v>
      </c>
      <c r="W3" s="35">
        <f t="shared" ca="1" si="10"/>
        <v>53.065899999999999</v>
      </c>
      <c r="Y3" s="35">
        <f ca="1">Total!E3</f>
        <v>52.927</v>
      </c>
      <c r="AB3" s="35">
        <f t="shared" ca="1" si="11"/>
        <v>3.9866230846259667E-3</v>
      </c>
      <c r="AC3" s="35">
        <f t="shared" ca="1" si="12"/>
        <v>3.778789653673982E-3</v>
      </c>
      <c r="AD3" s="35">
        <f t="shared" ca="1" si="13"/>
        <v>9.4469741341842838E-4</v>
      </c>
      <c r="AE3" s="35">
        <f t="shared" ca="1" si="14"/>
        <v>2.7396224989136571E-3</v>
      </c>
      <c r="AF3" s="35">
        <f t="shared" ca="1" si="15"/>
        <v>1.1525308443705471E-3</v>
      </c>
      <c r="AG3" s="35">
        <f t="shared" ca="1" si="16"/>
        <v>2.4751072231564272E-3</v>
      </c>
      <c r="AH3" s="35">
        <f t="shared" ca="1" si="17"/>
        <v>6.0649573941466165E-3</v>
      </c>
      <c r="AI3" s="35">
        <f t="shared" ca="1" si="18"/>
        <v>2.6451527575717605E-3</v>
      </c>
      <c r="AJ3" s="35">
        <f t="shared" ca="1" si="19"/>
        <v>9.4469741341842838E-4</v>
      </c>
      <c r="AK3" s="35">
        <f t="shared" ca="1" si="20"/>
        <v>1.5115158614695391E-3</v>
      </c>
      <c r="AM3" s="35">
        <f t="shared" ca="1" si="21"/>
        <v>2.6243694144765357E-2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5.2960000000000003</v>
      </c>
      <c r="F4">
        <v>215</v>
      </c>
      <c r="H4" s="35" t="s">
        <v>17</v>
      </c>
      <c r="I4" s="35">
        <v>100</v>
      </c>
      <c r="J4" s="35">
        <v>1</v>
      </c>
      <c r="L4" s="35">
        <f t="shared" ca="1" si="0"/>
        <v>103.21899999999999</v>
      </c>
      <c r="M4" s="35">
        <f t="shared" ca="1" si="1"/>
        <v>103.286</v>
      </c>
      <c r="N4" s="35">
        <f t="shared" ca="1" si="2"/>
        <v>103.256</v>
      </c>
      <c r="O4" s="35">
        <f t="shared" ca="1" si="3"/>
        <v>103.273</v>
      </c>
      <c r="P4" s="35">
        <f t="shared" ca="1" si="4"/>
        <v>103.194</v>
      </c>
      <c r="Q4" s="35">
        <f t="shared" ca="1" si="5"/>
        <v>103.23699999999999</v>
      </c>
      <c r="R4" s="35">
        <f t="shared" ca="1" si="6"/>
        <v>103.273</v>
      </c>
      <c r="S4" s="35">
        <f t="shared" ca="1" si="7"/>
        <v>103.30800000000001</v>
      </c>
      <c r="T4" s="35">
        <f t="shared" ca="1" si="8"/>
        <v>102.968</v>
      </c>
      <c r="U4" s="35">
        <f t="shared" ca="1" si="9"/>
        <v>103.242</v>
      </c>
      <c r="W4" s="35">
        <f t="shared" ca="1" si="10"/>
        <v>103.22559999999999</v>
      </c>
      <c r="Y4" s="35">
        <f ca="1">Total!E4</f>
        <v>102.80200000000001</v>
      </c>
      <c r="AB4" s="35">
        <f t="shared" ca="1" si="11"/>
        <v>4.0563413163166801E-3</v>
      </c>
      <c r="AC4" s="35">
        <f t="shared" ca="1" si="12"/>
        <v>4.7080796093460697E-3</v>
      </c>
      <c r="AD4" s="35">
        <f t="shared" ca="1" si="13"/>
        <v>4.4162564930642738E-3</v>
      </c>
      <c r="AE4" s="35">
        <f t="shared" ca="1" si="14"/>
        <v>4.5816229256239122E-3</v>
      </c>
      <c r="AF4" s="35">
        <f t="shared" ca="1" si="15"/>
        <v>3.8131553860819428E-3</v>
      </c>
      <c r="AG4" s="35">
        <f t="shared" ca="1" si="16"/>
        <v>4.2314351860857575E-3</v>
      </c>
      <c r="AH4" s="35">
        <f t="shared" ca="1" si="17"/>
        <v>4.5816229256239122E-3</v>
      </c>
      <c r="AI4" s="35">
        <f t="shared" ca="1" si="18"/>
        <v>4.9220832279527659E-3</v>
      </c>
      <c r="AJ4" s="35">
        <f t="shared" ca="1" si="19"/>
        <v>1.6147545767591759E-3</v>
      </c>
      <c r="AK4" s="35">
        <f t="shared" ca="1" si="20"/>
        <v>4.2800723721328152E-3</v>
      </c>
      <c r="AM4" s="35">
        <f t="shared" ca="1" si="21"/>
        <v>4.1205424018987302E-2</v>
      </c>
    </row>
    <row r="5" spans="1:39" x14ac:dyDescent="0.3">
      <c r="A5" t="s">
        <v>17</v>
      </c>
      <c r="B5">
        <v>25</v>
      </c>
      <c r="C5">
        <v>1</v>
      </c>
      <c r="D5">
        <v>28.504000000000001</v>
      </c>
      <c r="E5">
        <v>5.2809999999999997</v>
      </c>
      <c r="F5">
        <v>211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5.2789999999999999</v>
      </c>
      <c r="F6">
        <v>200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179.673</v>
      </c>
      <c r="N6" s="35">
        <f t="shared" ca="1" si="2"/>
        <v>179.93799999999999</v>
      </c>
      <c r="O6" s="35">
        <f t="shared" ca="1" si="3"/>
        <v>179.93799999999999</v>
      </c>
      <c r="P6" s="35">
        <f t="shared" ca="1" si="4"/>
        <v>179.93799999999999</v>
      </c>
      <c r="Q6" s="35">
        <f t="shared" ca="1" si="5"/>
        <v>179.93799999999999</v>
      </c>
      <c r="R6" s="35">
        <f t="shared" ca="1" si="6"/>
        <v>179.93799999999999</v>
      </c>
      <c r="S6" s="35">
        <f t="shared" ca="1" si="7"/>
        <v>179.93799999999999</v>
      </c>
      <c r="T6" s="35">
        <f t="shared" ca="1" si="8"/>
        <v>179.93799999999999</v>
      </c>
      <c r="U6" s="35">
        <f t="shared" ca="1" si="9"/>
        <v>179.94300000000001</v>
      </c>
      <c r="W6" s="35">
        <f t="shared" ca="1" si="10"/>
        <v>179.91200000000001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0</v>
      </c>
      <c r="AD6" s="35">
        <f t="shared" ca="1" si="13"/>
        <v>1.4749016268442469E-3</v>
      </c>
      <c r="AE6" s="35">
        <f t="shared" ca="1" si="14"/>
        <v>1.4749016268442469E-3</v>
      </c>
      <c r="AF6" s="35">
        <f t="shared" ca="1" si="15"/>
        <v>1.4749016268442469E-3</v>
      </c>
      <c r="AG6" s="35">
        <f t="shared" ca="1" si="16"/>
        <v>1.4749016268442469E-3</v>
      </c>
      <c r="AH6" s="35">
        <f t="shared" ca="1" si="17"/>
        <v>1.4749016268442469E-3</v>
      </c>
      <c r="AI6" s="35">
        <f t="shared" ca="1" si="18"/>
        <v>1.4749016268442469E-3</v>
      </c>
      <c r="AJ6" s="35">
        <f t="shared" ca="1" si="19"/>
        <v>1.4749016268442469E-3</v>
      </c>
      <c r="AK6" s="35">
        <f t="shared" ca="1" si="20"/>
        <v>1.502729959426348E-3</v>
      </c>
      <c r="AM6" s="35">
        <f t="shared" ca="1" si="21"/>
        <v>1.3301942974180326E-2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5.2949999999999999</v>
      </c>
      <c r="F7">
        <v>200</v>
      </c>
      <c r="H7" s="35" t="s">
        <v>18</v>
      </c>
      <c r="I7" s="35">
        <v>100</v>
      </c>
      <c r="J7" s="35">
        <v>1</v>
      </c>
      <c r="L7" s="35">
        <f t="shared" ca="1" si="0"/>
        <v>239.55</v>
      </c>
      <c r="M7" s="35">
        <f t="shared" ca="1" si="1"/>
        <v>239.167</v>
      </c>
      <c r="N7" s="35">
        <f t="shared" ca="1" si="2"/>
        <v>238.999</v>
      </c>
      <c r="O7" s="35">
        <f t="shared" ca="1" si="3"/>
        <v>239.19399999999999</v>
      </c>
      <c r="P7" s="35">
        <f t="shared" ca="1" si="4"/>
        <v>239.74299999999999</v>
      </c>
      <c r="Q7" s="35">
        <f t="shared" ca="1" si="5"/>
        <v>239.773</v>
      </c>
      <c r="R7" s="35">
        <f t="shared" ca="1" si="6"/>
        <v>239.27</v>
      </c>
      <c r="S7" s="35">
        <f t="shared" ca="1" si="7"/>
        <v>239.17699999999999</v>
      </c>
      <c r="T7" s="35">
        <f t="shared" ca="1" si="8"/>
        <v>239.29</v>
      </c>
      <c r="U7" s="35">
        <f t="shared" ca="1" si="9"/>
        <v>239.05</v>
      </c>
      <c r="W7" s="35">
        <f t="shared" ca="1" si="10"/>
        <v>239.32130000000001</v>
      </c>
      <c r="Y7" s="35">
        <f ca="1">Total!E7</f>
        <v>238.86699999999999</v>
      </c>
      <c r="AB7" s="35">
        <f t="shared" ca="1" si="11"/>
        <v>2.8593317620266559E-3</v>
      </c>
      <c r="AC7" s="35">
        <f t="shared" ca="1" si="12"/>
        <v>1.2559290316368999E-3</v>
      </c>
      <c r="AD7" s="35">
        <f t="shared" ca="1" si="13"/>
        <v>5.5260877392023595E-4</v>
      </c>
      <c r="AE7" s="35">
        <f t="shared" ca="1" si="14"/>
        <v>1.3689626444841614E-3</v>
      </c>
      <c r="AF7" s="35">
        <f t="shared" ca="1" si="15"/>
        <v>3.6673127723796288E-3</v>
      </c>
      <c r="AG7" s="35">
        <f t="shared" ca="1" si="16"/>
        <v>3.7929056755433188E-3</v>
      </c>
      <c r="AH7" s="35">
        <f t="shared" ca="1" si="17"/>
        <v>1.6871313324989222E-3</v>
      </c>
      <c r="AI7" s="35">
        <f t="shared" ca="1" si="18"/>
        <v>1.2977933326914237E-3</v>
      </c>
      <c r="AJ7" s="35">
        <f t="shared" ca="1" si="19"/>
        <v>1.7708599346079694E-3</v>
      </c>
      <c r="AK7" s="35">
        <f t="shared" ca="1" si="20"/>
        <v>7.6611670929856851E-4</v>
      </c>
      <c r="AM7" s="35">
        <f t="shared" ca="1" si="21"/>
        <v>1.9018951969087785E-2</v>
      </c>
    </row>
    <row r="8" spans="1:39" x14ac:dyDescent="0.3">
      <c r="A8" t="s">
        <v>17</v>
      </c>
      <c r="B8">
        <v>25</v>
      </c>
      <c r="C8">
        <v>1</v>
      </c>
      <c r="D8">
        <v>28.606000000000002</v>
      </c>
      <c r="E8">
        <v>5.2789999999999999</v>
      </c>
      <c r="F8">
        <v>208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5.2930000000000001</v>
      </c>
      <c r="F9">
        <v>248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5.3040000000000003</v>
      </c>
      <c r="F10">
        <v>196</v>
      </c>
      <c r="H10" s="35" t="s">
        <v>19</v>
      </c>
      <c r="I10" s="35">
        <v>100</v>
      </c>
      <c r="J10" s="35">
        <v>1</v>
      </c>
      <c r="L10" s="35">
        <f t="shared" ca="1" si="0"/>
        <v>35221.008000000002</v>
      </c>
      <c r="M10" s="35">
        <f t="shared" ca="1" si="1"/>
        <v>35217.663999999997</v>
      </c>
      <c r="N10" s="35">
        <f t="shared" ca="1" si="2"/>
        <v>35235.410000000003</v>
      </c>
      <c r="O10" s="35">
        <f t="shared" ca="1" si="3"/>
        <v>35273.608</v>
      </c>
      <c r="P10" s="35">
        <f t="shared" ca="1" si="4"/>
        <v>35222.917999999998</v>
      </c>
      <c r="Q10" s="35">
        <f t="shared" ca="1" si="5"/>
        <v>35295.983</v>
      </c>
      <c r="R10" s="35">
        <f t="shared" ca="1" si="6"/>
        <v>35281.675000000003</v>
      </c>
      <c r="S10" s="35">
        <f t="shared" ca="1" si="7"/>
        <v>35273.402999999998</v>
      </c>
      <c r="T10" s="35">
        <f t="shared" ca="1" si="8"/>
        <v>35247.131999999998</v>
      </c>
      <c r="U10" s="35">
        <f t="shared" ca="1" si="9"/>
        <v>35242.976000000002</v>
      </c>
      <c r="W10" s="35">
        <f t="shared" ca="1" si="10"/>
        <v>35251.1777</v>
      </c>
      <c r="Y10" s="35">
        <f ca="1">Total!E10</f>
        <v>35210.383000000002</v>
      </c>
      <c r="AB10" s="35">
        <f t="shared" ca="1" si="11"/>
        <v>3.0175758099535582E-4</v>
      </c>
      <c r="AC10" s="35">
        <f t="shared" ca="1" si="12"/>
        <v>2.0678559503301629E-4</v>
      </c>
      <c r="AD10" s="35">
        <f t="shared" ca="1" si="13"/>
        <v>7.1078465690083126E-4</v>
      </c>
      <c r="AE10" s="35">
        <f t="shared" ca="1" si="14"/>
        <v>1.7956351113817349E-3</v>
      </c>
      <c r="AF10" s="35">
        <f t="shared" ca="1" si="15"/>
        <v>3.5600294379064878E-4</v>
      </c>
      <c r="AG10" s="35">
        <f t="shared" ca="1" si="16"/>
        <v>2.4311010760660725E-3</v>
      </c>
      <c r="AH10" s="35">
        <f t="shared" ca="1" si="17"/>
        <v>2.0247436672302392E-3</v>
      </c>
      <c r="AI10" s="35">
        <f t="shared" ca="1" si="18"/>
        <v>1.7898129651130689E-3</v>
      </c>
      <c r="AJ10" s="35">
        <f t="shared" ca="1" si="19"/>
        <v>1.0436978206114986E-3</v>
      </c>
      <c r="AK10" s="35">
        <f t="shared" ca="1" si="20"/>
        <v>9.2566445528299867E-4</v>
      </c>
      <c r="AM10" s="35">
        <f t="shared" ca="1" si="21"/>
        <v>1.1585985872405464E-2</v>
      </c>
    </row>
    <row r="11" spans="1:39" x14ac:dyDescent="0.3">
      <c r="A11" t="s">
        <v>17</v>
      </c>
      <c r="B11">
        <v>50</v>
      </c>
      <c r="C11">
        <v>1</v>
      </c>
      <c r="D11">
        <v>53.137999999999998</v>
      </c>
      <c r="E11">
        <v>19.585999999999999</v>
      </c>
      <c r="F11">
        <v>318</v>
      </c>
      <c r="H11" s="35" t="s">
        <v>20</v>
      </c>
      <c r="I11" s="35">
        <v>30</v>
      </c>
      <c r="J11" s="35">
        <v>1</v>
      </c>
      <c r="L11" s="35">
        <f t="shared" ca="1" si="0"/>
        <v>658.23299999999995</v>
      </c>
      <c r="M11" s="35">
        <f t="shared" ca="1" si="1"/>
        <v>659.84500000000003</v>
      </c>
      <c r="N11" s="35">
        <f t="shared" ca="1" si="2"/>
        <v>658.23299999999995</v>
      </c>
      <c r="O11" s="35">
        <f t="shared" ca="1" si="3"/>
        <v>657.35599999999999</v>
      </c>
      <c r="P11" s="35">
        <f t="shared" ca="1" si="4"/>
        <v>657.35599999999999</v>
      </c>
      <c r="Q11" s="35">
        <f t="shared" ca="1" si="5"/>
        <v>658.23299999999995</v>
      </c>
      <c r="R11" s="35">
        <f t="shared" ca="1" si="6"/>
        <v>657.35599999999999</v>
      </c>
      <c r="S11" s="35">
        <f t="shared" ca="1" si="7"/>
        <v>657.35599999999999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657.86799999999994</v>
      </c>
      <c r="Y11" s="35">
        <f ca="1">Total!E11</f>
        <v>655.46500000000003</v>
      </c>
      <c r="AB11" s="35">
        <f t="shared" ca="1" si="11"/>
        <v>4.2229562219186613E-3</v>
      </c>
      <c r="AC11" s="35">
        <f t="shared" ca="1" si="12"/>
        <v>6.6822789927761138E-3</v>
      </c>
      <c r="AD11" s="35">
        <f t="shared" ca="1" si="13"/>
        <v>4.2229562219186613E-3</v>
      </c>
      <c r="AE11" s="35">
        <f t="shared" ca="1" si="14"/>
        <v>2.8849747888902728E-3</v>
      </c>
      <c r="AF11" s="35">
        <f t="shared" ca="1" si="15"/>
        <v>2.8849747888902728E-3</v>
      </c>
      <c r="AG11" s="35">
        <f t="shared" ca="1" si="16"/>
        <v>4.2229562219186613E-3</v>
      </c>
      <c r="AH11" s="35">
        <f t="shared" ca="1" si="17"/>
        <v>2.8849747888902728E-3</v>
      </c>
      <c r="AI11" s="35">
        <f t="shared" ca="1" si="18"/>
        <v>2.8849747888902728E-3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3.6660996391873729E-2</v>
      </c>
    </row>
    <row r="12" spans="1:39" x14ac:dyDescent="0.3">
      <c r="A12" t="s">
        <v>17</v>
      </c>
      <c r="B12">
        <v>50</v>
      </c>
      <c r="C12">
        <v>1</v>
      </c>
      <c r="D12">
        <v>53.127000000000002</v>
      </c>
      <c r="E12">
        <v>19.559999999999999</v>
      </c>
      <c r="F12">
        <v>308</v>
      </c>
      <c r="H12" s="35" t="s">
        <v>20</v>
      </c>
      <c r="I12" s="35">
        <v>50</v>
      </c>
      <c r="J12" s="35">
        <v>1</v>
      </c>
      <c r="L12" s="35">
        <f t="shared" ca="1" si="0"/>
        <v>994.92200000000003</v>
      </c>
      <c r="M12" s="35">
        <f t="shared" ca="1" si="1"/>
        <v>991.97500000000002</v>
      </c>
      <c r="N12" s="35">
        <f t="shared" ca="1" si="2"/>
        <v>991.62699999999995</v>
      </c>
      <c r="O12" s="35">
        <f t="shared" ca="1" si="3"/>
        <v>994.20299999999997</v>
      </c>
      <c r="P12" s="35">
        <f t="shared" ca="1" si="4"/>
        <v>996.85599999999999</v>
      </c>
      <c r="Q12" s="35">
        <f t="shared" ca="1" si="5"/>
        <v>993.71600000000001</v>
      </c>
      <c r="R12" s="35">
        <f t="shared" ca="1" si="6"/>
        <v>996.86500000000001</v>
      </c>
      <c r="S12" s="35">
        <f t="shared" ca="1" si="7"/>
        <v>992.36699999999996</v>
      </c>
      <c r="T12" s="35">
        <f t="shared" ca="1" si="8"/>
        <v>995.98500000000001</v>
      </c>
      <c r="U12" s="35">
        <f t="shared" ca="1" si="9"/>
        <v>998.947</v>
      </c>
      <c r="W12" s="35">
        <f t="shared" ca="1" si="10"/>
        <v>994.74630000000002</v>
      </c>
      <c r="Y12" s="35">
        <f ca="1">Total!E12</f>
        <v>990.096</v>
      </c>
      <c r="AB12" s="35">
        <f t="shared" ca="1" si="11"/>
        <v>4.8742748177954681E-3</v>
      </c>
      <c r="AC12" s="35">
        <f t="shared" ca="1" si="12"/>
        <v>1.8977957692991579E-3</v>
      </c>
      <c r="AD12" s="35">
        <f t="shared" ca="1" si="13"/>
        <v>1.5463147007966391E-3</v>
      </c>
      <c r="AE12" s="35">
        <f t="shared" ca="1" si="14"/>
        <v>4.1480826101711055E-3</v>
      </c>
      <c r="AF12" s="35">
        <f t="shared" ca="1" si="15"/>
        <v>6.8276207559670888E-3</v>
      </c>
      <c r="AG12" s="35">
        <f t="shared" ca="1" si="16"/>
        <v>3.6562111148817937E-3</v>
      </c>
      <c r="AH12" s="35">
        <f t="shared" ca="1" si="17"/>
        <v>6.8367107836007877E-3</v>
      </c>
      <c r="AI12" s="35">
        <f t="shared" ca="1" si="18"/>
        <v>2.2937169728995555E-3</v>
      </c>
      <c r="AJ12" s="35">
        <f t="shared" ca="1" si="19"/>
        <v>5.947908081640578E-3</v>
      </c>
      <c r="AK12" s="35">
        <f t="shared" ca="1" si="20"/>
        <v>8.9395371761930142E-3</v>
      </c>
      <c r="AM12" s="35">
        <f t="shared" ca="1" si="21"/>
        <v>4.6968172783245193E-2</v>
      </c>
    </row>
    <row r="13" spans="1:39" x14ac:dyDescent="0.3">
      <c r="A13" t="s">
        <v>17</v>
      </c>
      <c r="B13">
        <v>50</v>
      </c>
      <c r="C13">
        <v>1</v>
      </c>
      <c r="D13">
        <v>52.976999999999997</v>
      </c>
      <c r="E13">
        <v>19.559000000000001</v>
      </c>
      <c r="F13">
        <v>313</v>
      </c>
      <c r="H13" s="35" t="s">
        <v>20</v>
      </c>
      <c r="I13" s="35">
        <v>100</v>
      </c>
      <c r="J13" s="35">
        <v>1</v>
      </c>
      <c r="L13" s="35">
        <f t="shared" ca="1" si="0"/>
        <v>1754.623</v>
      </c>
      <c r="M13" s="35">
        <f t="shared" ca="1" si="1"/>
        <v>1753.8</v>
      </c>
      <c r="N13" s="35">
        <f t="shared" ca="1" si="2"/>
        <v>1754.683</v>
      </c>
      <c r="O13" s="35">
        <f t="shared" ca="1" si="3"/>
        <v>1755.701</v>
      </c>
      <c r="P13" s="35">
        <f t="shared" ca="1" si="4"/>
        <v>1755.403</v>
      </c>
      <c r="Q13" s="35">
        <f t="shared" ca="1" si="5"/>
        <v>1755.7550000000001</v>
      </c>
      <c r="R13" s="35">
        <f t="shared" ca="1" si="6"/>
        <v>1759.57</v>
      </c>
      <c r="S13" s="35">
        <f t="shared" ca="1" si="7"/>
        <v>1756.9970000000001</v>
      </c>
      <c r="T13" s="35">
        <f t="shared" ca="1" si="8"/>
        <v>1758.5260000000001</v>
      </c>
      <c r="U13" s="35">
        <f t="shared" ca="1" si="9"/>
        <v>1757.52</v>
      </c>
      <c r="W13" s="35">
        <f t="shared" ca="1" si="10"/>
        <v>1756.2577999999999</v>
      </c>
      <c r="Y13" s="35">
        <f ca="1">Total!E13</f>
        <v>1753.79</v>
      </c>
      <c r="AB13" s="35">
        <f t="shared" ca="1" si="11"/>
        <v>4.7497134776688411E-4</v>
      </c>
      <c r="AC13" s="35">
        <f t="shared" ca="1" si="12"/>
        <v>5.7019369479760436E-6</v>
      </c>
      <c r="AD13" s="35">
        <f t="shared" ca="1" si="13"/>
        <v>5.0918296945474039E-4</v>
      </c>
      <c r="AE13" s="35">
        <f t="shared" ca="1" si="14"/>
        <v>1.089640150759246E-3</v>
      </c>
      <c r="AF13" s="35">
        <f t="shared" ca="1" si="15"/>
        <v>9.1972242970940444E-4</v>
      </c>
      <c r="AG13" s="35">
        <f t="shared" ca="1" si="16"/>
        <v>1.1204306102783946E-3</v>
      </c>
      <c r="AH13" s="35">
        <f t="shared" ca="1" si="17"/>
        <v>3.2957195559331349E-3</v>
      </c>
      <c r="AI13" s="35">
        <f t="shared" ca="1" si="18"/>
        <v>1.8286111792176415E-3</v>
      </c>
      <c r="AJ13" s="35">
        <f t="shared" ca="1" si="19"/>
        <v>2.7004373385639694E-3</v>
      </c>
      <c r="AK13" s="35">
        <f t="shared" ca="1" si="20"/>
        <v>2.1268224815970088E-3</v>
      </c>
      <c r="AM13" s="35">
        <f t="shared" ca="1" si="21"/>
        <v>1.4071240000228399E-2</v>
      </c>
    </row>
    <row r="14" spans="1:39" x14ac:dyDescent="0.3">
      <c r="A14" t="s">
        <v>17</v>
      </c>
      <c r="B14">
        <v>50</v>
      </c>
      <c r="C14">
        <v>1</v>
      </c>
      <c r="D14">
        <v>53.072000000000003</v>
      </c>
      <c r="E14">
        <v>19.587</v>
      </c>
      <c r="F14">
        <v>321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52.988</v>
      </c>
      <c r="E15">
        <v>19.565999999999999</v>
      </c>
      <c r="F15">
        <v>405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76.471999999999994</v>
      </c>
      <c r="M15" s="35">
        <f t="shared" ca="1" si="1"/>
        <v>76.722999999999999</v>
      </c>
      <c r="N15" s="35">
        <f t="shared" ca="1" si="1"/>
        <v>76.123999999999995</v>
      </c>
      <c r="O15" s="35">
        <f t="shared" ca="1" si="1"/>
        <v>76.531999999999996</v>
      </c>
      <c r="P15" s="35">
        <f t="shared" ca="1" si="1"/>
        <v>76.472999999999999</v>
      </c>
      <c r="Q15" s="35">
        <f t="shared" ca="1" si="1"/>
        <v>76.274000000000001</v>
      </c>
      <c r="R15" s="35">
        <f t="shared" ca="1" si="1"/>
        <v>76.489999999999995</v>
      </c>
      <c r="S15" s="35">
        <f t="shared" ca="1" si="1"/>
        <v>76.052000000000007</v>
      </c>
      <c r="T15" s="35">
        <f t="shared" ca="1" si="1"/>
        <v>76.319000000000003</v>
      </c>
      <c r="U15" s="35">
        <f t="shared" ca="1" si="1"/>
        <v>76.293999999999997</v>
      </c>
      <c r="W15" s="35">
        <f t="shared" ca="1" si="10"/>
        <v>76.375299999999996</v>
      </c>
      <c r="Y15" s="35">
        <f ca="1">Total!E15</f>
        <v>75.998000000000005</v>
      </c>
      <c r="AB15" s="35">
        <f t="shared" ca="1" si="11"/>
        <v>6.2370062370060986E-3</v>
      </c>
      <c r="AC15" s="35">
        <f t="shared" ca="1" si="12"/>
        <v>9.5397247295980724E-3</v>
      </c>
      <c r="AD15" s="35">
        <f t="shared" ca="1" si="13"/>
        <v>1.6579383667990021E-3</v>
      </c>
      <c r="AE15" s="35">
        <f t="shared" ca="1" si="14"/>
        <v>7.0265006973866655E-3</v>
      </c>
      <c r="AF15" s="35">
        <f t="shared" ca="1" si="15"/>
        <v>6.2501644780125045E-3</v>
      </c>
      <c r="AG15" s="35">
        <f t="shared" ca="1" si="16"/>
        <v>3.6316745177504177E-3</v>
      </c>
      <c r="AH15" s="35">
        <f t="shared" ca="1" si="17"/>
        <v>6.4738545751202685E-3</v>
      </c>
      <c r="AI15" s="35">
        <f t="shared" ca="1" si="18"/>
        <v>7.1054501434250953E-4</v>
      </c>
      <c r="AJ15" s="35">
        <f t="shared" ca="1" si="19"/>
        <v>4.2237953630358425E-3</v>
      </c>
      <c r="AK15" s="35">
        <f t="shared" ca="1" si="20"/>
        <v>3.8948393378772108E-3</v>
      </c>
      <c r="AM15" s="35">
        <f t="shared" ca="1" si="21"/>
        <v>4.9646043316928581E-2</v>
      </c>
    </row>
    <row r="16" spans="1:39" x14ac:dyDescent="0.3">
      <c r="A16" t="s">
        <v>17</v>
      </c>
      <c r="B16">
        <v>50</v>
      </c>
      <c r="C16">
        <v>1</v>
      </c>
      <c r="D16">
        <v>53.058</v>
      </c>
      <c r="E16">
        <v>19.579999999999998</v>
      </c>
      <c r="F16">
        <v>456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119.65</v>
      </c>
      <c r="M16" s="35">
        <f t="shared" ca="1" si="1"/>
        <v>118.979</v>
      </c>
      <c r="N16" s="35">
        <f t="shared" ca="1" si="1"/>
        <v>118.824</v>
      </c>
      <c r="O16" s="35">
        <f t="shared" ca="1" si="1"/>
        <v>118.51</v>
      </c>
      <c r="P16" s="35">
        <f t="shared" ca="1" si="1"/>
        <v>118.876</v>
      </c>
      <c r="Q16" s="35">
        <f t="shared" ca="1" si="1"/>
        <v>118.21299999999999</v>
      </c>
      <c r="R16" s="35">
        <f t="shared" ca="1" si="1"/>
        <v>118.559</v>
      </c>
      <c r="S16" s="35">
        <f t="shared" ca="1" si="1"/>
        <v>118.56</v>
      </c>
      <c r="T16" s="35">
        <f t="shared" ca="1" si="1"/>
        <v>119.229</v>
      </c>
      <c r="U16" s="35">
        <f t="shared" ca="1" si="1"/>
        <v>118.994</v>
      </c>
      <c r="W16" s="35">
        <f t="shared" ca="1" si="10"/>
        <v>118.8394</v>
      </c>
      <c r="Y16" s="35">
        <f ca="1">Total!E16</f>
        <v>118.01</v>
      </c>
      <c r="AB16" s="35">
        <f t="shared" ca="1" si="11"/>
        <v>1.3897127362087962E-2</v>
      </c>
      <c r="AC16" s="35">
        <f t="shared" ca="1" si="12"/>
        <v>8.2111685450385052E-3</v>
      </c>
      <c r="AD16" s="35">
        <f t="shared" ca="1" si="13"/>
        <v>6.897720532158232E-3</v>
      </c>
      <c r="AE16" s="35">
        <f t="shared" ca="1" si="14"/>
        <v>4.2369290738073044E-3</v>
      </c>
      <c r="AF16" s="35">
        <f t="shared" ca="1" si="15"/>
        <v>7.3383611558342481E-3</v>
      </c>
      <c r="AG16" s="35">
        <f t="shared" ca="1" si="16"/>
        <v>1.7201932039656702E-3</v>
      </c>
      <c r="AH16" s="35">
        <f t="shared" ca="1" si="17"/>
        <v>4.6521481230403557E-3</v>
      </c>
      <c r="AI16" s="35">
        <f t="shared" ca="1" si="18"/>
        <v>4.6606219811880104E-3</v>
      </c>
      <c r="AJ16" s="35">
        <f t="shared" ca="1" si="19"/>
        <v>1.0329633081942157E-2</v>
      </c>
      <c r="AK16" s="35">
        <f t="shared" ca="1" si="20"/>
        <v>8.3382764172527293E-3</v>
      </c>
      <c r="AM16" s="35">
        <f t="shared" ca="1" si="21"/>
        <v>7.0282179476315182E-2</v>
      </c>
    </row>
    <row r="17" spans="1:39" x14ac:dyDescent="0.3">
      <c r="A17" t="s">
        <v>17</v>
      </c>
      <c r="B17">
        <v>50</v>
      </c>
      <c r="C17">
        <v>1</v>
      </c>
      <c r="D17">
        <v>53.247999999999998</v>
      </c>
      <c r="E17">
        <v>19.571999999999999</v>
      </c>
      <c r="F17">
        <v>434</v>
      </c>
      <c r="H17" s="35" t="s">
        <v>34</v>
      </c>
      <c r="I17" s="35">
        <v>40</v>
      </c>
      <c r="J17" s="35">
        <v>1</v>
      </c>
      <c r="L17" s="35">
        <f t="shared" ca="1" si="22"/>
        <v>16.774999999999999</v>
      </c>
      <c r="M17" s="35">
        <f t="shared" ca="1" si="1"/>
        <v>16.731000000000002</v>
      </c>
      <c r="N17" s="35">
        <f t="shared" ca="1" si="1"/>
        <v>16.739999999999998</v>
      </c>
      <c r="O17" s="35">
        <f t="shared" ca="1" si="1"/>
        <v>16.678999999999998</v>
      </c>
      <c r="P17" s="35">
        <f t="shared" ca="1" si="1"/>
        <v>16.635999999999999</v>
      </c>
      <c r="Q17" s="35">
        <f t="shared" ca="1" si="1"/>
        <v>16.658999999999999</v>
      </c>
      <c r="R17" s="35">
        <f t="shared" ca="1" si="1"/>
        <v>16.792999999999999</v>
      </c>
      <c r="S17" s="35">
        <f t="shared" ca="1" si="1"/>
        <v>16.75</v>
      </c>
      <c r="T17" s="35">
        <f t="shared" ca="1" si="1"/>
        <v>16.616</v>
      </c>
      <c r="U17" s="35">
        <f t="shared" ca="1" si="1"/>
        <v>16.777000000000001</v>
      </c>
      <c r="W17" s="35">
        <f t="shared" ca="1" si="10"/>
        <v>16.715600000000002</v>
      </c>
      <c r="Y17" s="35">
        <f ca="1">Total!E17</f>
        <v>16.481999999999999</v>
      </c>
      <c r="AB17" s="35">
        <f t="shared" ca="1" si="11"/>
        <v>1.7776968814464219E-2</v>
      </c>
      <c r="AC17" s="35">
        <f t="shared" ca="1" si="12"/>
        <v>1.510738987986909E-2</v>
      </c>
      <c r="AD17" s="35">
        <f t="shared" ca="1" si="13"/>
        <v>1.5653440116490665E-2</v>
      </c>
      <c r="AE17" s="35">
        <f t="shared" ca="1" si="14"/>
        <v>1.1952432957165342E-2</v>
      </c>
      <c r="AF17" s="35">
        <f t="shared" ca="1" si="15"/>
        <v>9.3435262710836013E-3</v>
      </c>
      <c r="AG17" s="35">
        <f t="shared" ca="1" si="16"/>
        <v>1.0738987986894771E-2</v>
      </c>
      <c r="AH17" s="35">
        <f t="shared" ca="1" si="17"/>
        <v>1.8869069287707801E-2</v>
      </c>
      <c r="AI17" s="35">
        <f t="shared" ca="1" si="18"/>
        <v>1.626016260162606E-2</v>
      </c>
      <c r="AJ17" s="35">
        <f t="shared" ca="1" si="19"/>
        <v>8.1300813008130298E-3</v>
      </c>
      <c r="AK17" s="35">
        <f t="shared" ca="1" si="20"/>
        <v>1.7898313311491429E-2</v>
      </c>
      <c r="AM17" s="35">
        <f t="shared" ca="1" si="21"/>
        <v>0.14173037252760601</v>
      </c>
    </row>
    <row r="18" spans="1:39" x14ac:dyDescent="0.3">
      <c r="A18" t="s">
        <v>17</v>
      </c>
      <c r="B18">
        <v>50</v>
      </c>
      <c r="C18">
        <v>1</v>
      </c>
      <c r="D18">
        <v>53.067</v>
      </c>
      <c r="E18">
        <v>19.545999999999999</v>
      </c>
      <c r="F18">
        <v>315</v>
      </c>
      <c r="H18" s="35" t="s">
        <v>34</v>
      </c>
      <c r="I18" s="35">
        <v>96</v>
      </c>
      <c r="J18" s="35">
        <v>1</v>
      </c>
      <c r="L18" s="35">
        <f t="shared" ca="1" si="22"/>
        <v>35.182000000000002</v>
      </c>
      <c r="M18" s="35">
        <f t="shared" ca="1" si="22"/>
        <v>35.231999999999999</v>
      </c>
      <c r="N18" s="35">
        <f t="shared" ca="1" si="22"/>
        <v>35.155000000000001</v>
      </c>
      <c r="O18" s="35">
        <f t="shared" ca="1" si="22"/>
        <v>35.174999999999997</v>
      </c>
      <c r="P18" s="35">
        <f t="shared" ca="1" si="22"/>
        <v>35.215000000000003</v>
      </c>
      <c r="Q18" s="35">
        <f t="shared" ca="1" si="22"/>
        <v>35.192999999999998</v>
      </c>
      <c r="R18" s="35">
        <f t="shared" ca="1" si="22"/>
        <v>35.183</v>
      </c>
      <c r="S18" s="35">
        <f t="shared" ca="1" si="22"/>
        <v>35.173000000000002</v>
      </c>
      <c r="T18" s="35">
        <f t="shared" ca="1" si="22"/>
        <v>35.171999999999997</v>
      </c>
      <c r="U18" s="35">
        <f t="shared" ca="1" si="22"/>
        <v>35.142000000000003</v>
      </c>
      <c r="W18" s="35">
        <f t="shared" ca="1" si="10"/>
        <v>35.182199999999995</v>
      </c>
      <c r="Y18" s="35">
        <f ca="1">Total!E18</f>
        <v>35.069000000000003</v>
      </c>
      <c r="AB18" s="35">
        <f t="shared" ca="1" si="11"/>
        <v>3.222219053865224E-3</v>
      </c>
      <c r="AC18" s="35">
        <f t="shared" ca="1" si="12"/>
        <v>4.6479796971683448E-3</v>
      </c>
      <c r="AD18" s="35">
        <f t="shared" ca="1" si="13"/>
        <v>2.4523083064814655E-3</v>
      </c>
      <c r="AE18" s="35">
        <f t="shared" ca="1" si="14"/>
        <v>3.0226125638026331E-3</v>
      </c>
      <c r="AF18" s="35">
        <f t="shared" ca="1" si="15"/>
        <v>4.1632210784453734E-3</v>
      </c>
      <c r="AG18" s="35">
        <f t="shared" ca="1" si="16"/>
        <v>3.535886395391805E-3</v>
      </c>
      <c r="AH18" s="35">
        <f t="shared" ca="1" si="17"/>
        <v>3.2507342667312217E-3</v>
      </c>
      <c r="AI18" s="35">
        <f t="shared" ca="1" si="18"/>
        <v>2.9655821380706378E-3</v>
      </c>
      <c r="AJ18" s="35">
        <f t="shared" ca="1" si="19"/>
        <v>2.9370669252044377E-3</v>
      </c>
      <c r="AK18" s="35">
        <f t="shared" ca="1" si="20"/>
        <v>2.0816105392226867E-3</v>
      </c>
      <c r="AM18" s="35">
        <f t="shared" ca="1" si="21"/>
        <v>3.2279220964383827E-2</v>
      </c>
    </row>
    <row r="19" spans="1:39" x14ac:dyDescent="0.3">
      <c r="A19" t="s">
        <v>17</v>
      </c>
      <c r="B19">
        <v>50</v>
      </c>
      <c r="C19">
        <v>1</v>
      </c>
      <c r="D19">
        <v>52.976999999999997</v>
      </c>
      <c r="E19">
        <v>19.577999999999999</v>
      </c>
      <c r="F19">
        <v>316</v>
      </c>
      <c r="H19" s="35" t="s">
        <v>34</v>
      </c>
      <c r="I19" s="35">
        <v>224</v>
      </c>
      <c r="J19" s="35">
        <v>1</v>
      </c>
      <c r="L19" s="35">
        <f t="shared" ca="1" si="22"/>
        <v>71.918000000000006</v>
      </c>
      <c r="M19" s="35">
        <f t="shared" ca="1" si="22"/>
        <v>71.942999999999998</v>
      </c>
      <c r="N19" s="35">
        <f t="shared" ca="1" si="22"/>
        <v>71.989999999999995</v>
      </c>
      <c r="O19" s="35">
        <f t="shared" ca="1" si="22"/>
        <v>71.930999999999997</v>
      </c>
      <c r="P19" s="35">
        <f t="shared" ca="1" si="22"/>
        <v>71.956999999999994</v>
      </c>
      <c r="Q19" s="35">
        <f t="shared" ca="1" si="22"/>
        <v>72.001000000000005</v>
      </c>
      <c r="R19" s="35">
        <f t="shared" ca="1" si="22"/>
        <v>72.003</v>
      </c>
      <c r="S19" s="35">
        <f t="shared" ca="1" si="22"/>
        <v>71.918999999999997</v>
      </c>
      <c r="T19" s="35">
        <f t="shared" ca="1" si="22"/>
        <v>71.923000000000002</v>
      </c>
      <c r="U19" s="35">
        <f t="shared" ca="1" si="22"/>
        <v>71.962000000000003</v>
      </c>
      <c r="W19" s="35">
        <f t="shared" ca="1" si="10"/>
        <v>71.954700000000003</v>
      </c>
      <c r="Y19" s="35">
        <f ca="1">Total!E19</f>
        <v>71.908000000000001</v>
      </c>
      <c r="AB19" s="35">
        <f t="shared" ca="1" si="11"/>
        <v>1.3906658508100789E-4</v>
      </c>
      <c r="AC19" s="35">
        <f t="shared" ca="1" si="12"/>
        <v>4.8673304778323119E-4</v>
      </c>
      <c r="AD19" s="35">
        <f t="shared" ca="1" si="13"/>
        <v>1.1403459976635929E-3</v>
      </c>
      <c r="AE19" s="35">
        <f t="shared" ca="1" si="14"/>
        <v>3.1985314568610076E-4</v>
      </c>
      <c r="AF19" s="35">
        <f t="shared" ca="1" si="15"/>
        <v>6.8142626689648414E-4</v>
      </c>
      <c r="AG19" s="35">
        <f t="shared" ca="1" si="16"/>
        <v>1.2933192412527608E-3</v>
      </c>
      <c r="AH19" s="35">
        <f t="shared" ca="1" si="17"/>
        <v>1.3211325582688834E-3</v>
      </c>
      <c r="AI19" s="35">
        <f t="shared" ca="1" si="18"/>
        <v>1.5297324358897035E-4</v>
      </c>
      <c r="AJ19" s="35">
        <f t="shared" ca="1" si="19"/>
        <v>2.0859987762141303E-4</v>
      </c>
      <c r="AK19" s="35">
        <f t="shared" ca="1" si="20"/>
        <v>7.5095955943708687E-4</v>
      </c>
      <c r="AM19" s="35">
        <f t="shared" ca="1" si="21"/>
        <v>6.4944095232795313E-3</v>
      </c>
    </row>
    <row r="20" spans="1:39" x14ac:dyDescent="0.3">
      <c r="A20" t="s">
        <v>17</v>
      </c>
      <c r="B20">
        <v>50</v>
      </c>
      <c r="C20">
        <v>1</v>
      </c>
      <c r="D20">
        <v>53.006999999999998</v>
      </c>
      <c r="E20">
        <v>19.585999999999999</v>
      </c>
      <c r="F20">
        <v>322</v>
      </c>
    </row>
    <row r="21" spans="1:39" x14ac:dyDescent="0.3">
      <c r="A21" t="s">
        <v>17</v>
      </c>
      <c r="B21">
        <v>100</v>
      </c>
      <c r="C21">
        <v>1</v>
      </c>
      <c r="D21">
        <v>103.21899999999999</v>
      </c>
      <c r="E21">
        <v>101.998</v>
      </c>
      <c r="F21">
        <v>524</v>
      </c>
    </row>
    <row r="22" spans="1:39" x14ac:dyDescent="0.3">
      <c r="A22" t="s">
        <v>17</v>
      </c>
      <c r="B22">
        <v>100</v>
      </c>
      <c r="C22">
        <v>1</v>
      </c>
      <c r="D22">
        <v>103.286</v>
      </c>
      <c r="E22">
        <v>102.14</v>
      </c>
      <c r="F22">
        <v>543</v>
      </c>
    </row>
    <row r="23" spans="1:39" x14ac:dyDescent="0.3">
      <c r="A23" t="s">
        <v>17</v>
      </c>
      <c r="B23">
        <v>100</v>
      </c>
      <c r="C23">
        <v>1</v>
      </c>
      <c r="D23">
        <v>103.256</v>
      </c>
      <c r="E23">
        <v>102.078</v>
      </c>
      <c r="F23">
        <v>510</v>
      </c>
    </row>
    <row r="24" spans="1:39" x14ac:dyDescent="0.3">
      <c r="A24" t="s">
        <v>17</v>
      </c>
      <c r="B24">
        <v>100</v>
      </c>
      <c r="C24">
        <v>1</v>
      </c>
      <c r="D24">
        <v>103.273</v>
      </c>
      <c r="E24">
        <v>102</v>
      </c>
      <c r="F24">
        <v>543</v>
      </c>
    </row>
    <row r="25" spans="1:39" x14ac:dyDescent="0.3">
      <c r="A25" t="s">
        <v>17</v>
      </c>
      <c r="B25">
        <v>100</v>
      </c>
      <c r="C25">
        <v>1</v>
      </c>
      <c r="D25">
        <v>103.194</v>
      </c>
      <c r="E25">
        <v>102.11799999999999</v>
      </c>
      <c r="F25">
        <v>504</v>
      </c>
    </row>
    <row r="26" spans="1:39" x14ac:dyDescent="0.3">
      <c r="A26" t="s">
        <v>17</v>
      </c>
      <c r="B26">
        <v>100</v>
      </c>
      <c r="C26">
        <v>1</v>
      </c>
      <c r="D26">
        <v>103.23699999999999</v>
      </c>
      <c r="E26">
        <v>102.133</v>
      </c>
      <c r="F26">
        <v>531</v>
      </c>
    </row>
    <row r="27" spans="1:39" x14ac:dyDescent="0.3">
      <c r="A27" t="s">
        <v>17</v>
      </c>
      <c r="B27">
        <v>100</v>
      </c>
      <c r="C27">
        <v>1</v>
      </c>
      <c r="D27">
        <v>103.273</v>
      </c>
      <c r="E27">
        <v>102.041</v>
      </c>
      <c r="F27">
        <v>546</v>
      </c>
    </row>
    <row r="28" spans="1:39" x14ac:dyDescent="0.3">
      <c r="A28" t="s">
        <v>17</v>
      </c>
      <c r="B28">
        <v>100</v>
      </c>
      <c r="C28">
        <v>1</v>
      </c>
      <c r="D28">
        <v>103.30800000000001</v>
      </c>
      <c r="E28">
        <v>102.107</v>
      </c>
      <c r="F28">
        <v>521</v>
      </c>
    </row>
    <row r="29" spans="1:39" x14ac:dyDescent="0.3">
      <c r="A29" t="s">
        <v>17</v>
      </c>
      <c r="B29">
        <v>100</v>
      </c>
      <c r="C29">
        <v>1</v>
      </c>
      <c r="D29">
        <v>102.968</v>
      </c>
      <c r="E29">
        <v>102.108</v>
      </c>
      <c r="F29">
        <v>573</v>
      </c>
    </row>
    <row r="30" spans="1:39" x14ac:dyDescent="0.3">
      <c r="A30" t="s">
        <v>17</v>
      </c>
      <c r="B30">
        <v>100</v>
      </c>
      <c r="C30">
        <v>1</v>
      </c>
      <c r="D30">
        <v>103.242</v>
      </c>
      <c r="E30">
        <v>102.15300000000001</v>
      </c>
      <c r="F30">
        <v>508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8.016</v>
      </c>
      <c r="F31">
        <v>325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8.0009999999999994</v>
      </c>
      <c r="F32">
        <v>306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8.0109999999999992</v>
      </c>
      <c r="F33">
        <v>266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7.9980000000000002</v>
      </c>
      <c r="F34">
        <v>311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8.0120000000000005</v>
      </c>
      <c r="F35">
        <v>260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7.9989999999999997</v>
      </c>
      <c r="F36">
        <v>296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</v>
      </c>
      <c r="F37">
        <v>278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8.0079999999999991</v>
      </c>
      <c r="F38">
        <v>273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8.0020000000000007</v>
      </c>
      <c r="F39">
        <v>261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8.0009999999999994</v>
      </c>
      <c r="F40">
        <v>308</v>
      </c>
    </row>
    <row r="41" spans="1:6" x14ac:dyDescent="0.3">
      <c r="A41" t="s">
        <v>18</v>
      </c>
      <c r="B41">
        <v>50</v>
      </c>
      <c r="C41">
        <v>1</v>
      </c>
      <c r="D41">
        <v>179.93799999999999</v>
      </c>
      <c r="E41">
        <v>22.433</v>
      </c>
      <c r="F41">
        <v>322</v>
      </c>
    </row>
    <row r="42" spans="1:6" x14ac:dyDescent="0.3">
      <c r="A42" t="s">
        <v>18</v>
      </c>
      <c r="B42">
        <v>50</v>
      </c>
      <c r="C42">
        <v>1</v>
      </c>
      <c r="D42">
        <v>179.673</v>
      </c>
      <c r="E42">
        <v>22.402000000000001</v>
      </c>
      <c r="F42">
        <v>327</v>
      </c>
    </row>
    <row r="43" spans="1:6" x14ac:dyDescent="0.3">
      <c r="A43" t="s">
        <v>18</v>
      </c>
      <c r="B43">
        <v>50</v>
      </c>
      <c r="C43">
        <v>1</v>
      </c>
      <c r="D43">
        <v>179.93799999999999</v>
      </c>
      <c r="E43">
        <v>22.402000000000001</v>
      </c>
      <c r="F43">
        <v>330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22.445</v>
      </c>
      <c r="F44">
        <v>327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22.413</v>
      </c>
      <c r="F45">
        <v>323</v>
      </c>
    </row>
    <row r="46" spans="1:6" x14ac:dyDescent="0.3">
      <c r="A46" t="s">
        <v>18</v>
      </c>
      <c r="B46">
        <v>50</v>
      </c>
      <c r="C46">
        <v>1</v>
      </c>
      <c r="D46">
        <v>179.93799999999999</v>
      </c>
      <c r="E46">
        <v>22.437999999999999</v>
      </c>
      <c r="F46">
        <v>337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22.425999999999998</v>
      </c>
      <c r="F47">
        <v>322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22.413</v>
      </c>
      <c r="F48">
        <v>327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22.443000000000001</v>
      </c>
      <c r="F49">
        <v>331</v>
      </c>
    </row>
    <row r="50" spans="1:6" x14ac:dyDescent="0.3">
      <c r="A50" t="s">
        <v>18</v>
      </c>
      <c r="B50">
        <v>50</v>
      </c>
      <c r="C50">
        <v>1</v>
      </c>
      <c r="D50">
        <v>179.94300000000001</v>
      </c>
      <c r="E50">
        <v>22.46</v>
      </c>
      <c r="F50">
        <v>328</v>
      </c>
    </row>
    <row r="51" spans="1:6" x14ac:dyDescent="0.3">
      <c r="A51" t="s">
        <v>18</v>
      </c>
      <c r="B51">
        <v>100</v>
      </c>
      <c r="C51">
        <v>1</v>
      </c>
      <c r="D51">
        <v>239.55</v>
      </c>
      <c r="E51">
        <v>138.57599999999999</v>
      </c>
      <c r="F51">
        <v>580</v>
      </c>
    </row>
    <row r="52" spans="1:6" x14ac:dyDescent="0.3">
      <c r="A52" t="s">
        <v>18</v>
      </c>
      <c r="B52">
        <v>100</v>
      </c>
      <c r="C52">
        <v>1</v>
      </c>
      <c r="D52">
        <v>239.167</v>
      </c>
      <c r="E52">
        <v>138.58600000000001</v>
      </c>
      <c r="F52">
        <v>615</v>
      </c>
    </row>
    <row r="53" spans="1:6" x14ac:dyDescent="0.3">
      <c r="A53" t="s">
        <v>18</v>
      </c>
      <c r="B53">
        <v>100</v>
      </c>
      <c r="C53">
        <v>1</v>
      </c>
      <c r="D53">
        <v>238.999</v>
      </c>
      <c r="E53">
        <v>138.61500000000001</v>
      </c>
      <c r="F53">
        <v>658</v>
      </c>
    </row>
    <row r="54" spans="1:6" x14ac:dyDescent="0.3">
      <c r="A54" t="s">
        <v>18</v>
      </c>
      <c r="B54">
        <v>100</v>
      </c>
      <c r="C54">
        <v>1</v>
      </c>
      <c r="D54">
        <v>239.19399999999999</v>
      </c>
      <c r="E54">
        <v>138.64599999999999</v>
      </c>
      <c r="F54">
        <v>620</v>
      </c>
    </row>
    <row r="55" spans="1:6" x14ac:dyDescent="0.3">
      <c r="A55" t="s">
        <v>18</v>
      </c>
      <c r="B55">
        <v>100</v>
      </c>
      <c r="C55">
        <v>1</v>
      </c>
      <c r="D55">
        <v>239.74299999999999</v>
      </c>
      <c r="E55">
        <v>138.64099999999999</v>
      </c>
      <c r="F55">
        <v>575</v>
      </c>
    </row>
    <row r="56" spans="1:6" x14ac:dyDescent="0.3">
      <c r="A56" t="s">
        <v>18</v>
      </c>
      <c r="B56">
        <v>100</v>
      </c>
      <c r="C56">
        <v>1</v>
      </c>
      <c r="D56">
        <v>239.773</v>
      </c>
      <c r="E56">
        <v>138.62700000000001</v>
      </c>
      <c r="F56">
        <v>579</v>
      </c>
    </row>
    <row r="57" spans="1:6" x14ac:dyDescent="0.3">
      <c r="A57" t="s">
        <v>18</v>
      </c>
      <c r="B57">
        <v>100</v>
      </c>
      <c r="C57">
        <v>1</v>
      </c>
      <c r="D57">
        <v>239.27</v>
      </c>
      <c r="E57">
        <v>138.55699999999999</v>
      </c>
      <c r="F57">
        <v>573</v>
      </c>
    </row>
    <row r="58" spans="1:6" x14ac:dyDescent="0.3">
      <c r="A58" t="s">
        <v>18</v>
      </c>
      <c r="B58">
        <v>100</v>
      </c>
      <c r="C58">
        <v>1</v>
      </c>
      <c r="D58">
        <v>239.17699999999999</v>
      </c>
      <c r="E58">
        <v>138.643</v>
      </c>
      <c r="F58">
        <v>577</v>
      </c>
    </row>
    <row r="59" spans="1:6" x14ac:dyDescent="0.3">
      <c r="A59" t="s">
        <v>18</v>
      </c>
      <c r="B59">
        <v>100</v>
      </c>
      <c r="C59">
        <v>1</v>
      </c>
      <c r="D59">
        <v>239.29</v>
      </c>
      <c r="E59">
        <v>138.571</v>
      </c>
      <c r="F59">
        <v>655</v>
      </c>
    </row>
    <row r="60" spans="1:6" x14ac:dyDescent="0.3">
      <c r="A60" t="s">
        <v>18</v>
      </c>
      <c r="B60">
        <v>100</v>
      </c>
      <c r="C60">
        <v>1</v>
      </c>
      <c r="D60">
        <v>239.05</v>
      </c>
      <c r="E60">
        <v>138.559</v>
      </c>
      <c r="F60">
        <v>660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4.3250000000000002</v>
      </c>
      <c r="F61">
        <v>217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4.3280000000000003</v>
      </c>
      <c r="F62">
        <v>203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4.33</v>
      </c>
      <c r="F63">
        <v>228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4.3120000000000003</v>
      </c>
      <c r="F64">
        <v>186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4.335</v>
      </c>
      <c r="F65">
        <v>203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4.3330000000000002</v>
      </c>
      <c r="F66">
        <v>196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4.3239999999999998</v>
      </c>
      <c r="F67">
        <v>192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4.3170000000000002</v>
      </c>
      <c r="F68">
        <v>201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4.3120000000000003</v>
      </c>
      <c r="F69">
        <v>246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4.3289999999999997</v>
      </c>
      <c r="F70">
        <v>197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13.215999999999999</v>
      </c>
      <c r="F71">
        <v>267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13.218</v>
      </c>
      <c r="F72">
        <v>253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13.218</v>
      </c>
      <c r="F73">
        <v>251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13.199</v>
      </c>
      <c r="F74">
        <v>259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13.212</v>
      </c>
      <c r="F75">
        <v>252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13.202999999999999</v>
      </c>
      <c r="F76">
        <v>297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13.207000000000001</v>
      </c>
      <c r="F77">
        <v>342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13.192</v>
      </c>
      <c r="F78">
        <v>333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13.208</v>
      </c>
      <c r="F79">
        <v>329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13.194000000000001</v>
      </c>
      <c r="F80">
        <v>328</v>
      </c>
    </row>
    <row r="81" spans="1:6" x14ac:dyDescent="0.3">
      <c r="A81" t="s">
        <v>19</v>
      </c>
      <c r="B81">
        <v>100</v>
      </c>
      <c r="C81">
        <v>1</v>
      </c>
      <c r="D81">
        <v>35221.008000000002</v>
      </c>
      <c r="E81">
        <v>54.843000000000004</v>
      </c>
      <c r="F81">
        <v>270</v>
      </c>
    </row>
    <row r="82" spans="1:6" x14ac:dyDescent="0.3">
      <c r="A82" t="s">
        <v>19</v>
      </c>
      <c r="B82">
        <v>100</v>
      </c>
      <c r="C82">
        <v>1</v>
      </c>
      <c r="D82">
        <v>35217.663999999997</v>
      </c>
      <c r="E82">
        <v>54.834000000000003</v>
      </c>
      <c r="F82">
        <v>280</v>
      </c>
    </row>
    <row r="83" spans="1:6" x14ac:dyDescent="0.3">
      <c r="A83" t="s">
        <v>19</v>
      </c>
      <c r="B83">
        <v>100</v>
      </c>
      <c r="C83">
        <v>1</v>
      </c>
      <c r="D83">
        <v>35235.410000000003</v>
      </c>
      <c r="E83">
        <v>54.942999999999998</v>
      </c>
      <c r="F83">
        <v>281</v>
      </c>
    </row>
    <row r="84" spans="1:6" x14ac:dyDescent="0.3">
      <c r="A84" t="s">
        <v>19</v>
      </c>
      <c r="B84">
        <v>100</v>
      </c>
      <c r="C84">
        <v>1</v>
      </c>
      <c r="D84">
        <v>35273.608</v>
      </c>
      <c r="E84">
        <v>54.929000000000002</v>
      </c>
      <c r="F84">
        <v>272</v>
      </c>
    </row>
    <row r="85" spans="1:6" x14ac:dyDescent="0.3">
      <c r="A85" t="s">
        <v>19</v>
      </c>
      <c r="B85">
        <v>100</v>
      </c>
      <c r="C85">
        <v>1</v>
      </c>
      <c r="D85">
        <v>35222.917999999998</v>
      </c>
      <c r="E85">
        <v>54.93</v>
      </c>
      <c r="F85">
        <v>273</v>
      </c>
    </row>
    <row r="86" spans="1:6" x14ac:dyDescent="0.3">
      <c r="A86" t="s">
        <v>19</v>
      </c>
      <c r="B86">
        <v>100</v>
      </c>
      <c r="C86">
        <v>1</v>
      </c>
      <c r="D86">
        <v>35295.983</v>
      </c>
      <c r="E86">
        <v>54.851999999999997</v>
      </c>
      <c r="F86">
        <v>274</v>
      </c>
    </row>
    <row r="87" spans="1:6" x14ac:dyDescent="0.3">
      <c r="A87" t="s">
        <v>19</v>
      </c>
      <c r="B87">
        <v>100</v>
      </c>
      <c r="C87">
        <v>1</v>
      </c>
      <c r="D87">
        <v>35281.675000000003</v>
      </c>
      <c r="E87">
        <v>54.823999999999998</v>
      </c>
      <c r="F87">
        <v>279</v>
      </c>
    </row>
    <row r="88" spans="1:6" x14ac:dyDescent="0.3">
      <c r="A88" t="s">
        <v>19</v>
      </c>
      <c r="B88">
        <v>100</v>
      </c>
      <c r="C88">
        <v>1</v>
      </c>
      <c r="D88">
        <v>35273.402999999998</v>
      </c>
      <c r="E88">
        <v>54.9</v>
      </c>
      <c r="F88">
        <v>278</v>
      </c>
    </row>
    <row r="89" spans="1:6" x14ac:dyDescent="0.3">
      <c r="A89" t="s">
        <v>19</v>
      </c>
      <c r="B89">
        <v>100</v>
      </c>
      <c r="C89">
        <v>1</v>
      </c>
      <c r="D89">
        <v>35247.131999999998</v>
      </c>
      <c r="E89">
        <v>54.844999999999999</v>
      </c>
      <c r="F89">
        <v>275</v>
      </c>
    </row>
    <row r="90" spans="1:6" x14ac:dyDescent="0.3">
      <c r="A90" t="s">
        <v>19</v>
      </c>
      <c r="B90">
        <v>100</v>
      </c>
      <c r="C90">
        <v>1</v>
      </c>
      <c r="D90">
        <v>35242.976000000002</v>
      </c>
      <c r="E90">
        <v>54.911999999999999</v>
      </c>
      <c r="F90">
        <v>305</v>
      </c>
    </row>
    <row r="91" spans="1:6" x14ac:dyDescent="0.3">
      <c r="A91" t="s">
        <v>20</v>
      </c>
      <c r="B91">
        <v>30</v>
      </c>
      <c r="C91">
        <v>1</v>
      </c>
      <c r="D91">
        <v>658.23299999999995</v>
      </c>
      <c r="E91">
        <v>6.4980000000000002</v>
      </c>
      <c r="F91">
        <v>240</v>
      </c>
    </row>
    <row r="92" spans="1:6" x14ac:dyDescent="0.3">
      <c r="A92" t="s">
        <v>20</v>
      </c>
      <c r="B92">
        <v>30</v>
      </c>
      <c r="C92">
        <v>1</v>
      </c>
      <c r="D92">
        <v>659.84500000000003</v>
      </c>
      <c r="E92">
        <v>6.4669999999999996</v>
      </c>
      <c r="F92">
        <v>294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6.4720000000000004</v>
      </c>
      <c r="F93">
        <v>209</v>
      </c>
    </row>
    <row r="94" spans="1:6" x14ac:dyDescent="0.3">
      <c r="A94" t="s">
        <v>20</v>
      </c>
      <c r="B94">
        <v>30</v>
      </c>
      <c r="C94">
        <v>1</v>
      </c>
      <c r="D94">
        <v>657.35599999999999</v>
      </c>
      <c r="E94">
        <v>6.4969999999999999</v>
      </c>
      <c r="F94">
        <v>220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6.4749999999999996</v>
      </c>
      <c r="F95">
        <v>256</v>
      </c>
    </row>
    <row r="96" spans="1:6" x14ac:dyDescent="0.3">
      <c r="A96" t="s">
        <v>20</v>
      </c>
      <c r="B96">
        <v>30</v>
      </c>
      <c r="C96">
        <v>1</v>
      </c>
      <c r="D96">
        <v>658.23299999999995</v>
      </c>
      <c r="E96">
        <v>6.48</v>
      </c>
      <c r="F96">
        <v>246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6.4669999999999996</v>
      </c>
      <c r="F97">
        <v>240</v>
      </c>
    </row>
    <row r="98" spans="1:6" x14ac:dyDescent="0.3">
      <c r="A98" t="s">
        <v>20</v>
      </c>
      <c r="B98">
        <v>30</v>
      </c>
      <c r="C98">
        <v>1</v>
      </c>
      <c r="D98">
        <v>657.35599999999999</v>
      </c>
      <c r="E98">
        <v>6.492</v>
      </c>
      <c r="F98">
        <v>243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6.4829999999999997</v>
      </c>
      <c r="F99">
        <v>227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6.4649999999999999</v>
      </c>
      <c r="F100">
        <v>219</v>
      </c>
    </row>
    <row r="101" spans="1:6" x14ac:dyDescent="0.3">
      <c r="A101" t="s">
        <v>20</v>
      </c>
      <c r="B101">
        <v>50</v>
      </c>
      <c r="C101">
        <v>1</v>
      </c>
      <c r="D101">
        <v>994.92200000000003</v>
      </c>
      <c r="E101">
        <v>14.694000000000001</v>
      </c>
      <c r="F101">
        <v>370</v>
      </c>
    </row>
    <row r="102" spans="1:6" x14ac:dyDescent="0.3">
      <c r="A102" t="s">
        <v>20</v>
      </c>
      <c r="B102">
        <v>50</v>
      </c>
      <c r="C102">
        <v>1</v>
      </c>
      <c r="D102">
        <v>991.97500000000002</v>
      </c>
      <c r="E102">
        <v>14.704000000000001</v>
      </c>
      <c r="F102">
        <v>363</v>
      </c>
    </row>
    <row r="103" spans="1:6" x14ac:dyDescent="0.3">
      <c r="A103" t="s">
        <v>20</v>
      </c>
      <c r="B103">
        <v>50</v>
      </c>
      <c r="C103">
        <v>1</v>
      </c>
      <c r="D103">
        <v>991.62699999999995</v>
      </c>
      <c r="E103">
        <v>14.686999999999999</v>
      </c>
      <c r="F103">
        <v>359</v>
      </c>
    </row>
    <row r="104" spans="1:6" x14ac:dyDescent="0.3">
      <c r="A104" t="s">
        <v>20</v>
      </c>
      <c r="B104">
        <v>50</v>
      </c>
      <c r="C104">
        <v>1</v>
      </c>
      <c r="D104">
        <v>994.20299999999997</v>
      </c>
      <c r="E104">
        <v>14.692</v>
      </c>
      <c r="F104">
        <v>379</v>
      </c>
    </row>
    <row r="105" spans="1:6" x14ac:dyDescent="0.3">
      <c r="A105" t="s">
        <v>20</v>
      </c>
      <c r="B105">
        <v>50</v>
      </c>
      <c r="C105">
        <v>1</v>
      </c>
      <c r="D105">
        <v>996.85599999999999</v>
      </c>
      <c r="E105">
        <v>14.686999999999999</v>
      </c>
      <c r="F105">
        <v>357</v>
      </c>
    </row>
    <row r="106" spans="1:6" x14ac:dyDescent="0.3">
      <c r="A106" t="s">
        <v>20</v>
      </c>
      <c r="B106">
        <v>50</v>
      </c>
      <c r="C106">
        <v>1</v>
      </c>
      <c r="D106">
        <v>993.71600000000001</v>
      </c>
      <c r="E106">
        <v>14.701000000000001</v>
      </c>
      <c r="F106">
        <v>342</v>
      </c>
    </row>
    <row r="107" spans="1:6" x14ac:dyDescent="0.3">
      <c r="A107" t="s">
        <v>20</v>
      </c>
      <c r="B107">
        <v>50</v>
      </c>
      <c r="C107">
        <v>1</v>
      </c>
      <c r="D107">
        <v>996.86500000000001</v>
      </c>
      <c r="E107">
        <v>14.696</v>
      </c>
      <c r="F107">
        <v>348</v>
      </c>
    </row>
    <row r="108" spans="1:6" x14ac:dyDescent="0.3">
      <c r="A108" t="s">
        <v>20</v>
      </c>
      <c r="B108">
        <v>50</v>
      </c>
      <c r="C108">
        <v>1</v>
      </c>
      <c r="D108">
        <v>992.36699999999996</v>
      </c>
      <c r="E108">
        <v>14.714</v>
      </c>
      <c r="F108">
        <v>365</v>
      </c>
    </row>
    <row r="109" spans="1:6" x14ac:dyDescent="0.3">
      <c r="A109" t="s">
        <v>20</v>
      </c>
      <c r="B109">
        <v>50</v>
      </c>
      <c r="C109">
        <v>1</v>
      </c>
      <c r="D109">
        <v>995.98500000000001</v>
      </c>
      <c r="E109">
        <v>14.702999999999999</v>
      </c>
      <c r="F109">
        <v>370</v>
      </c>
    </row>
    <row r="110" spans="1:6" x14ac:dyDescent="0.3">
      <c r="A110" t="s">
        <v>20</v>
      </c>
      <c r="B110">
        <v>50</v>
      </c>
      <c r="C110">
        <v>1</v>
      </c>
      <c r="D110">
        <v>998.947</v>
      </c>
      <c r="E110">
        <v>14.708</v>
      </c>
      <c r="F110">
        <v>368</v>
      </c>
    </row>
    <row r="111" spans="1:6" x14ac:dyDescent="0.3">
      <c r="A111" t="s">
        <v>20</v>
      </c>
      <c r="B111">
        <v>100</v>
      </c>
      <c r="C111">
        <v>1</v>
      </c>
      <c r="D111">
        <v>1754.623</v>
      </c>
      <c r="E111">
        <v>32.575000000000003</v>
      </c>
      <c r="F111">
        <v>186</v>
      </c>
    </row>
    <row r="112" spans="1:6" x14ac:dyDescent="0.3">
      <c r="A112" t="s">
        <v>20</v>
      </c>
      <c r="B112">
        <v>100</v>
      </c>
      <c r="C112">
        <v>1</v>
      </c>
      <c r="D112">
        <v>1753.8</v>
      </c>
      <c r="E112">
        <v>32.506</v>
      </c>
      <c r="F112">
        <v>183</v>
      </c>
    </row>
    <row r="113" spans="1:6" x14ac:dyDescent="0.3">
      <c r="A113" t="s">
        <v>20</v>
      </c>
      <c r="B113">
        <v>100</v>
      </c>
      <c r="C113">
        <v>1</v>
      </c>
      <c r="D113">
        <v>1754.683</v>
      </c>
      <c r="E113">
        <v>32.511000000000003</v>
      </c>
      <c r="F113">
        <v>185</v>
      </c>
    </row>
    <row r="114" spans="1:6" x14ac:dyDescent="0.3">
      <c r="A114" t="s">
        <v>20</v>
      </c>
      <c r="B114">
        <v>100</v>
      </c>
      <c r="C114">
        <v>1</v>
      </c>
      <c r="D114">
        <v>1755.701</v>
      </c>
      <c r="E114">
        <v>32.548000000000002</v>
      </c>
      <c r="F114">
        <v>184</v>
      </c>
    </row>
    <row r="115" spans="1:6" x14ac:dyDescent="0.3">
      <c r="A115" t="s">
        <v>20</v>
      </c>
      <c r="B115">
        <v>100</v>
      </c>
      <c r="C115">
        <v>1</v>
      </c>
      <c r="D115">
        <v>1755.403</v>
      </c>
      <c r="E115">
        <v>32.594999999999999</v>
      </c>
      <c r="F115">
        <v>181</v>
      </c>
    </row>
    <row r="116" spans="1:6" x14ac:dyDescent="0.3">
      <c r="A116" t="s">
        <v>20</v>
      </c>
      <c r="B116">
        <v>100</v>
      </c>
      <c r="C116">
        <v>1</v>
      </c>
      <c r="D116">
        <v>1755.7550000000001</v>
      </c>
      <c r="E116">
        <v>32.606999999999999</v>
      </c>
      <c r="F116">
        <v>186</v>
      </c>
    </row>
    <row r="117" spans="1:6" x14ac:dyDescent="0.3">
      <c r="A117" t="s">
        <v>20</v>
      </c>
      <c r="B117">
        <v>100</v>
      </c>
      <c r="C117">
        <v>1</v>
      </c>
      <c r="D117">
        <v>1759.57</v>
      </c>
      <c r="E117">
        <v>32.619</v>
      </c>
      <c r="F117">
        <v>183</v>
      </c>
    </row>
    <row r="118" spans="1:6" x14ac:dyDescent="0.3">
      <c r="A118" t="s">
        <v>20</v>
      </c>
      <c r="B118">
        <v>100</v>
      </c>
      <c r="C118">
        <v>1</v>
      </c>
      <c r="D118">
        <v>1756.9970000000001</v>
      </c>
      <c r="E118">
        <v>32.578000000000003</v>
      </c>
      <c r="F118">
        <v>184</v>
      </c>
    </row>
    <row r="119" spans="1:6" x14ac:dyDescent="0.3">
      <c r="A119" t="s">
        <v>20</v>
      </c>
      <c r="B119">
        <v>100</v>
      </c>
      <c r="C119">
        <v>1</v>
      </c>
      <c r="D119">
        <v>1758.5260000000001</v>
      </c>
      <c r="E119">
        <v>32.488</v>
      </c>
      <c r="F119">
        <v>178</v>
      </c>
    </row>
    <row r="120" spans="1:6" x14ac:dyDescent="0.3">
      <c r="A120" t="s">
        <v>20</v>
      </c>
      <c r="B120">
        <v>100</v>
      </c>
      <c r="C120">
        <v>1</v>
      </c>
      <c r="D120">
        <v>1757.52</v>
      </c>
      <c r="E120">
        <v>32.576000000000001</v>
      </c>
      <c r="F120">
        <v>182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1.3640000000000001</v>
      </c>
      <c r="F121">
        <v>134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1.363</v>
      </c>
      <c r="F122">
        <v>138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1.3819999999999999</v>
      </c>
      <c r="F123">
        <v>145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1.37</v>
      </c>
      <c r="F124">
        <v>236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1.3740000000000001</v>
      </c>
      <c r="F125">
        <v>222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1.4039999999999999</v>
      </c>
      <c r="F126">
        <v>260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1.3879999999999999</v>
      </c>
      <c r="F127">
        <v>73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1.363</v>
      </c>
      <c r="F128">
        <v>570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1.393</v>
      </c>
      <c r="F129">
        <v>178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1.373</v>
      </c>
      <c r="F130">
        <v>64</v>
      </c>
    </row>
    <row r="131" spans="1:6" x14ac:dyDescent="0.3">
      <c r="A131" t="s">
        <v>33</v>
      </c>
      <c r="B131">
        <v>209</v>
      </c>
      <c r="C131">
        <v>1</v>
      </c>
      <c r="D131">
        <v>76.471999999999994</v>
      </c>
      <c r="E131">
        <v>181.25</v>
      </c>
      <c r="F131">
        <v>235</v>
      </c>
    </row>
    <row r="132" spans="1:6" x14ac:dyDescent="0.3">
      <c r="A132" t="s">
        <v>33</v>
      </c>
      <c r="B132">
        <v>209</v>
      </c>
      <c r="C132">
        <v>1</v>
      </c>
      <c r="D132">
        <v>76.722999999999999</v>
      </c>
      <c r="E132">
        <v>180.87299999999999</v>
      </c>
      <c r="F132">
        <v>240</v>
      </c>
    </row>
    <row r="133" spans="1:6" x14ac:dyDescent="0.3">
      <c r="A133" t="s">
        <v>33</v>
      </c>
      <c r="B133">
        <v>209</v>
      </c>
      <c r="C133">
        <v>1</v>
      </c>
      <c r="D133">
        <v>76.123999999999995</v>
      </c>
      <c r="E133">
        <v>181.25200000000001</v>
      </c>
      <c r="F133">
        <v>245</v>
      </c>
    </row>
    <row r="134" spans="1:6" x14ac:dyDescent="0.3">
      <c r="A134" t="s">
        <v>33</v>
      </c>
      <c r="B134">
        <v>209</v>
      </c>
      <c r="C134">
        <v>1</v>
      </c>
      <c r="D134">
        <v>76.531999999999996</v>
      </c>
      <c r="E134">
        <v>180.774</v>
      </c>
      <c r="F134">
        <v>237</v>
      </c>
    </row>
    <row r="135" spans="1:6" x14ac:dyDescent="0.3">
      <c r="A135" t="s">
        <v>33</v>
      </c>
      <c r="B135">
        <v>209</v>
      </c>
      <c r="C135">
        <v>1</v>
      </c>
      <c r="D135">
        <v>76.472999999999999</v>
      </c>
      <c r="E135">
        <v>181.21199999999999</v>
      </c>
      <c r="F135">
        <v>239</v>
      </c>
    </row>
    <row r="136" spans="1:6" x14ac:dyDescent="0.3">
      <c r="A136" t="s">
        <v>33</v>
      </c>
      <c r="B136">
        <v>209</v>
      </c>
      <c r="C136">
        <v>1</v>
      </c>
      <c r="D136">
        <v>76.274000000000001</v>
      </c>
      <c r="E136">
        <v>181.101</v>
      </c>
      <c r="F136">
        <v>241</v>
      </c>
    </row>
    <row r="137" spans="1:6" x14ac:dyDescent="0.3">
      <c r="A137" t="s">
        <v>33</v>
      </c>
      <c r="B137">
        <v>209</v>
      </c>
      <c r="C137">
        <v>1</v>
      </c>
      <c r="D137">
        <v>76.489999999999995</v>
      </c>
      <c r="E137">
        <v>180.917</v>
      </c>
      <c r="F137">
        <v>239</v>
      </c>
    </row>
    <row r="138" spans="1:6" x14ac:dyDescent="0.3">
      <c r="A138" t="s">
        <v>33</v>
      </c>
      <c r="B138">
        <v>209</v>
      </c>
      <c r="C138">
        <v>1</v>
      </c>
      <c r="D138">
        <v>76.052000000000007</v>
      </c>
      <c r="E138">
        <v>181.04</v>
      </c>
      <c r="F138">
        <v>237</v>
      </c>
    </row>
    <row r="139" spans="1:6" x14ac:dyDescent="0.3">
      <c r="A139" t="s">
        <v>33</v>
      </c>
      <c r="B139">
        <v>209</v>
      </c>
      <c r="C139">
        <v>1</v>
      </c>
      <c r="D139">
        <v>76.319000000000003</v>
      </c>
      <c r="E139">
        <v>181.21899999999999</v>
      </c>
      <c r="F139">
        <v>237</v>
      </c>
    </row>
    <row r="140" spans="1:6" x14ac:dyDescent="0.3">
      <c r="A140" t="s">
        <v>33</v>
      </c>
      <c r="B140">
        <v>209</v>
      </c>
      <c r="C140">
        <v>1</v>
      </c>
      <c r="D140">
        <v>76.293999999999997</v>
      </c>
      <c r="E140">
        <v>181.14699999999999</v>
      </c>
      <c r="F140">
        <v>237</v>
      </c>
    </row>
    <row r="141" spans="1:6" x14ac:dyDescent="0.3">
      <c r="A141" t="s">
        <v>33</v>
      </c>
      <c r="B141">
        <v>324</v>
      </c>
      <c r="C141">
        <v>1</v>
      </c>
      <c r="D141">
        <v>119.65</v>
      </c>
      <c r="E141">
        <v>419.93900000000002</v>
      </c>
      <c r="F141">
        <v>194</v>
      </c>
    </row>
    <row r="142" spans="1:6" x14ac:dyDescent="0.3">
      <c r="A142" t="s">
        <v>33</v>
      </c>
      <c r="B142">
        <v>324</v>
      </c>
      <c r="C142">
        <v>1</v>
      </c>
      <c r="D142">
        <v>118.979</v>
      </c>
      <c r="E142">
        <v>420.57799999999997</v>
      </c>
      <c r="F142">
        <v>196</v>
      </c>
    </row>
    <row r="143" spans="1:6" x14ac:dyDescent="0.3">
      <c r="A143" t="s">
        <v>33</v>
      </c>
      <c r="B143">
        <v>324</v>
      </c>
      <c r="C143">
        <v>1</v>
      </c>
      <c r="D143">
        <v>118.824</v>
      </c>
      <c r="E143">
        <v>419.38600000000002</v>
      </c>
      <c r="F143">
        <v>211</v>
      </c>
    </row>
    <row r="144" spans="1:6" x14ac:dyDescent="0.3">
      <c r="A144" t="s">
        <v>33</v>
      </c>
      <c r="B144">
        <v>324</v>
      </c>
      <c r="C144">
        <v>1</v>
      </c>
      <c r="D144">
        <v>118.51</v>
      </c>
      <c r="E144">
        <v>420.98899999999998</v>
      </c>
      <c r="F144">
        <v>203</v>
      </c>
    </row>
    <row r="145" spans="1:6" x14ac:dyDescent="0.3">
      <c r="A145" t="s">
        <v>33</v>
      </c>
      <c r="B145">
        <v>324</v>
      </c>
      <c r="C145">
        <v>1</v>
      </c>
      <c r="D145">
        <v>118.876</v>
      </c>
      <c r="E145">
        <v>419.38200000000001</v>
      </c>
      <c r="F145">
        <v>205</v>
      </c>
    </row>
    <row r="146" spans="1:6" x14ac:dyDescent="0.3">
      <c r="A146" t="s">
        <v>33</v>
      </c>
      <c r="B146">
        <v>324</v>
      </c>
      <c r="C146">
        <v>1</v>
      </c>
      <c r="D146">
        <v>118.21299999999999</v>
      </c>
      <c r="E146">
        <v>420.55099999999999</v>
      </c>
      <c r="F146">
        <v>209</v>
      </c>
    </row>
    <row r="147" spans="1:6" x14ac:dyDescent="0.3">
      <c r="A147" t="s">
        <v>33</v>
      </c>
      <c r="B147">
        <v>324</v>
      </c>
      <c r="C147">
        <v>1</v>
      </c>
      <c r="D147">
        <v>118.559</v>
      </c>
      <c r="E147">
        <v>419.36200000000002</v>
      </c>
      <c r="F147">
        <v>206</v>
      </c>
    </row>
    <row r="148" spans="1:6" x14ac:dyDescent="0.3">
      <c r="A148" t="s">
        <v>33</v>
      </c>
      <c r="B148">
        <v>324</v>
      </c>
      <c r="C148">
        <v>1</v>
      </c>
      <c r="D148">
        <v>118.56</v>
      </c>
      <c r="E148">
        <v>419.70100000000002</v>
      </c>
      <c r="F148">
        <v>202</v>
      </c>
    </row>
    <row r="149" spans="1:6" x14ac:dyDescent="0.3">
      <c r="A149" t="s">
        <v>33</v>
      </c>
      <c r="B149">
        <v>324</v>
      </c>
      <c r="C149">
        <v>1</v>
      </c>
      <c r="D149">
        <v>119.229</v>
      </c>
      <c r="E149">
        <v>420.46199999999999</v>
      </c>
      <c r="F149">
        <v>204</v>
      </c>
    </row>
    <row r="150" spans="1:6" x14ac:dyDescent="0.3">
      <c r="A150" t="s">
        <v>33</v>
      </c>
      <c r="B150">
        <v>324</v>
      </c>
      <c r="C150">
        <v>1</v>
      </c>
      <c r="D150">
        <v>118.994</v>
      </c>
      <c r="E150">
        <v>420.67700000000002</v>
      </c>
      <c r="F150">
        <v>202</v>
      </c>
    </row>
    <row r="151" spans="1:6" x14ac:dyDescent="0.3">
      <c r="A151" t="s">
        <v>34</v>
      </c>
      <c r="B151">
        <v>40</v>
      </c>
      <c r="C151">
        <v>1</v>
      </c>
      <c r="D151">
        <v>16.774999999999999</v>
      </c>
      <c r="E151">
        <v>11.638</v>
      </c>
      <c r="F151">
        <v>282</v>
      </c>
    </row>
    <row r="152" spans="1:6" x14ac:dyDescent="0.3">
      <c r="A152" t="s">
        <v>34</v>
      </c>
      <c r="B152">
        <v>40</v>
      </c>
      <c r="C152">
        <v>1</v>
      </c>
      <c r="D152">
        <v>16.731000000000002</v>
      </c>
      <c r="E152">
        <v>11.616</v>
      </c>
      <c r="F152">
        <v>276</v>
      </c>
    </row>
    <row r="153" spans="1:6" x14ac:dyDescent="0.3">
      <c r="A153" t="s">
        <v>34</v>
      </c>
      <c r="B153">
        <v>40</v>
      </c>
      <c r="C153">
        <v>1</v>
      </c>
      <c r="D153">
        <v>16.739999999999998</v>
      </c>
      <c r="E153">
        <v>11.612</v>
      </c>
      <c r="F153">
        <v>281</v>
      </c>
    </row>
    <row r="154" spans="1:6" x14ac:dyDescent="0.3">
      <c r="A154" t="s">
        <v>34</v>
      </c>
      <c r="B154">
        <v>40</v>
      </c>
      <c r="C154">
        <v>1</v>
      </c>
      <c r="D154">
        <v>16.678999999999998</v>
      </c>
      <c r="E154">
        <v>11.63</v>
      </c>
      <c r="F154">
        <v>356</v>
      </c>
    </row>
    <row r="155" spans="1:6" x14ac:dyDescent="0.3">
      <c r="A155" t="s">
        <v>34</v>
      </c>
      <c r="B155">
        <v>40</v>
      </c>
      <c r="C155">
        <v>1</v>
      </c>
      <c r="D155">
        <v>16.635999999999999</v>
      </c>
      <c r="E155">
        <v>11.613</v>
      </c>
      <c r="F155">
        <v>373</v>
      </c>
    </row>
    <row r="156" spans="1:6" x14ac:dyDescent="0.3">
      <c r="A156" t="s">
        <v>34</v>
      </c>
      <c r="B156">
        <v>40</v>
      </c>
      <c r="C156">
        <v>1</v>
      </c>
      <c r="D156">
        <v>16.658999999999999</v>
      </c>
      <c r="E156">
        <v>11.612</v>
      </c>
      <c r="F156">
        <v>356</v>
      </c>
    </row>
    <row r="157" spans="1:6" x14ac:dyDescent="0.3">
      <c r="A157" t="s">
        <v>34</v>
      </c>
      <c r="B157">
        <v>40</v>
      </c>
      <c r="C157">
        <v>1</v>
      </c>
      <c r="D157">
        <v>16.792999999999999</v>
      </c>
      <c r="E157">
        <v>11.612</v>
      </c>
      <c r="F157">
        <v>384</v>
      </c>
    </row>
    <row r="158" spans="1:6" x14ac:dyDescent="0.3">
      <c r="A158" t="s">
        <v>34</v>
      </c>
      <c r="B158">
        <v>40</v>
      </c>
      <c r="C158">
        <v>1</v>
      </c>
      <c r="D158">
        <v>16.75</v>
      </c>
      <c r="E158">
        <v>11.627000000000001</v>
      </c>
      <c r="F158">
        <v>324</v>
      </c>
    </row>
    <row r="159" spans="1:6" x14ac:dyDescent="0.3">
      <c r="A159" t="s">
        <v>34</v>
      </c>
      <c r="B159">
        <v>40</v>
      </c>
      <c r="C159">
        <v>1</v>
      </c>
      <c r="D159">
        <v>16.616</v>
      </c>
      <c r="E159">
        <v>11.631</v>
      </c>
      <c r="F159">
        <v>342</v>
      </c>
    </row>
    <row r="160" spans="1:6" x14ac:dyDescent="0.3">
      <c r="A160" t="s">
        <v>34</v>
      </c>
      <c r="B160">
        <v>40</v>
      </c>
      <c r="C160">
        <v>1</v>
      </c>
      <c r="D160">
        <v>16.777000000000001</v>
      </c>
      <c r="E160">
        <v>11.625999999999999</v>
      </c>
      <c r="F160">
        <v>346</v>
      </c>
    </row>
    <row r="161" spans="1:6" x14ac:dyDescent="0.3">
      <c r="A161" t="s">
        <v>34</v>
      </c>
      <c r="B161">
        <v>96</v>
      </c>
      <c r="C161">
        <v>1</v>
      </c>
      <c r="D161">
        <v>35.182000000000002</v>
      </c>
      <c r="E161">
        <v>51.387</v>
      </c>
      <c r="F161">
        <v>308</v>
      </c>
    </row>
    <row r="162" spans="1:6" x14ac:dyDescent="0.3">
      <c r="A162" t="s">
        <v>34</v>
      </c>
      <c r="B162">
        <v>96</v>
      </c>
      <c r="C162">
        <v>1</v>
      </c>
      <c r="D162">
        <v>35.231999999999999</v>
      </c>
      <c r="E162">
        <v>51.338999999999999</v>
      </c>
      <c r="F162">
        <v>328</v>
      </c>
    </row>
    <row r="163" spans="1:6" x14ac:dyDescent="0.3">
      <c r="A163" t="s">
        <v>34</v>
      </c>
      <c r="B163">
        <v>96</v>
      </c>
      <c r="C163">
        <v>1</v>
      </c>
      <c r="D163">
        <v>35.155000000000001</v>
      </c>
      <c r="E163">
        <v>51.37</v>
      </c>
      <c r="F163">
        <v>317</v>
      </c>
    </row>
    <row r="164" spans="1:6" x14ac:dyDescent="0.3">
      <c r="A164" t="s">
        <v>34</v>
      </c>
      <c r="B164">
        <v>96</v>
      </c>
      <c r="C164">
        <v>1</v>
      </c>
      <c r="D164">
        <v>35.174999999999997</v>
      </c>
      <c r="E164">
        <v>51.277000000000001</v>
      </c>
      <c r="F164">
        <v>316</v>
      </c>
    </row>
    <row r="165" spans="1:6" x14ac:dyDescent="0.3">
      <c r="A165" t="s">
        <v>34</v>
      </c>
      <c r="B165">
        <v>96</v>
      </c>
      <c r="C165">
        <v>1</v>
      </c>
      <c r="D165">
        <v>35.215000000000003</v>
      </c>
      <c r="E165">
        <v>51.338000000000001</v>
      </c>
      <c r="F165">
        <v>325</v>
      </c>
    </row>
    <row r="166" spans="1:6" x14ac:dyDescent="0.3">
      <c r="A166" t="s">
        <v>34</v>
      </c>
      <c r="B166">
        <v>96</v>
      </c>
      <c r="C166">
        <v>1</v>
      </c>
      <c r="D166">
        <v>35.192999999999998</v>
      </c>
      <c r="E166">
        <v>51.344999999999999</v>
      </c>
      <c r="F166">
        <v>320</v>
      </c>
    </row>
    <row r="167" spans="1:6" x14ac:dyDescent="0.3">
      <c r="A167" t="s">
        <v>34</v>
      </c>
      <c r="B167">
        <v>96</v>
      </c>
      <c r="C167">
        <v>1</v>
      </c>
      <c r="D167">
        <v>35.183</v>
      </c>
      <c r="E167">
        <v>51.387</v>
      </c>
      <c r="F167">
        <v>313</v>
      </c>
    </row>
    <row r="168" spans="1:6" x14ac:dyDescent="0.3">
      <c r="A168" t="s">
        <v>34</v>
      </c>
      <c r="B168">
        <v>96</v>
      </c>
      <c r="C168">
        <v>1</v>
      </c>
      <c r="D168">
        <v>35.173000000000002</v>
      </c>
      <c r="E168">
        <v>51.396999999999998</v>
      </c>
      <c r="F168">
        <v>328</v>
      </c>
    </row>
    <row r="169" spans="1:6" x14ac:dyDescent="0.3">
      <c r="A169" t="s">
        <v>34</v>
      </c>
      <c r="B169">
        <v>96</v>
      </c>
      <c r="C169">
        <v>1</v>
      </c>
      <c r="D169">
        <v>35.171999999999997</v>
      </c>
      <c r="E169">
        <v>51.356999999999999</v>
      </c>
      <c r="F169">
        <v>321</v>
      </c>
    </row>
    <row r="170" spans="1:6" x14ac:dyDescent="0.3">
      <c r="A170" t="s">
        <v>34</v>
      </c>
      <c r="B170">
        <v>96</v>
      </c>
      <c r="C170">
        <v>1</v>
      </c>
      <c r="D170">
        <v>35.142000000000003</v>
      </c>
      <c r="E170">
        <v>51.362000000000002</v>
      </c>
      <c r="F170">
        <v>317</v>
      </c>
    </row>
    <row r="171" spans="1:6" x14ac:dyDescent="0.3">
      <c r="A171" t="s">
        <v>34</v>
      </c>
      <c r="B171">
        <v>224</v>
      </c>
      <c r="C171">
        <v>1</v>
      </c>
      <c r="D171">
        <v>71.918000000000006</v>
      </c>
      <c r="E171">
        <v>255.73099999999999</v>
      </c>
      <c r="F171">
        <v>285</v>
      </c>
    </row>
    <row r="172" spans="1:6" x14ac:dyDescent="0.3">
      <c r="A172" t="s">
        <v>34</v>
      </c>
      <c r="B172">
        <v>224</v>
      </c>
      <c r="C172">
        <v>1</v>
      </c>
      <c r="D172">
        <v>71.942999999999998</v>
      </c>
      <c r="E172">
        <v>255.94399999999999</v>
      </c>
      <c r="F172">
        <v>280</v>
      </c>
    </row>
    <row r="173" spans="1:6" x14ac:dyDescent="0.3">
      <c r="A173" t="s">
        <v>34</v>
      </c>
      <c r="B173">
        <v>224</v>
      </c>
      <c r="C173">
        <v>1</v>
      </c>
      <c r="D173">
        <v>71.989999999999995</v>
      </c>
      <c r="E173">
        <v>255.714</v>
      </c>
      <c r="F173">
        <v>286</v>
      </c>
    </row>
    <row r="174" spans="1:6" x14ac:dyDescent="0.3">
      <c r="A174" t="s">
        <v>34</v>
      </c>
      <c r="B174">
        <v>224</v>
      </c>
      <c r="C174">
        <v>1</v>
      </c>
      <c r="D174">
        <v>71.930999999999997</v>
      </c>
      <c r="E174">
        <v>255.827</v>
      </c>
      <c r="F174">
        <v>280</v>
      </c>
    </row>
    <row r="175" spans="1:6" x14ac:dyDescent="0.3">
      <c r="A175" t="s">
        <v>34</v>
      </c>
      <c r="B175">
        <v>224</v>
      </c>
      <c r="C175">
        <v>1</v>
      </c>
      <c r="D175">
        <v>71.956999999999994</v>
      </c>
      <c r="E175">
        <v>255.99299999999999</v>
      </c>
      <c r="F175">
        <v>274</v>
      </c>
    </row>
    <row r="176" spans="1:6" x14ac:dyDescent="0.3">
      <c r="A176" t="s">
        <v>34</v>
      </c>
      <c r="B176">
        <v>224</v>
      </c>
      <c r="C176">
        <v>1</v>
      </c>
      <c r="D176">
        <v>72.001000000000005</v>
      </c>
      <c r="E176">
        <v>255.67400000000001</v>
      </c>
      <c r="F176">
        <v>287</v>
      </c>
    </row>
    <row r="177" spans="1:6" x14ac:dyDescent="0.3">
      <c r="A177" t="s">
        <v>34</v>
      </c>
      <c r="B177">
        <v>224</v>
      </c>
      <c r="C177">
        <v>1</v>
      </c>
      <c r="D177">
        <v>72.003</v>
      </c>
      <c r="E177">
        <v>255.69399999999999</v>
      </c>
      <c r="F177">
        <v>282</v>
      </c>
    </row>
    <row r="178" spans="1:6" x14ac:dyDescent="0.3">
      <c r="A178" t="s">
        <v>34</v>
      </c>
      <c r="B178">
        <v>224</v>
      </c>
      <c r="C178">
        <v>1</v>
      </c>
      <c r="D178">
        <v>71.918999999999997</v>
      </c>
      <c r="E178">
        <v>255.845</v>
      </c>
      <c r="F178">
        <v>289</v>
      </c>
    </row>
    <row r="179" spans="1:6" x14ac:dyDescent="0.3">
      <c r="A179" t="s">
        <v>34</v>
      </c>
      <c r="B179">
        <v>224</v>
      </c>
      <c r="C179">
        <v>1</v>
      </c>
      <c r="D179">
        <v>71.923000000000002</v>
      </c>
      <c r="E179">
        <v>256.00799999999998</v>
      </c>
      <c r="F179">
        <v>276</v>
      </c>
    </row>
    <row r="180" spans="1:6" x14ac:dyDescent="0.3">
      <c r="A180" t="s">
        <v>34</v>
      </c>
      <c r="B180">
        <v>224</v>
      </c>
      <c r="C180">
        <v>1</v>
      </c>
      <c r="D180">
        <v>71.962000000000003</v>
      </c>
      <c r="E180">
        <v>256.15899999999999</v>
      </c>
      <c r="F180">
        <v>281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33203125"/>
    <col min="2" max="2" width="4.33203125"/>
    <col min="3" max="3" width="2.58203125"/>
    <col min="4" max="4" width="10.5" bestFit="1" customWidth="1"/>
    <col min="5" max="5" width="7.25"/>
    <col min="6" max="6" width="5" customWidth="1"/>
    <col min="7" max="7" width="1.83203125"/>
    <col min="8" max="8" width="10.33203125"/>
    <col min="9" max="9" width="4.33203125"/>
    <col min="10" max="10" width="3.33203125"/>
    <col min="11" max="11" width="2.08203125"/>
    <col min="12" max="21" width="9.5"/>
    <col min="22" max="22" width="3.5"/>
    <col min="23" max="23" width="9.5"/>
    <col min="24" max="24" width="2.58203125"/>
    <col min="25" max="25" width="9.5"/>
    <col min="26" max="26" width="2.08203125"/>
    <col min="27" max="27" width="2.33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5.3019999999999996</v>
      </c>
      <c r="F1">
        <v>216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28.504000000000001</v>
      </c>
      <c r="E2">
        <v>5.2770000000000001</v>
      </c>
      <c r="F2">
        <v>188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28.504000000000001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28.504000000000001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28.504000000000001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28.504000000000001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28.524999999999999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0</v>
      </c>
      <c r="AD2" s="35">
        <f t="shared" ref="AD2:AD19" ca="1" si="13">(N2-$Y2)/$Y2</f>
        <v>1.4734774066796953E-3</v>
      </c>
      <c r="AE2" s="35">
        <f t="shared" ref="AE2:AE19" ca="1" si="14">(O2-$Y2)/$Y2</f>
        <v>0</v>
      </c>
      <c r="AF2" s="35">
        <f t="shared" ref="AF2:AF19" ca="1" si="15">(P2-$Y2)/$Y2</f>
        <v>1.4734774066796953E-3</v>
      </c>
      <c r="AG2" s="35">
        <f t="shared" ref="AG2:AG19" ca="1" si="16">(Q2-$Y2)/$Y2</f>
        <v>0</v>
      </c>
      <c r="AH2" s="35">
        <f t="shared" ref="AH2:AH19" ca="1" si="17">(R2-$Y2)/$Y2</f>
        <v>0</v>
      </c>
      <c r="AI2" s="35">
        <f t="shared" ref="AI2:AI19" ca="1" si="18">(S2-$Y2)/$Y2</f>
        <v>1.4734774066796953E-3</v>
      </c>
      <c r="AJ2" s="35">
        <f t="shared" ref="AJ2:AJ19" ca="1" si="19">(T2-$Y2)/$Y2</f>
        <v>0</v>
      </c>
      <c r="AK2" s="35">
        <f t="shared" ref="AK2:AK19" ca="1" si="20">(U2-$Y2)/$Y2</f>
        <v>1.4734774066796953E-3</v>
      </c>
      <c r="AM2" s="35">
        <f t="shared" ref="AM2:AM19" ca="1" si="21">SUM(AB2:AK2)</f>
        <v>7.3673870333984762E-3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5.2930000000000001</v>
      </c>
      <c r="F3">
        <v>228</v>
      </c>
      <c r="H3" s="35" t="s">
        <v>17</v>
      </c>
      <c r="I3" s="35">
        <v>50</v>
      </c>
      <c r="J3" s="35">
        <v>1</v>
      </c>
      <c r="L3" s="35">
        <f t="shared" ca="1" si="0"/>
        <v>53.252000000000002</v>
      </c>
      <c r="M3" s="35">
        <f t="shared" ca="1" si="1"/>
        <v>53.002000000000002</v>
      </c>
      <c r="N3" s="35">
        <f t="shared" ca="1" si="2"/>
        <v>52.987000000000002</v>
      </c>
      <c r="O3" s="35">
        <f t="shared" ca="1" si="3"/>
        <v>53.116999999999997</v>
      </c>
      <c r="P3" s="35">
        <f t="shared" ca="1" si="4"/>
        <v>53.078000000000003</v>
      </c>
      <c r="Q3" s="35">
        <f t="shared" ca="1" si="5"/>
        <v>53.067</v>
      </c>
      <c r="R3" s="35">
        <f t="shared" ca="1" si="6"/>
        <v>53.137</v>
      </c>
      <c r="S3" s="35">
        <f t="shared" ca="1" si="7"/>
        <v>53.156999999999996</v>
      </c>
      <c r="T3" s="35">
        <f t="shared" ca="1" si="8"/>
        <v>53.091000000000001</v>
      </c>
      <c r="U3" s="35">
        <f t="shared" ca="1" si="9"/>
        <v>53.155999999999999</v>
      </c>
      <c r="W3" s="35">
        <f t="shared" ca="1" si="10"/>
        <v>53.104399999999998</v>
      </c>
      <c r="Y3" s="35">
        <f ca="1">Total!E3</f>
        <v>52.927</v>
      </c>
      <c r="AB3" s="35">
        <f t="shared" ca="1" si="11"/>
        <v>6.1405331872201874E-3</v>
      </c>
      <c r="AC3" s="35">
        <f t="shared" ca="1" si="12"/>
        <v>1.4170461201277768E-3</v>
      </c>
      <c r="AD3" s="35">
        <f t="shared" ca="1" si="13"/>
        <v>1.1336368961022214E-3</v>
      </c>
      <c r="AE3" s="35">
        <f t="shared" ca="1" si="14"/>
        <v>3.5898501709901889E-3</v>
      </c>
      <c r="AF3" s="35">
        <f t="shared" ca="1" si="15"/>
        <v>2.8529861885238793E-3</v>
      </c>
      <c r="AG3" s="35">
        <f t="shared" ca="1" si="16"/>
        <v>2.6451527575717605E-3</v>
      </c>
      <c r="AH3" s="35">
        <f t="shared" ca="1" si="17"/>
        <v>3.967729136357641E-3</v>
      </c>
      <c r="AI3" s="35">
        <f t="shared" ca="1" si="18"/>
        <v>4.3456081017249583E-3</v>
      </c>
      <c r="AJ3" s="35">
        <f t="shared" ca="1" si="19"/>
        <v>3.098607516012649E-3</v>
      </c>
      <c r="AK3" s="35">
        <f t="shared" ca="1" si="20"/>
        <v>4.3267141534566326E-3</v>
      </c>
      <c r="AM3" s="35">
        <f t="shared" ca="1" si="21"/>
        <v>3.3517864228087897E-2</v>
      </c>
    </row>
    <row r="4" spans="1:39" x14ac:dyDescent="0.3">
      <c r="A4" t="s">
        <v>17</v>
      </c>
      <c r="B4">
        <v>25</v>
      </c>
      <c r="C4">
        <v>1</v>
      </c>
      <c r="D4">
        <v>28.504000000000001</v>
      </c>
      <c r="E4">
        <v>5.2869999999999999</v>
      </c>
      <c r="F4">
        <v>211</v>
      </c>
      <c r="H4" s="35" t="s">
        <v>17</v>
      </c>
      <c r="I4" s="35">
        <v>100</v>
      </c>
      <c r="J4" s="35">
        <v>1</v>
      </c>
      <c r="L4" s="35">
        <f t="shared" ca="1" si="0"/>
        <v>103.31699999999999</v>
      </c>
      <c r="M4" s="35">
        <f t="shared" ca="1" si="1"/>
        <v>103.22799999999999</v>
      </c>
      <c r="N4" s="35">
        <f t="shared" ca="1" si="2"/>
        <v>103.246</v>
      </c>
      <c r="O4" s="35">
        <f t="shared" ca="1" si="3"/>
        <v>102.953</v>
      </c>
      <c r="P4" s="35">
        <f t="shared" ca="1" si="4"/>
        <v>103.129</v>
      </c>
      <c r="Q4" s="35">
        <f t="shared" ca="1" si="5"/>
        <v>103.182</v>
      </c>
      <c r="R4" s="35">
        <f t="shared" ca="1" si="6"/>
        <v>103.239</v>
      </c>
      <c r="S4" s="35">
        <f t="shared" ca="1" si="7"/>
        <v>103.18300000000001</v>
      </c>
      <c r="T4" s="35">
        <f t="shared" ca="1" si="8"/>
        <v>103.253</v>
      </c>
      <c r="U4" s="35">
        <f t="shared" ca="1" si="9"/>
        <v>103.282</v>
      </c>
      <c r="W4" s="35">
        <f t="shared" ca="1" si="10"/>
        <v>103.20120000000001</v>
      </c>
      <c r="Y4" s="35">
        <f ca="1">Total!E4</f>
        <v>102.80200000000001</v>
      </c>
      <c r="AB4" s="35">
        <f t="shared" ca="1" si="11"/>
        <v>5.0096301628371658E-3</v>
      </c>
      <c r="AC4" s="35">
        <f t="shared" ca="1" si="12"/>
        <v>4.1438882512012188E-3</v>
      </c>
      <c r="AD4" s="35">
        <f t="shared" ca="1" si="13"/>
        <v>4.3189821209702961E-3</v>
      </c>
      <c r="AE4" s="35">
        <f t="shared" ca="1" si="14"/>
        <v>1.4688430186182782E-3</v>
      </c>
      <c r="AF4" s="35">
        <f t="shared" ca="1" si="15"/>
        <v>3.180871967471432E-3</v>
      </c>
      <c r="AG4" s="35">
        <f t="shared" ca="1" si="16"/>
        <v>3.6964261395692247E-3</v>
      </c>
      <c r="AH4" s="35">
        <f t="shared" ca="1" si="17"/>
        <v>4.2508900605046362E-3</v>
      </c>
      <c r="AI4" s="35">
        <f t="shared" ca="1" si="18"/>
        <v>3.7061535767786637E-3</v>
      </c>
      <c r="AJ4" s="35">
        <f t="shared" ca="1" si="19"/>
        <v>4.3870741814360948E-3</v>
      </c>
      <c r="AK4" s="35">
        <f t="shared" ca="1" si="20"/>
        <v>4.6691698605084509E-3</v>
      </c>
      <c r="AM4" s="35">
        <f t="shared" ca="1" si="21"/>
        <v>3.883192933989546E-2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5.2939999999999996</v>
      </c>
      <c r="F5">
        <v>232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28.504000000000001</v>
      </c>
      <c r="E6">
        <v>5.2960000000000003</v>
      </c>
      <c r="F6">
        <v>184</v>
      </c>
      <c r="H6" s="35" t="s">
        <v>18</v>
      </c>
      <c r="I6" s="35">
        <v>50</v>
      </c>
      <c r="J6" s="35">
        <v>1</v>
      </c>
      <c r="L6" s="35">
        <f t="shared" ca="1" si="0"/>
        <v>181.59700000000001</v>
      </c>
      <c r="M6" s="35">
        <f t="shared" ca="1" si="1"/>
        <v>180.15700000000001</v>
      </c>
      <c r="N6" s="35">
        <f t="shared" ca="1" si="2"/>
        <v>179.93799999999999</v>
      </c>
      <c r="O6" s="35">
        <f t="shared" ca="1" si="3"/>
        <v>181.59700000000001</v>
      </c>
      <c r="P6" s="35">
        <f t="shared" ca="1" si="4"/>
        <v>179.93799999999999</v>
      </c>
      <c r="Q6" s="35">
        <f t="shared" ca="1" si="5"/>
        <v>180.101</v>
      </c>
      <c r="R6" s="35">
        <f t="shared" ca="1" si="6"/>
        <v>179.93799999999999</v>
      </c>
      <c r="S6" s="35">
        <f t="shared" ca="1" si="7"/>
        <v>179.93799999999999</v>
      </c>
      <c r="T6" s="35">
        <f t="shared" ca="1" si="8"/>
        <v>179.953</v>
      </c>
      <c r="U6" s="35">
        <f t="shared" ca="1" si="9"/>
        <v>181.71299999999999</v>
      </c>
      <c r="W6" s="35">
        <f t="shared" ca="1" si="10"/>
        <v>180.48700000000002</v>
      </c>
      <c r="Y6" s="35">
        <f ca="1">Total!E6</f>
        <v>179.673</v>
      </c>
      <c r="AB6" s="35">
        <f t="shared" ca="1" si="11"/>
        <v>1.0708342377541459E-2</v>
      </c>
      <c r="AC6" s="35">
        <f t="shared" ca="1" si="12"/>
        <v>2.693782593934586E-3</v>
      </c>
      <c r="AD6" s="35">
        <f t="shared" ca="1" si="13"/>
        <v>1.4749016268442469E-3</v>
      </c>
      <c r="AE6" s="35">
        <f t="shared" ca="1" si="14"/>
        <v>1.0708342377541459E-2</v>
      </c>
      <c r="AF6" s="35">
        <f t="shared" ca="1" si="15"/>
        <v>1.4749016268442469E-3</v>
      </c>
      <c r="AG6" s="35">
        <f t="shared" ca="1" si="16"/>
        <v>2.382105269016476E-3</v>
      </c>
      <c r="AH6" s="35">
        <f t="shared" ca="1" si="17"/>
        <v>1.4749016268442469E-3</v>
      </c>
      <c r="AI6" s="35">
        <f t="shared" ca="1" si="18"/>
        <v>1.4749016268442469E-3</v>
      </c>
      <c r="AJ6" s="35">
        <f t="shared" ca="1" si="19"/>
        <v>1.5583866245902341E-3</v>
      </c>
      <c r="AK6" s="35">
        <f t="shared" ca="1" si="20"/>
        <v>1.1353959693443045E-2</v>
      </c>
      <c r="AM6" s="35">
        <f t="shared" ca="1" si="21"/>
        <v>4.5304525443444245E-2</v>
      </c>
    </row>
    <row r="7" spans="1:39" x14ac:dyDescent="0.3">
      <c r="A7" t="s">
        <v>17</v>
      </c>
      <c r="B7">
        <v>25</v>
      </c>
      <c r="C7">
        <v>1</v>
      </c>
      <c r="D7">
        <v>28.504000000000001</v>
      </c>
      <c r="E7">
        <v>5.2779999999999996</v>
      </c>
      <c r="F7">
        <v>200</v>
      </c>
      <c r="H7" s="35" t="s">
        <v>18</v>
      </c>
      <c r="I7" s="35">
        <v>100</v>
      </c>
      <c r="J7" s="35">
        <v>1</v>
      </c>
      <c r="L7" s="35">
        <f t="shared" ca="1" si="0"/>
        <v>239.25299999999999</v>
      </c>
      <c r="M7" s="35">
        <f t="shared" ca="1" si="1"/>
        <v>240.18600000000001</v>
      </c>
      <c r="N7" s="35">
        <f t="shared" ca="1" si="2"/>
        <v>239.16</v>
      </c>
      <c r="O7" s="35">
        <f t="shared" ca="1" si="3"/>
        <v>239.22</v>
      </c>
      <c r="P7" s="35">
        <f t="shared" ca="1" si="4"/>
        <v>239.13</v>
      </c>
      <c r="Q7" s="35">
        <f t="shared" ca="1" si="5"/>
        <v>239.08799999999999</v>
      </c>
      <c r="R7" s="35">
        <f t="shared" ca="1" si="6"/>
        <v>239.3</v>
      </c>
      <c r="S7" s="35">
        <f t="shared" ca="1" si="7"/>
        <v>239.15</v>
      </c>
      <c r="T7" s="35">
        <f t="shared" ca="1" si="8"/>
        <v>239.16</v>
      </c>
      <c r="U7" s="35">
        <f t="shared" ca="1" si="9"/>
        <v>239.09100000000001</v>
      </c>
      <c r="W7" s="35">
        <f t="shared" ca="1" si="10"/>
        <v>239.27379999999999</v>
      </c>
      <c r="Y7" s="35">
        <f ca="1">Total!E7</f>
        <v>238.86699999999999</v>
      </c>
      <c r="AB7" s="35">
        <f t="shared" ca="1" si="11"/>
        <v>1.6159620207060652E-3</v>
      </c>
      <c r="AC7" s="35">
        <f t="shared" ca="1" si="12"/>
        <v>5.5219013090967647E-3</v>
      </c>
      <c r="AD7" s="35">
        <f t="shared" ca="1" si="13"/>
        <v>1.2266240208986857E-3</v>
      </c>
      <c r="AE7" s="35">
        <f t="shared" ca="1" si="14"/>
        <v>1.4778098272260657E-3</v>
      </c>
      <c r="AF7" s="35">
        <f t="shared" ca="1" si="15"/>
        <v>1.1010311177349957E-3</v>
      </c>
      <c r="AG7" s="35">
        <f t="shared" ca="1" si="16"/>
        <v>9.2520105330582976E-4</v>
      </c>
      <c r="AH7" s="35">
        <f t="shared" ca="1" si="17"/>
        <v>1.8127242356626122E-3</v>
      </c>
      <c r="AI7" s="35">
        <f t="shared" ca="1" si="18"/>
        <v>1.1847597198441622E-3</v>
      </c>
      <c r="AJ7" s="35">
        <f t="shared" ca="1" si="19"/>
        <v>1.2266240208986857E-3</v>
      </c>
      <c r="AK7" s="35">
        <f t="shared" ca="1" si="20"/>
        <v>9.377603436222583E-4</v>
      </c>
      <c r="AM7" s="35">
        <f t="shared" ca="1" si="21"/>
        <v>1.7030397668996125E-2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5.2869999999999999</v>
      </c>
      <c r="F8">
        <v>261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28.504000000000001</v>
      </c>
      <c r="E9">
        <v>5.2859999999999996</v>
      </c>
      <c r="F9">
        <v>266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4318.4880000000003</v>
      </c>
      <c r="R9" s="35">
        <f t="shared" ca="1" si="6"/>
        <v>4318.4880000000003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4314.5856000000003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1.130839366563183E-3</v>
      </c>
      <c r="AH9" s="35">
        <f t="shared" ca="1" si="17"/>
        <v>1.130839366563183E-3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2.2616787331263661E-3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5.2859999999999996</v>
      </c>
      <c r="F10">
        <v>243</v>
      </c>
      <c r="H10" s="35" t="s">
        <v>19</v>
      </c>
      <c r="I10" s="35">
        <v>100</v>
      </c>
      <c r="J10" s="35">
        <v>1</v>
      </c>
      <c r="L10" s="35">
        <f t="shared" ca="1" si="0"/>
        <v>35234.663</v>
      </c>
      <c r="M10" s="35">
        <f t="shared" ca="1" si="1"/>
        <v>35320.92</v>
      </c>
      <c r="N10" s="35">
        <f t="shared" ca="1" si="2"/>
        <v>35299.152999999998</v>
      </c>
      <c r="O10" s="35">
        <f t="shared" ca="1" si="3"/>
        <v>35272.953000000001</v>
      </c>
      <c r="P10" s="35">
        <f t="shared" ca="1" si="4"/>
        <v>35273.398999999998</v>
      </c>
      <c r="Q10" s="35">
        <f t="shared" ca="1" si="5"/>
        <v>35272.953000000001</v>
      </c>
      <c r="R10" s="35">
        <f t="shared" ca="1" si="6"/>
        <v>35229.438999999998</v>
      </c>
      <c r="S10" s="35">
        <f t="shared" ca="1" si="7"/>
        <v>35272.953000000001</v>
      </c>
      <c r="T10" s="35">
        <f t="shared" ca="1" si="8"/>
        <v>35272.938999999998</v>
      </c>
      <c r="U10" s="35">
        <f t="shared" ca="1" si="9"/>
        <v>35276.86</v>
      </c>
      <c r="W10" s="35">
        <f t="shared" ca="1" si="10"/>
        <v>35272.623200000002</v>
      </c>
      <c r="Y10" s="35">
        <f ca="1">Total!E10</f>
        <v>35210.383000000002</v>
      </c>
      <c r="AB10" s="35">
        <f t="shared" ca="1" si="11"/>
        <v>6.8956932391217769E-4</v>
      </c>
      <c r="AC10" s="35">
        <f t="shared" ca="1" si="12"/>
        <v>3.1393296687513062E-3</v>
      </c>
      <c r="AD10" s="35">
        <f t="shared" ca="1" si="13"/>
        <v>2.5211313378782842E-3</v>
      </c>
      <c r="AE10" s="35">
        <f t="shared" ca="1" si="14"/>
        <v>1.7770326440357013E-3</v>
      </c>
      <c r="AF10" s="35">
        <f t="shared" ca="1" si="15"/>
        <v>1.7896993622590241E-3</v>
      </c>
      <c r="AG10" s="35">
        <f t="shared" ca="1" si="16"/>
        <v>1.7770326440357013E-3</v>
      </c>
      <c r="AH10" s="35">
        <f t="shared" ca="1" si="17"/>
        <v>5.4120399655967547E-4</v>
      </c>
      <c r="AI10" s="35">
        <f t="shared" ca="1" si="18"/>
        <v>1.7770326440357013E-3</v>
      </c>
      <c r="AJ10" s="35">
        <f t="shared" ca="1" si="19"/>
        <v>1.7766350340465439E-3</v>
      </c>
      <c r="AK10" s="35">
        <f t="shared" ca="1" si="20"/>
        <v>1.8879942317014543E-3</v>
      </c>
      <c r="AM10" s="35">
        <f t="shared" ca="1" si="21"/>
        <v>1.7676660887215569E-2</v>
      </c>
    </row>
    <row r="11" spans="1:39" x14ac:dyDescent="0.3">
      <c r="A11" t="s">
        <v>17</v>
      </c>
      <c r="B11">
        <v>50</v>
      </c>
      <c r="C11">
        <v>1</v>
      </c>
      <c r="D11">
        <v>53.252000000000002</v>
      </c>
      <c r="E11">
        <v>19.59</v>
      </c>
      <c r="F11">
        <v>287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657.35599999999999</v>
      </c>
      <c r="N11" s="35">
        <f t="shared" ca="1" si="2"/>
        <v>657.35599999999999</v>
      </c>
      <c r="O11" s="35">
        <f t="shared" ca="1" si="3"/>
        <v>658.23299999999995</v>
      </c>
      <c r="P11" s="35">
        <f t="shared" ca="1" si="4"/>
        <v>657.35599999999999</v>
      </c>
      <c r="Q11" s="35">
        <f t="shared" ca="1" si="5"/>
        <v>658.23299999999995</v>
      </c>
      <c r="R11" s="35">
        <f t="shared" ca="1" si="6"/>
        <v>658.23299999999995</v>
      </c>
      <c r="S11" s="35">
        <f t="shared" ca="1" si="7"/>
        <v>657.32399999999996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657.61590000000001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2.8849747888902728E-3</v>
      </c>
      <c r="AD11" s="35">
        <f t="shared" ca="1" si="13"/>
        <v>2.8849747888902728E-3</v>
      </c>
      <c r="AE11" s="35">
        <f t="shared" ca="1" si="14"/>
        <v>4.2229562219186613E-3</v>
      </c>
      <c r="AF11" s="35">
        <f t="shared" ca="1" si="15"/>
        <v>2.8849747888902728E-3</v>
      </c>
      <c r="AG11" s="35">
        <f t="shared" ca="1" si="16"/>
        <v>4.2229562219186613E-3</v>
      </c>
      <c r="AH11" s="35">
        <f t="shared" ca="1" si="17"/>
        <v>4.2229562219186613E-3</v>
      </c>
      <c r="AI11" s="35">
        <f t="shared" ca="1" si="18"/>
        <v>2.8361544857466434E-3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3.2814871884844263E-2</v>
      </c>
    </row>
    <row r="12" spans="1:39" x14ac:dyDescent="0.3">
      <c r="A12" t="s">
        <v>17</v>
      </c>
      <c r="B12">
        <v>50</v>
      </c>
      <c r="C12">
        <v>1</v>
      </c>
      <c r="D12">
        <v>53.002000000000002</v>
      </c>
      <c r="E12">
        <v>19.571000000000002</v>
      </c>
      <c r="F12">
        <v>294</v>
      </c>
      <c r="H12" s="35" t="s">
        <v>20</v>
      </c>
      <c r="I12" s="35">
        <v>50</v>
      </c>
      <c r="J12" s="35">
        <v>1</v>
      </c>
      <c r="L12" s="35">
        <f t="shared" ca="1" si="0"/>
        <v>994.02099999999996</v>
      </c>
      <c r="M12" s="35">
        <f t="shared" ca="1" si="1"/>
        <v>993.83799999999997</v>
      </c>
      <c r="N12" s="35">
        <f t="shared" ca="1" si="2"/>
        <v>996.56600000000003</v>
      </c>
      <c r="O12" s="35">
        <f t="shared" ca="1" si="3"/>
        <v>994.55600000000004</v>
      </c>
      <c r="P12" s="35">
        <f t="shared" ca="1" si="4"/>
        <v>994.74599999999998</v>
      </c>
      <c r="Q12" s="35">
        <f t="shared" ca="1" si="5"/>
        <v>992.13499999999999</v>
      </c>
      <c r="R12" s="35">
        <f t="shared" ca="1" si="6"/>
        <v>994.67700000000002</v>
      </c>
      <c r="S12" s="35">
        <f t="shared" ca="1" si="7"/>
        <v>994.30600000000004</v>
      </c>
      <c r="T12" s="35">
        <f t="shared" ca="1" si="8"/>
        <v>994.87599999999998</v>
      </c>
      <c r="U12" s="35">
        <f t="shared" ca="1" si="9"/>
        <v>997.68600000000004</v>
      </c>
      <c r="W12" s="35">
        <f t="shared" ca="1" si="10"/>
        <v>994.74069999999995</v>
      </c>
      <c r="Y12" s="35">
        <f ca="1">Total!E12</f>
        <v>990.096</v>
      </c>
      <c r="AB12" s="35">
        <f t="shared" ca="1" si="11"/>
        <v>3.9642620513565905E-3</v>
      </c>
      <c r="AC12" s="35">
        <f t="shared" ca="1" si="12"/>
        <v>3.7794314894716895E-3</v>
      </c>
      <c r="AD12" s="35">
        <f t="shared" ca="1" si="13"/>
        <v>6.534719865548419E-3</v>
      </c>
      <c r="AE12" s="35">
        <f t="shared" ca="1" si="14"/>
        <v>4.504613694025667E-3</v>
      </c>
      <c r="AF12" s="35">
        <f t="shared" ca="1" si="15"/>
        <v>4.6965142774033804E-3</v>
      </c>
      <c r="AG12" s="35">
        <f t="shared" ca="1" si="16"/>
        <v>2.0593962605646192E-3</v>
      </c>
      <c r="AH12" s="35">
        <f t="shared" ca="1" si="17"/>
        <v>4.6268240655451768E-3</v>
      </c>
      <c r="AI12" s="35">
        <f t="shared" ca="1" si="18"/>
        <v>4.2521129264233327E-3</v>
      </c>
      <c r="AJ12" s="35">
        <f t="shared" ca="1" si="19"/>
        <v>4.8278146765565891E-3</v>
      </c>
      <c r="AK12" s="35">
        <f t="shared" ca="1" si="20"/>
        <v>7.6659233044068771E-3</v>
      </c>
      <c r="AM12" s="35">
        <f t="shared" ca="1" si="21"/>
        <v>4.6911612611302347E-2</v>
      </c>
    </row>
    <row r="13" spans="1:39" x14ac:dyDescent="0.3">
      <c r="A13" t="s">
        <v>17</v>
      </c>
      <c r="B13">
        <v>50</v>
      </c>
      <c r="C13">
        <v>1</v>
      </c>
      <c r="D13">
        <v>52.987000000000002</v>
      </c>
      <c r="E13">
        <v>19.597000000000001</v>
      </c>
      <c r="F13">
        <v>289</v>
      </c>
      <c r="H13" s="35" t="s">
        <v>20</v>
      </c>
      <c r="I13" s="35">
        <v>100</v>
      </c>
      <c r="J13" s="35">
        <v>1</v>
      </c>
      <c r="L13" s="35">
        <f t="shared" ca="1" si="0"/>
        <v>1755.76</v>
      </c>
      <c r="M13" s="35">
        <f t="shared" ca="1" si="1"/>
        <v>1754.2570000000001</v>
      </c>
      <c r="N13" s="35">
        <f t="shared" ca="1" si="2"/>
        <v>1757.5809999999999</v>
      </c>
      <c r="O13" s="35">
        <f t="shared" ca="1" si="3"/>
        <v>1754.6769999999999</v>
      </c>
      <c r="P13" s="35">
        <f t="shared" ca="1" si="4"/>
        <v>1757.0830000000001</v>
      </c>
      <c r="Q13" s="35">
        <f t="shared" ca="1" si="5"/>
        <v>1756.001</v>
      </c>
      <c r="R13" s="35">
        <f t="shared" ca="1" si="6"/>
        <v>1756.88</v>
      </c>
      <c r="S13" s="35">
        <f t="shared" ca="1" si="7"/>
        <v>1755.65</v>
      </c>
      <c r="T13" s="35">
        <f t="shared" ca="1" si="8"/>
        <v>1757.297</v>
      </c>
      <c r="U13" s="35">
        <f t="shared" ca="1" si="9"/>
        <v>1757.903</v>
      </c>
      <c r="W13" s="35">
        <f t="shared" ca="1" si="10"/>
        <v>1756.3089</v>
      </c>
      <c r="Y13" s="35">
        <f ca="1">Total!E13</f>
        <v>1753.79</v>
      </c>
      <c r="AB13" s="35">
        <f t="shared" ca="1" si="11"/>
        <v>1.1232815787523178E-3</v>
      </c>
      <c r="AC13" s="35">
        <f t="shared" ca="1" si="12"/>
        <v>2.662804554707794E-4</v>
      </c>
      <c r="AD13" s="35">
        <f t="shared" ca="1" si="13"/>
        <v>2.1616042969796498E-3</v>
      </c>
      <c r="AE13" s="35">
        <f t="shared" ca="1" si="14"/>
        <v>5.0576180728590292E-4</v>
      </c>
      <c r="AF13" s="35">
        <f t="shared" ca="1" si="15"/>
        <v>1.8776478369702872E-3</v>
      </c>
      <c r="AG13" s="35">
        <f t="shared" ca="1" si="16"/>
        <v>1.2606982591986571E-3</v>
      </c>
      <c r="AH13" s="35">
        <f t="shared" ca="1" si="17"/>
        <v>1.7618985169262828E-3</v>
      </c>
      <c r="AI13" s="35">
        <f t="shared" ca="1" si="18"/>
        <v>1.0605602723245812E-3</v>
      </c>
      <c r="AJ13" s="35">
        <f t="shared" ca="1" si="19"/>
        <v>1.9996692876570522E-3</v>
      </c>
      <c r="AK13" s="35">
        <f t="shared" ca="1" si="20"/>
        <v>2.3452066667047117E-3</v>
      </c>
      <c r="AM13" s="35">
        <f t="shared" ca="1" si="21"/>
        <v>1.4362608978270221E-2</v>
      </c>
    </row>
    <row r="14" spans="1:39" x14ac:dyDescent="0.3">
      <c r="A14" t="s">
        <v>17</v>
      </c>
      <c r="B14">
        <v>50</v>
      </c>
      <c r="C14">
        <v>1</v>
      </c>
      <c r="D14">
        <v>53.116999999999997</v>
      </c>
      <c r="E14">
        <v>19.588000000000001</v>
      </c>
      <c r="F14">
        <v>298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53.078000000000003</v>
      </c>
      <c r="E15">
        <v>19.545000000000002</v>
      </c>
      <c r="F15">
        <v>351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76.195999999999998</v>
      </c>
      <c r="M15" s="35">
        <f t="shared" ca="1" si="1"/>
        <v>76.072999999999993</v>
      </c>
      <c r="N15" s="35">
        <f t="shared" ca="1" si="1"/>
        <v>76.308000000000007</v>
      </c>
      <c r="O15" s="35">
        <f t="shared" ca="1" si="1"/>
        <v>76.513000000000005</v>
      </c>
      <c r="P15" s="35">
        <f t="shared" ca="1" si="1"/>
        <v>76.614000000000004</v>
      </c>
      <c r="Q15" s="35">
        <f t="shared" ca="1" si="1"/>
        <v>76.25</v>
      </c>
      <c r="R15" s="35">
        <f t="shared" ca="1" si="1"/>
        <v>76.923000000000002</v>
      </c>
      <c r="S15" s="35">
        <f t="shared" ca="1" si="1"/>
        <v>76.543000000000006</v>
      </c>
      <c r="T15" s="35">
        <f t="shared" ca="1" si="1"/>
        <v>76.596999999999994</v>
      </c>
      <c r="U15" s="35">
        <f t="shared" ca="1" si="1"/>
        <v>76.777000000000001</v>
      </c>
      <c r="W15" s="35">
        <f t="shared" ca="1" si="10"/>
        <v>76.479400000000012</v>
      </c>
      <c r="Y15" s="35">
        <f ca="1">Total!E15</f>
        <v>75.998000000000005</v>
      </c>
      <c r="AB15" s="35">
        <f t="shared" ca="1" si="11"/>
        <v>2.6053317192556813E-3</v>
      </c>
      <c r="AC15" s="35">
        <f t="shared" ca="1" si="12"/>
        <v>9.868680754755207E-4</v>
      </c>
      <c r="AD15" s="35">
        <f t="shared" ca="1" si="13"/>
        <v>4.079054711966134E-3</v>
      </c>
      <c r="AE15" s="35">
        <f t="shared" ca="1" si="14"/>
        <v>6.7764941182662771E-3</v>
      </c>
      <c r="AF15" s="35">
        <f t="shared" ca="1" si="15"/>
        <v>8.1054764599068352E-3</v>
      </c>
      <c r="AG15" s="35">
        <f t="shared" ca="1" si="16"/>
        <v>3.315876733598191E-3</v>
      </c>
      <c r="AH15" s="35">
        <f t="shared" ca="1" si="17"/>
        <v>1.2171372930866564E-2</v>
      </c>
      <c r="AI15" s="35">
        <f t="shared" ca="1" si="18"/>
        <v>7.1712413484565606E-3</v>
      </c>
      <c r="AJ15" s="35">
        <f t="shared" ca="1" si="19"/>
        <v>7.881786362798883E-3</v>
      </c>
      <c r="AK15" s="35">
        <f t="shared" ca="1" si="20"/>
        <v>1.0250269743940582E-2</v>
      </c>
      <c r="AM15" s="35">
        <f t="shared" ca="1" si="21"/>
        <v>6.3343772204531218E-2</v>
      </c>
    </row>
    <row r="16" spans="1:39" x14ac:dyDescent="0.3">
      <c r="A16" t="s">
        <v>17</v>
      </c>
      <c r="B16">
        <v>50</v>
      </c>
      <c r="C16">
        <v>1</v>
      </c>
      <c r="D16">
        <v>53.067</v>
      </c>
      <c r="E16">
        <v>19.545000000000002</v>
      </c>
      <c r="F16">
        <v>395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118.714</v>
      </c>
      <c r="M16" s="35">
        <f t="shared" ca="1" si="1"/>
        <v>119.01600000000001</v>
      </c>
      <c r="N16" s="35">
        <f t="shared" ca="1" si="1"/>
        <v>119.477</v>
      </c>
      <c r="O16" s="35">
        <f t="shared" ca="1" si="1"/>
        <v>118.925</v>
      </c>
      <c r="P16" s="35">
        <f t="shared" ca="1" si="1"/>
        <v>118.651</v>
      </c>
      <c r="Q16" s="35">
        <f t="shared" ca="1" si="1"/>
        <v>118.816</v>
      </c>
      <c r="R16" s="35">
        <f t="shared" ca="1" si="1"/>
        <v>119.402</v>
      </c>
      <c r="S16" s="35">
        <f t="shared" ca="1" si="1"/>
        <v>118.947</v>
      </c>
      <c r="T16" s="35">
        <f t="shared" ca="1" si="1"/>
        <v>119.01600000000001</v>
      </c>
      <c r="U16" s="35">
        <f t="shared" ca="1" si="1"/>
        <v>118.509</v>
      </c>
      <c r="W16" s="35">
        <f t="shared" ca="1" si="10"/>
        <v>118.94730000000001</v>
      </c>
      <c r="Y16" s="35">
        <f ca="1">Total!E16</f>
        <v>118.01</v>
      </c>
      <c r="AB16" s="35">
        <f t="shared" ca="1" si="11"/>
        <v>5.9655961359206299E-3</v>
      </c>
      <c r="AC16" s="35">
        <f t="shared" ca="1" si="12"/>
        <v>8.5247012965002974E-3</v>
      </c>
      <c r="AD16" s="35">
        <f t="shared" ca="1" si="13"/>
        <v>1.243114990255062E-2</v>
      </c>
      <c r="AE16" s="35">
        <f t="shared" ca="1" si="14"/>
        <v>7.7535802050672994E-3</v>
      </c>
      <c r="AF16" s="35">
        <f t="shared" ca="1" si="15"/>
        <v>5.4317430726208886E-3</v>
      </c>
      <c r="AG16" s="35">
        <f t="shared" ca="1" si="16"/>
        <v>6.829929666977352E-3</v>
      </c>
      <c r="AH16" s="35">
        <f t="shared" ca="1" si="17"/>
        <v>1.17956105414795E-2</v>
      </c>
      <c r="AI16" s="35">
        <f t="shared" ca="1" si="18"/>
        <v>7.9400050843148676E-3</v>
      </c>
      <c r="AJ16" s="35">
        <f t="shared" ca="1" si="19"/>
        <v>8.5247012965002974E-3</v>
      </c>
      <c r="AK16" s="35">
        <f t="shared" ca="1" si="20"/>
        <v>4.2284552156596489E-3</v>
      </c>
      <c r="AM16" s="35">
        <f t="shared" ca="1" si="21"/>
        <v>7.9425472417591403E-2</v>
      </c>
    </row>
    <row r="17" spans="1:39" x14ac:dyDescent="0.3">
      <c r="A17" t="s">
        <v>17</v>
      </c>
      <c r="B17">
        <v>50</v>
      </c>
      <c r="C17">
        <v>1</v>
      </c>
      <c r="D17">
        <v>53.137</v>
      </c>
      <c r="E17">
        <v>19.562999999999999</v>
      </c>
      <c r="F17">
        <v>393</v>
      </c>
      <c r="H17" s="35" t="s">
        <v>34</v>
      </c>
      <c r="I17" s="35">
        <v>40</v>
      </c>
      <c r="J17" s="35">
        <v>1</v>
      </c>
      <c r="L17" s="35">
        <f t="shared" ca="1" si="22"/>
        <v>16.763000000000002</v>
      </c>
      <c r="M17" s="35">
        <f t="shared" ca="1" si="1"/>
        <v>16.632999999999999</v>
      </c>
      <c r="N17" s="35">
        <f t="shared" ca="1" si="1"/>
        <v>16.78</v>
      </c>
      <c r="O17" s="35">
        <f t="shared" ca="1" si="1"/>
        <v>16.684999999999999</v>
      </c>
      <c r="P17" s="35">
        <f t="shared" ca="1" si="1"/>
        <v>16.641999999999999</v>
      </c>
      <c r="Q17" s="35">
        <f t="shared" ca="1" si="1"/>
        <v>16.727</v>
      </c>
      <c r="R17" s="35">
        <f t="shared" ca="1" si="1"/>
        <v>16.78</v>
      </c>
      <c r="S17" s="35">
        <f t="shared" ca="1" si="1"/>
        <v>16.516999999999999</v>
      </c>
      <c r="T17" s="35">
        <f t="shared" ca="1" si="1"/>
        <v>16.771000000000001</v>
      </c>
      <c r="U17" s="35">
        <f t="shared" ca="1" si="1"/>
        <v>16.75</v>
      </c>
      <c r="W17" s="35">
        <f t="shared" ca="1" si="10"/>
        <v>16.704799999999999</v>
      </c>
      <c r="Y17" s="35">
        <f ca="1">Total!E17</f>
        <v>16.481999999999999</v>
      </c>
      <c r="AB17" s="35">
        <f t="shared" ca="1" si="11"/>
        <v>1.7048901832302048E-2</v>
      </c>
      <c r="AC17" s="35">
        <f t="shared" ca="1" si="12"/>
        <v>9.1615095255430049E-3</v>
      </c>
      <c r="AD17" s="35">
        <f t="shared" ca="1" si="13"/>
        <v>1.8080330057032024E-2</v>
      </c>
      <c r="AE17" s="35">
        <f t="shared" ca="1" si="14"/>
        <v>1.2316466448246537E-2</v>
      </c>
      <c r="AF17" s="35">
        <f t="shared" ca="1" si="15"/>
        <v>9.7075597621647941E-3</v>
      </c>
      <c r="AG17" s="35">
        <f t="shared" ca="1" si="16"/>
        <v>1.486470088581489E-2</v>
      </c>
      <c r="AH17" s="35">
        <f t="shared" ca="1" si="17"/>
        <v>1.8080330057032024E-2</v>
      </c>
      <c r="AI17" s="35">
        <f t="shared" ca="1" si="18"/>
        <v>2.1235286979735556E-3</v>
      </c>
      <c r="AJ17" s="35">
        <f t="shared" ca="1" si="19"/>
        <v>1.7534279820410236E-2</v>
      </c>
      <c r="AK17" s="35">
        <f t="shared" ca="1" si="20"/>
        <v>1.626016260162606E-2</v>
      </c>
      <c r="AM17" s="35">
        <f t="shared" ca="1" si="21"/>
        <v>0.13517776968814516</v>
      </c>
    </row>
    <row r="18" spans="1:39" x14ac:dyDescent="0.3">
      <c r="A18" t="s">
        <v>17</v>
      </c>
      <c r="B18">
        <v>50</v>
      </c>
      <c r="C18">
        <v>1</v>
      </c>
      <c r="D18">
        <v>53.156999999999996</v>
      </c>
      <c r="E18">
        <v>19.606999999999999</v>
      </c>
      <c r="F18">
        <v>311</v>
      </c>
      <c r="H18" s="35" t="s">
        <v>34</v>
      </c>
      <c r="I18" s="35">
        <v>96</v>
      </c>
      <c r="J18" s="35">
        <v>1</v>
      </c>
      <c r="L18" s="35">
        <f t="shared" ca="1" si="22"/>
        <v>35.210999999999999</v>
      </c>
      <c r="M18" s="35">
        <f t="shared" ca="1" si="22"/>
        <v>35.084000000000003</v>
      </c>
      <c r="N18" s="35">
        <f t="shared" ca="1" si="22"/>
        <v>35.14</v>
      </c>
      <c r="O18" s="35">
        <f t="shared" ca="1" si="22"/>
        <v>35.170999999999999</v>
      </c>
      <c r="P18" s="35">
        <f t="shared" ca="1" si="22"/>
        <v>35.136000000000003</v>
      </c>
      <c r="Q18" s="35">
        <f t="shared" ca="1" si="22"/>
        <v>35.155000000000001</v>
      </c>
      <c r="R18" s="35">
        <f t="shared" ca="1" si="22"/>
        <v>35.125999999999998</v>
      </c>
      <c r="S18" s="35">
        <f t="shared" ca="1" si="22"/>
        <v>35.22</v>
      </c>
      <c r="T18" s="35">
        <f t="shared" ca="1" si="22"/>
        <v>35.134</v>
      </c>
      <c r="U18" s="35">
        <f t="shared" ca="1" si="22"/>
        <v>35.192999999999998</v>
      </c>
      <c r="W18" s="35">
        <f t="shared" ca="1" si="10"/>
        <v>35.156999999999996</v>
      </c>
      <c r="Y18" s="35">
        <f ca="1">Total!E18</f>
        <v>35.069000000000003</v>
      </c>
      <c r="AB18" s="35">
        <f t="shared" ca="1" si="11"/>
        <v>4.049160226980977E-3</v>
      </c>
      <c r="AC18" s="35">
        <f t="shared" ca="1" si="12"/>
        <v>4.2772819299097687E-4</v>
      </c>
      <c r="AD18" s="35">
        <f t="shared" ca="1" si="13"/>
        <v>2.0245801134904885E-3</v>
      </c>
      <c r="AE18" s="35">
        <f t="shared" ca="1" si="14"/>
        <v>2.9085517123384401E-3</v>
      </c>
      <c r="AF18" s="35">
        <f t="shared" ca="1" si="15"/>
        <v>1.9105192620262957E-3</v>
      </c>
      <c r="AG18" s="35">
        <f t="shared" ca="1" si="16"/>
        <v>2.4523083064814655E-3</v>
      </c>
      <c r="AH18" s="35">
        <f t="shared" ca="1" si="17"/>
        <v>1.6253671333655093E-3</v>
      </c>
      <c r="AI18" s="35">
        <f t="shared" ca="1" si="18"/>
        <v>4.3057971427755632E-3</v>
      </c>
      <c r="AJ18" s="35">
        <f t="shared" ca="1" si="19"/>
        <v>1.8534888362940979E-3</v>
      </c>
      <c r="AK18" s="35">
        <f t="shared" ca="1" si="20"/>
        <v>3.535886395391805E-3</v>
      </c>
      <c r="AM18" s="35">
        <f t="shared" ca="1" si="21"/>
        <v>2.5093387322135619E-2</v>
      </c>
    </row>
    <row r="19" spans="1:39" x14ac:dyDescent="0.3">
      <c r="A19" t="s">
        <v>17</v>
      </c>
      <c r="B19">
        <v>50</v>
      </c>
      <c r="C19">
        <v>1</v>
      </c>
      <c r="D19">
        <v>53.091000000000001</v>
      </c>
      <c r="E19">
        <v>19.57</v>
      </c>
      <c r="F19">
        <v>290</v>
      </c>
      <c r="H19" s="35" t="s">
        <v>34</v>
      </c>
      <c r="I19" s="35">
        <v>224</v>
      </c>
      <c r="J19" s="35">
        <v>1</v>
      </c>
      <c r="L19" s="35">
        <f t="shared" ca="1" si="22"/>
        <v>71.95</v>
      </c>
      <c r="M19" s="35">
        <f t="shared" ca="1" si="22"/>
        <v>72.02</v>
      </c>
      <c r="N19" s="35">
        <f t="shared" ca="1" si="22"/>
        <v>71.938999999999993</v>
      </c>
      <c r="O19" s="35">
        <f t="shared" ca="1" si="22"/>
        <v>71.921000000000006</v>
      </c>
      <c r="P19" s="35">
        <f t="shared" ca="1" si="22"/>
        <v>71.933999999999997</v>
      </c>
      <c r="Q19" s="35">
        <f t="shared" ca="1" si="22"/>
        <v>71.923000000000002</v>
      </c>
      <c r="R19" s="35">
        <f t="shared" ca="1" si="22"/>
        <v>72.003</v>
      </c>
      <c r="S19" s="35">
        <f t="shared" ca="1" si="22"/>
        <v>71.908000000000001</v>
      </c>
      <c r="T19" s="35">
        <f t="shared" ca="1" si="22"/>
        <v>71.971999999999994</v>
      </c>
      <c r="U19" s="35">
        <f t="shared" ca="1" si="22"/>
        <v>71.927999999999997</v>
      </c>
      <c r="W19" s="35">
        <f t="shared" ca="1" si="10"/>
        <v>71.949799999999996</v>
      </c>
      <c r="Y19" s="35">
        <f ca="1">Total!E19</f>
        <v>71.908000000000001</v>
      </c>
      <c r="AB19" s="35">
        <f t="shared" ca="1" si="11"/>
        <v>5.8407965733995649E-4</v>
      </c>
      <c r="AC19" s="35">
        <f t="shared" ca="1" si="12"/>
        <v>1.5575457529064189E-3</v>
      </c>
      <c r="AD19" s="35">
        <f t="shared" ca="1" si="13"/>
        <v>4.3110641375078852E-4</v>
      </c>
      <c r="AE19" s="35">
        <f t="shared" ca="1" si="14"/>
        <v>1.8078656060529049E-4</v>
      </c>
      <c r="AF19" s="35">
        <f t="shared" ca="1" si="15"/>
        <v>3.6157312121038338E-4</v>
      </c>
      <c r="AG19" s="35">
        <f t="shared" ca="1" si="16"/>
        <v>2.0859987762141303E-4</v>
      </c>
      <c r="AH19" s="35">
        <f t="shared" ca="1" si="17"/>
        <v>1.3211325582688834E-3</v>
      </c>
      <c r="AI19" s="35">
        <f t="shared" ca="1" si="18"/>
        <v>0</v>
      </c>
      <c r="AJ19" s="35">
        <f t="shared" ca="1" si="19"/>
        <v>8.9002614451789714E-4</v>
      </c>
      <c r="AK19" s="35">
        <f t="shared" ca="1" si="20"/>
        <v>2.7813317016181819E-4</v>
      </c>
      <c r="AM19" s="35">
        <f t="shared" ca="1" si="21"/>
        <v>5.8129832563828497E-3</v>
      </c>
    </row>
    <row r="20" spans="1:39" x14ac:dyDescent="0.3">
      <c r="A20" t="s">
        <v>17</v>
      </c>
      <c r="B20">
        <v>50</v>
      </c>
      <c r="C20">
        <v>1</v>
      </c>
      <c r="D20">
        <v>53.155999999999999</v>
      </c>
      <c r="E20">
        <v>19.559999999999999</v>
      </c>
      <c r="F20">
        <v>281</v>
      </c>
    </row>
    <row r="21" spans="1:39" x14ac:dyDescent="0.3">
      <c r="A21" t="s">
        <v>17</v>
      </c>
      <c r="B21">
        <v>100</v>
      </c>
      <c r="C21">
        <v>1</v>
      </c>
      <c r="D21">
        <v>103.31699999999999</v>
      </c>
      <c r="E21">
        <v>102.075</v>
      </c>
      <c r="F21">
        <v>487</v>
      </c>
    </row>
    <row r="22" spans="1:39" x14ac:dyDescent="0.3">
      <c r="A22" t="s">
        <v>17</v>
      </c>
      <c r="B22">
        <v>100</v>
      </c>
      <c r="C22">
        <v>1</v>
      </c>
      <c r="D22">
        <v>103.22799999999999</v>
      </c>
      <c r="E22">
        <v>102.083</v>
      </c>
      <c r="F22">
        <v>472</v>
      </c>
    </row>
    <row r="23" spans="1:39" x14ac:dyDescent="0.3">
      <c r="A23" t="s">
        <v>17</v>
      </c>
      <c r="B23">
        <v>100</v>
      </c>
      <c r="C23">
        <v>1</v>
      </c>
      <c r="D23">
        <v>103.246</v>
      </c>
      <c r="E23">
        <v>102.10899999999999</v>
      </c>
      <c r="F23">
        <v>474</v>
      </c>
    </row>
    <row r="24" spans="1:39" x14ac:dyDescent="0.3">
      <c r="A24" t="s">
        <v>17</v>
      </c>
      <c r="B24">
        <v>100</v>
      </c>
      <c r="C24">
        <v>1</v>
      </c>
      <c r="D24">
        <v>102.953</v>
      </c>
      <c r="E24">
        <v>102.081</v>
      </c>
      <c r="F24">
        <v>495</v>
      </c>
    </row>
    <row r="25" spans="1:39" x14ac:dyDescent="0.3">
      <c r="A25" t="s">
        <v>17</v>
      </c>
      <c r="B25">
        <v>100</v>
      </c>
      <c r="C25">
        <v>1</v>
      </c>
      <c r="D25">
        <v>103.129</v>
      </c>
      <c r="E25">
        <v>102.19199999999999</v>
      </c>
      <c r="F25">
        <v>450</v>
      </c>
    </row>
    <row r="26" spans="1:39" x14ac:dyDescent="0.3">
      <c r="A26" t="s">
        <v>17</v>
      </c>
      <c r="B26">
        <v>100</v>
      </c>
      <c r="C26">
        <v>1</v>
      </c>
      <c r="D26">
        <v>103.182</v>
      </c>
      <c r="E26">
        <v>102.16200000000001</v>
      </c>
      <c r="F26">
        <v>487</v>
      </c>
    </row>
    <row r="27" spans="1:39" x14ac:dyDescent="0.3">
      <c r="A27" t="s">
        <v>17</v>
      </c>
      <c r="B27">
        <v>100</v>
      </c>
      <c r="C27">
        <v>1</v>
      </c>
      <c r="D27">
        <v>103.239</v>
      </c>
      <c r="E27">
        <v>102.09099999999999</v>
      </c>
      <c r="F27">
        <v>470</v>
      </c>
    </row>
    <row r="28" spans="1:39" x14ac:dyDescent="0.3">
      <c r="A28" t="s">
        <v>17</v>
      </c>
      <c r="B28">
        <v>100</v>
      </c>
      <c r="C28">
        <v>1</v>
      </c>
      <c r="D28">
        <v>103.18300000000001</v>
      </c>
      <c r="E28">
        <v>102</v>
      </c>
      <c r="F28">
        <v>515</v>
      </c>
    </row>
    <row r="29" spans="1:39" x14ac:dyDescent="0.3">
      <c r="A29" t="s">
        <v>17</v>
      </c>
      <c r="B29">
        <v>100</v>
      </c>
      <c r="C29">
        <v>1</v>
      </c>
      <c r="D29">
        <v>103.253</v>
      </c>
      <c r="E29">
        <v>102.051</v>
      </c>
      <c r="F29">
        <v>526</v>
      </c>
    </row>
    <row r="30" spans="1:39" x14ac:dyDescent="0.3">
      <c r="A30" t="s">
        <v>17</v>
      </c>
      <c r="B30">
        <v>100</v>
      </c>
      <c r="C30">
        <v>1</v>
      </c>
      <c r="D30">
        <v>103.282</v>
      </c>
      <c r="E30">
        <v>102.033</v>
      </c>
      <c r="F30">
        <v>476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8.0020000000000007</v>
      </c>
      <c r="F31">
        <v>326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8.0150000000000006</v>
      </c>
      <c r="F32">
        <v>333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8.02</v>
      </c>
      <c r="F33">
        <v>295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8.0009999999999994</v>
      </c>
      <c r="F34">
        <v>339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8.0039999999999996</v>
      </c>
      <c r="F35">
        <v>296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8.0009999999999994</v>
      </c>
      <c r="F36">
        <v>325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8.0009999999999994</v>
      </c>
      <c r="F37">
        <v>344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8.0030000000000001</v>
      </c>
      <c r="F38">
        <v>337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8.0190000000000001</v>
      </c>
      <c r="F39">
        <v>255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8.0060000000000002</v>
      </c>
      <c r="F40">
        <v>299</v>
      </c>
    </row>
    <row r="41" spans="1:6" x14ac:dyDescent="0.3">
      <c r="A41" t="s">
        <v>18</v>
      </c>
      <c r="B41">
        <v>50</v>
      </c>
      <c r="C41">
        <v>1</v>
      </c>
      <c r="D41">
        <v>181.59700000000001</v>
      </c>
      <c r="E41">
        <v>22.437999999999999</v>
      </c>
      <c r="F41">
        <v>292</v>
      </c>
    </row>
    <row r="42" spans="1:6" x14ac:dyDescent="0.3">
      <c r="A42" t="s">
        <v>18</v>
      </c>
      <c r="B42">
        <v>50</v>
      </c>
      <c r="C42">
        <v>1</v>
      </c>
      <c r="D42">
        <v>180.15700000000001</v>
      </c>
      <c r="E42">
        <v>22.457999999999998</v>
      </c>
      <c r="F42">
        <v>294</v>
      </c>
    </row>
    <row r="43" spans="1:6" x14ac:dyDescent="0.3">
      <c r="A43" t="s">
        <v>18</v>
      </c>
      <c r="B43">
        <v>50</v>
      </c>
      <c r="C43">
        <v>1</v>
      </c>
      <c r="D43">
        <v>179.93799999999999</v>
      </c>
      <c r="E43">
        <v>22.451000000000001</v>
      </c>
      <c r="F43">
        <v>284</v>
      </c>
    </row>
    <row r="44" spans="1:6" x14ac:dyDescent="0.3">
      <c r="A44" t="s">
        <v>18</v>
      </c>
      <c r="B44">
        <v>50</v>
      </c>
      <c r="C44">
        <v>1</v>
      </c>
      <c r="D44">
        <v>181.59700000000001</v>
      </c>
      <c r="E44">
        <v>22.469000000000001</v>
      </c>
      <c r="F44">
        <v>292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22.417999999999999</v>
      </c>
      <c r="F45">
        <v>300</v>
      </c>
    </row>
    <row r="46" spans="1:6" x14ac:dyDescent="0.3">
      <c r="A46" t="s">
        <v>18</v>
      </c>
      <c r="B46">
        <v>50</v>
      </c>
      <c r="C46">
        <v>1</v>
      </c>
      <c r="D46">
        <v>180.101</v>
      </c>
      <c r="E46">
        <v>22.414999999999999</v>
      </c>
      <c r="F46">
        <v>292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22.448</v>
      </c>
      <c r="F47">
        <v>289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22.420999999999999</v>
      </c>
      <c r="F48">
        <v>289</v>
      </c>
    </row>
    <row r="49" spans="1:6" x14ac:dyDescent="0.3">
      <c r="A49" t="s">
        <v>18</v>
      </c>
      <c r="B49">
        <v>50</v>
      </c>
      <c r="C49">
        <v>1</v>
      </c>
      <c r="D49">
        <v>179.953</v>
      </c>
      <c r="E49">
        <v>22.43</v>
      </c>
      <c r="F49">
        <v>300</v>
      </c>
    </row>
    <row r="50" spans="1:6" x14ac:dyDescent="0.3">
      <c r="A50" t="s">
        <v>18</v>
      </c>
      <c r="B50">
        <v>50</v>
      </c>
      <c r="C50">
        <v>1</v>
      </c>
      <c r="D50">
        <v>181.71299999999999</v>
      </c>
      <c r="E50">
        <v>22.422000000000001</v>
      </c>
      <c r="F50">
        <v>290</v>
      </c>
    </row>
    <row r="51" spans="1:6" x14ac:dyDescent="0.3">
      <c r="A51" t="s">
        <v>18</v>
      </c>
      <c r="B51">
        <v>100</v>
      </c>
      <c r="C51">
        <v>1</v>
      </c>
      <c r="D51">
        <v>239.25299999999999</v>
      </c>
      <c r="E51">
        <v>138.476</v>
      </c>
      <c r="F51">
        <v>527</v>
      </c>
    </row>
    <row r="52" spans="1:6" x14ac:dyDescent="0.3">
      <c r="A52" t="s">
        <v>18</v>
      </c>
      <c r="B52">
        <v>100</v>
      </c>
      <c r="C52">
        <v>1</v>
      </c>
      <c r="D52">
        <v>240.18600000000001</v>
      </c>
      <c r="E52">
        <v>138.46799999999999</v>
      </c>
      <c r="F52">
        <v>517</v>
      </c>
    </row>
    <row r="53" spans="1:6" x14ac:dyDescent="0.3">
      <c r="A53" t="s">
        <v>18</v>
      </c>
      <c r="B53">
        <v>100</v>
      </c>
      <c r="C53">
        <v>1</v>
      </c>
      <c r="D53">
        <v>239.16</v>
      </c>
      <c r="E53">
        <v>138.584</v>
      </c>
      <c r="F53">
        <v>519</v>
      </c>
    </row>
    <row r="54" spans="1:6" x14ac:dyDescent="0.3">
      <c r="A54" t="s">
        <v>18</v>
      </c>
      <c r="B54">
        <v>100</v>
      </c>
      <c r="C54">
        <v>1</v>
      </c>
      <c r="D54">
        <v>239.22</v>
      </c>
      <c r="E54">
        <v>138.63300000000001</v>
      </c>
      <c r="F54">
        <v>520</v>
      </c>
    </row>
    <row r="55" spans="1:6" x14ac:dyDescent="0.3">
      <c r="A55" t="s">
        <v>18</v>
      </c>
      <c r="B55">
        <v>100</v>
      </c>
      <c r="C55">
        <v>1</v>
      </c>
      <c r="D55">
        <v>239.13</v>
      </c>
      <c r="E55">
        <v>138.59899999999999</v>
      </c>
      <c r="F55">
        <v>562</v>
      </c>
    </row>
    <row r="56" spans="1:6" x14ac:dyDescent="0.3">
      <c r="A56" t="s">
        <v>18</v>
      </c>
      <c r="B56">
        <v>100</v>
      </c>
      <c r="C56">
        <v>1</v>
      </c>
      <c r="D56">
        <v>239.08799999999999</v>
      </c>
      <c r="E56">
        <v>138.54300000000001</v>
      </c>
      <c r="F56">
        <v>578</v>
      </c>
    </row>
    <row r="57" spans="1:6" x14ac:dyDescent="0.3">
      <c r="A57" t="s">
        <v>18</v>
      </c>
      <c r="B57">
        <v>100</v>
      </c>
      <c r="C57">
        <v>1</v>
      </c>
      <c r="D57">
        <v>239.3</v>
      </c>
      <c r="E57">
        <v>138.49199999999999</v>
      </c>
      <c r="F57">
        <v>536</v>
      </c>
    </row>
    <row r="58" spans="1:6" x14ac:dyDescent="0.3">
      <c r="A58" t="s">
        <v>18</v>
      </c>
      <c r="B58">
        <v>100</v>
      </c>
      <c r="C58">
        <v>1</v>
      </c>
      <c r="D58">
        <v>239.15</v>
      </c>
      <c r="E58">
        <v>138.62899999999999</v>
      </c>
      <c r="F58">
        <v>519</v>
      </c>
    </row>
    <row r="59" spans="1:6" x14ac:dyDescent="0.3">
      <c r="A59" t="s">
        <v>18</v>
      </c>
      <c r="B59">
        <v>100</v>
      </c>
      <c r="C59">
        <v>1</v>
      </c>
      <c r="D59">
        <v>239.16</v>
      </c>
      <c r="E59">
        <v>138.60900000000001</v>
      </c>
      <c r="F59">
        <v>516</v>
      </c>
    </row>
    <row r="60" spans="1:6" x14ac:dyDescent="0.3">
      <c r="A60" t="s">
        <v>18</v>
      </c>
      <c r="B60">
        <v>100</v>
      </c>
      <c r="C60">
        <v>1</v>
      </c>
      <c r="D60">
        <v>239.09100000000001</v>
      </c>
      <c r="E60">
        <v>138.52600000000001</v>
      </c>
      <c r="F60">
        <v>516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4.3209999999999997</v>
      </c>
      <c r="F61">
        <v>180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4.3159999999999998</v>
      </c>
      <c r="F62">
        <v>175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4.319</v>
      </c>
      <c r="F63">
        <v>162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4.3120000000000003</v>
      </c>
      <c r="F64">
        <v>167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4.3129999999999997</v>
      </c>
      <c r="F65">
        <v>190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4.3209999999999997</v>
      </c>
      <c r="F66">
        <v>187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4.3140000000000001</v>
      </c>
      <c r="F67">
        <v>212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4.3129999999999997</v>
      </c>
      <c r="F68">
        <v>252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4.3209999999999997</v>
      </c>
      <c r="F69">
        <v>253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4.3170000000000002</v>
      </c>
      <c r="F70">
        <v>264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13.215999999999999</v>
      </c>
      <c r="F71">
        <v>294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13.195</v>
      </c>
      <c r="F72">
        <v>310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13.192</v>
      </c>
      <c r="F73">
        <v>309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13.205</v>
      </c>
      <c r="F74">
        <v>304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13.211</v>
      </c>
      <c r="F75">
        <v>306</v>
      </c>
    </row>
    <row r="76" spans="1:6" x14ac:dyDescent="0.3">
      <c r="A76" t="s">
        <v>19</v>
      </c>
      <c r="B76">
        <v>47</v>
      </c>
      <c r="C76">
        <v>1</v>
      </c>
      <c r="D76">
        <v>4318.4880000000003</v>
      </c>
      <c r="E76">
        <v>13.201000000000001</v>
      </c>
      <c r="F76">
        <v>300</v>
      </c>
    </row>
    <row r="77" spans="1:6" x14ac:dyDescent="0.3">
      <c r="A77" t="s">
        <v>19</v>
      </c>
      <c r="B77">
        <v>47</v>
      </c>
      <c r="C77">
        <v>1</v>
      </c>
      <c r="D77">
        <v>4318.4880000000003</v>
      </c>
      <c r="E77">
        <v>13.212999999999999</v>
      </c>
      <c r="F77">
        <v>287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13.194000000000001</v>
      </c>
      <c r="F78">
        <v>308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13.19</v>
      </c>
      <c r="F79">
        <v>341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13.209</v>
      </c>
      <c r="F80">
        <v>316</v>
      </c>
    </row>
    <row r="81" spans="1:6" x14ac:dyDescent="0.3">
      <c r="A81" t="s">
        <v>19</v>
      </c>
      <c r="B81">
        <v>100</v>
      </c>
      <c r="C81">
        <v>1</v>
      </c>
      <c r="D81">
        <v>35234.663</v>
      </c>
      <c r="E81">
        <v>54.795000000000002</v>
      </c>
      <c r="F81">
        <v>285</v>
      </c>
    </row>
    <row r="82" spans="1:6" x14ac:dyDescent="0.3">
      <c r="A82" t="s">
        <v>19</v>
      </c>
      <c r="B82">
        <v>100</v>
      </c>
      <c r="C82">
        <v>1</v>
      </c>
      <c r="D82">
        <v>35320.92</v>
      </c>
      <c r="E82">
        <v>54.84</v>
      </c>
      <c r="F82">
        <v>301</v>
      </c>
    </row>
    <row r="83" spans="1:6" x14ac:dyDescent="0.3">
      <c r="A83" t="s">
        <v>19</v>
      </c>
      <c r="B83">
        <v>100</v>
      </c>
      <c r="C83">
        <v>1</v>
      </c>
      <c r="D83">
        <v>35299.152999999998</v>
      </c>
      <c r="E83">
        <v>54.918999999999997</v>
      </c>
      <c r="F83">
        <v>297</v>
      </c>
    </row>
    <row r="84" spans="1:6" x14ac:dyDescent="0.3">
      <c r="A84" t="s">
        <v>19</v>
      </c>
      <c r="B84">
        <v>100</v>
      </c>
      <c r="C84">
        <v>1</v>
      </c>
      <c r="D84">
        <v>35272.953000000001</v>
      </c>
      <c r="E84">
        <v>54.908000000000001</v>
      </c>
      <c r="F84">
        <v>295</v>
      </c>
    </row>
    <row r="85" spans="1:6" x14ac:dyDescent="0.3">
      <c r="A85" t="s">
        <v>19</v>
      </c>
      <c r="B85">
        <v>100</v>
      </c>
      <c r="C85">
        <v>1</v>
      </c>
      <c r="D85">
        <v>35273.398999999998</v>
      </c>
      <c r="E85">
        <v>54.805999999999997</v>
      </c>
      <c r="F85">
        <v>276</v>
      </c>
    </row>
    <row r="86" spans="1:6" x14ac:dyDescent="0.3">
      <c r="A86" t="s">
        <v>19</v>
      </c>
      <c r="B86">
        <v>100</v>
      </c>
      <c r="C86">
        <v>1</v>
      </c>
      <c r="D86">
        <v>35272.953000000001</v>
      </c>
      <c r="E86">
        <v>54.801000000000002</v>
      </c>
      <c r="F86">
        <v>250</v>
      </c>
    </row>
    <row r="87" spans="1:6" x14ac:dyDescent="0.3">
      <c r="A87" t="s">
        <v>19</v>
      </c>
      <c r="B87">
        <v>100</v>
      </c>
      <c r="C87">
        <v>1</v>
      </c>
      <c r="D87">
        <v>35229.438999999998</v>
      </c>
      <c r="E87">
        <v>54.945</v>
      </c>
      <c r="F87">
        <v>253</v>
      </c>
    </row>
    <row r="88" spans="1:6" x14ac:dyDescent="0.3">
      <c r="A88" t="s">
        <v>19</v>
      </c>
      <c r="B88">
        <v>100</v>
      </c>
      <c r="C88">
        <v>1</v>
      </c>
      <c r="D88">
        <v>35272.953000000001</v>
      </c>
      <c r="E88">
        <v>54.899000000000001</v>
      </c>
      <c r="F88">
        <v>252</v>
      </c>
    </row>
    <row r="89" spans="1:6" x14ac:dyDescent="0.3">
      <c r="A89" t="s">
        <v>19</v>
      </c>
      <c r="B89">
        <v>100</v>
      </c>
      <c r="C89">
        <v>1</v>
      </c>
      <c r="D89">
        <v>35272.938999999998</v>
      </c>
      <c r="E89">
        <v>54.869</v>
      </c>
      <c r="F89">
        <v>257</v>
      </c>
    </row>
    <row r="90" spans="1:6" x14ac:dyDescent="0.3">
      <c r="A90" t="s">
        <v>19</v>
      </c>
      <c r="B90">
        <v>100</v>
      </c>
      <c r="C90">
        <v>1</v>
      </c>
      <c r="D90">
        <v>35276.86</v>
      </c>
      <c r="E90">
        <v>54.898000000000003</v>
      </c>
      <c r="F90">
        <v>251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6.4669999999999996</v>
      </c>
      <c r="F91">
        <v>204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6.4710000000000001</v>
      </c>
      <c r="F92">
        <v>214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6.4710000000000001</v>
      </c>
      <c r="F93">
        <v>222</v>
      </c>
    </row>
    <row r="94" spans="1:6" x14ac:dyDescent="0.3">
      <c r="A94" t="s">
        <v>20</v>
      </c>
      <c r="B94">
        <v>30</v>
      </c>
      <c r="C94">
        <v>1</v>
      </c>
      <c r="D94">
        <v>658.23299999999995</v>
      </c>
      <c r="E94">
        <v>6.4690000000000003</v>
      </c>
      <c r="F94">
        <v>240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6.5010000000000003</v>
      </c>
      <c r="F95">
        <v>209</v>
      </c>
    </row>
    <row r="96" spans="1:6" x14ac:dyDescent="0.3">
      <c r="A96" t="s">
        <v>20</v>
      </c>
      <c r="B96">
        <v>30</v>
      </c>
      <c r="C96">
        <v>1</v>
      </c>
      <c r="D96">
        <v>658.23299999999995</v>
      </c>
      <c r="E96">
        <v>6.4770000000000003</v>
      </c>
      <c r="F96">
        <v>237</v>
      </c>
    </row>
    <row r="97" spans="1:6" x14ac:dyDescent="0.3">
      <c r="A97" t="s">
        <v>20</v>
      </c>
      <c r="B97">
        <v>30</v>
      </c>
      <c r="C97">
        <v>1</v>
      </c>
      <c r="D97">
        <v>658.23299999999995</v>
      </c>
      <c r="E97">
        <v>6.4749999999999996</v>
      </c>
      <c r="F97">
        <v>214</v>
      </c>
    </row>
    <row r="98" spans="1:6" x14ac:dyDescent="0.3">
      <c r="A98" t="s">
        <v>20</v>
      </c>
      <c r="B98">
        <v>30</v>
      </c>
      <c r="C98">
        <v>1</v>
      </c>
      <c r="D98">
        <v>657.32399999999996</v>
      </c>
      <c r="E98">
        <v>6.5030000000000001</v>
      </c>
      <c r="F98">
        <v>207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6.4809999999999999</v>
      </c>
      <c r="F99">
        <v>226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6.4909999999999997</v>
      </c>
      <c r="F100">
        <v>220</v>
      </c>
    </row>
    <row r="101" spans="1:6" x14ac:dyDescent="0.3">
      <c r="A101" t="s">
        <v>20</v>
      </c>
      <c r="B101">
        <v>50</v>
      </c>
      <c r="C101">
        <v>1</v>
      </c>
      <c r="D101">
        <v>994.02099999999996</v>
      </c>
      <c r="E101">
        <v>14.695</v>
      </c>
      <c r="F101">
        <v>331</v>
      </c>
    </row>
    <row r="102" spans="1:6" x14ac:dyDescent="0.3">
      <c r="A102" t="s">
        <v>20</v>
      </c>
      <c r="B102">
        <v>50</v>
      </c>
      <c r="C102">
        <v>1</v>
      </c>
      <c r="D102">
        <v>993.83799999999997</v>
      </c>
      <c r="E102">
        <v>14.698</v>
      </c>
      <c r="F102">
        <v>327</v>
      </c>
    </row>
    <row r="103" spans="1:6" x14ac:dyDescent="0.3">
      <c r="A103" t="s">
        <v>20</v>
      </c>
      <c r="B103">
        <v>50</v>
      </c>
      <c r="C103">
        <v>1</v>
      </c>
      <c r="D103">
        <v>996.56600000000003</v>
      </c>
      <c r="E103">
        <v>14.685</v>
      </c>
      <c r="F103">
        <v>329</v>
      </c>
    </row>
    <row r="104" spans="1:6" x14ac:dyDescent="0.3">
      <c r="A104" t="s">
        <v>20</v>
      </c>
      <c r="B104">
        <v>50</v>
      </c>
      <c r="C104">
        <v>1</v>
      </c>
      <c r="D104">
        <v>994.55600000000004</v>
      </c>
      <c r="E104">
        <v>14.706</v>
      </c>
      <c r="F104">
        <v>304</v>
      </c>
    </row>
    <row r="105" spans="1:6" x14ac:dyDescent="0.3">
      <c r="A105" t="s">
        <v>20</v>
      </c>
      <c r="B105">
        <v>50</v>
      </c>
      <c r="C105">
        <v>1</v>
      </c>
      <c r="D105">
        <v>994.74599999999998</v>
      </c>
      <c r="E105">
        <v>14.711</v>
      </c>
      <c r="F105">
        <v>308</v>
      </c>
    </row>
    <row r="106" spans="1:6" x14ac:dyDescent="0.3">
      <c r="A106" t="s">
        <v>20</v>
      </c>
      <c r="B106">
        <v>50</v>
      </c>
      <c r="C106">
        <v>1</v>
      </c>
      <c r="D106">
        <v>992.13499999999999</v>
      </c>
      <c r="E106">
        <v>14.695</v>
      </c>
      <c r="F106">
        <v>299</v>
      </c>
    </row>
    <row r="107" spans="1:6" x14ac:dyDescent="0.3">
      <c r="A107" t="s">
        <v>20</v>
      </c>
      <c r="B107">
        <v>50</v>
      </c>
      <c r="C107">
        <v>1</v>
      </c>
      <c r="D107">
        <v>994.67700000000002</v>
      </c>
      <c r="E107">
        <v>14.72</v>
      </c>
      <c r="F107">
        <v>235</v>
      </c>
    </row>
    <row r="108" spans="1:6" x14ac:dyDescent="0.3">
      <c r="A108" t="s">
        <v>20</v>
      </c>
      <c r="B108">
        <v>50</v>
      </c>
      <c r="C108">
        <v>1</v>
      </c>
      <c r="D108">
        <v>994.30600000000004</v>
      </c>
      <c r="E108">
        <v>14.731999999999999</v>
      </c>
      <c r="F108">
        <v>224</v>
      </c>
    </row>
    <row r="109" spans="1:6" x14ac:dyDescent="0.3">
      <c r="A109" t="s">
        <v>20</v>
      </c>
      <c r="B109">
        <v>50</v>
      </c>
      <c r="C109">
        <v>1</v>
      </c>
      <c r="D109">
        <v>994.87599999999998</v>
      </c>
      <c r="E109">
        <v>14.736000000000001</v>
      </c>
      <c r="F109">
        <v>232</v>
      </c>
    </row>
    <row r="110" spans="1:6" x14ac:dyDescent="0.3">
      <c r="A110" t="s">
        <v>20</v>
      </c>
      <c r="B110">
        <v>50</v>
      </c>
      <c r="C110">
        <v>1</v>
      </c>
      <c r="D110">
        <v>997.68600000000004</v>
      </c>
      <c r="E110">
        <v>14.725</v>
      </c>
      <c r="F110">
        <v>233</v>
      </c>
    </row>
    <row r="111" spans="1:6" x14ac:dyDescent="0.3">
      <c r="A111" t="s">
        <v>20</v>
      </c>
      <c r="B111">
        <v>100</v>
      </c>
      <c r="C111">
        <v>1</v>
      </c>
      <c r="D111">
        <v>1755.76</v>
      </c>
      <c r="E111">
        <v>32.51</v>
      </c>
      <c r="F111">
        <v>168</v>
      </c>
    </row>
    <row r="112" spans="1:6" x14ac:dyDescent="0.3">
      <c r="A112" t="s">
        <v>20</v>
      </c>
      <c r="B112">
        <v>100</v>
      </c>
      <c r="C112">
        <v>1</v>
      </c>
      <c r="D112">
        <v>1754.2570000000001</v>
      </c>
      <c r="E112">
        <v>32.554000000000002</v>
      </c>
      <c r="F112">
        <v>195</v>
      </c>
    </row>
    <row r="113" spans="1:6" x14ac:dyDescent="0.3">
      <c r="A113" t="s">
        <v>20</v>
      </c>
      <c r="B113">
        <v>100</v>
      </c>
      <c r="C113">
        <v>1</v>
      </c>
      <c r="D113">
        <v>1757.5809999999999</v>
      </c>
      <c r="E113">
        <v>32.561</v>
      </c>
      <c r="F113">
        <v>200</v>
      </c>
    </row>
    <row r="114" spans="1:6" x14ac:dyDescent="0.3">
      <c r="A114" t="s">
        <v>20</v>
      </c>
      <c r="B114">
        <v>100</v>
      </c>
      <c r="C114">
        <v>1</v>
      </c>
      <c r="D114">
        <v>1754.6769999999999</v>
      </c>
      <c r="E114">
        <v>32.506</v>
      </c>
      <c r="F114">
        <v>202</v>
      </c>
    </row>
    <row r="115" spans="1:6" x14ac:dyDescent="0.3">
      <c r="A115" t="s">
        <v>20</v>
      </c>
      <c r="B115">
        <v>100</v>
      </c>
      <c r="C115">
        <v>1</v>
      </c>
      <c r="D115">
        <v>1757.0830000000001</v>
      </c>
      <c r="E115">
        <v>32.496000000000002</v>
      </c>
      <c r="F115">
        <v>199</v>
      </c>
    </row>
    <row r="116" spans="1:6" x14ac:dyDescent="0.3">
      <c r="A116" t="s">
        <v>20</v>
      </c>
      <c r="B116">
        <v>100</v>
      </c>
      <c r="C116">
        <v>1</v>
      </c>
      <c r="D116">
        <v>1756.001</v>
      </c>
      <c r="E116">
        <v>32.494</v>
      </c>
      <c r="F116">
        <v>194</v>
      </c>
    </row>
    <row r="117" spans="1:6" x14ac:dyDescent="0.3">
      <c r="A117" t="s">
        <v>20</v>
      </c>
      <c r="B117">
        <v>100</v>
      </c>
      <c r="C117">
        <v>1</v>
      </c>
      <c r="D117">
        <v>1756.88</v>
      </c>
      <c r="E117">
        <v>32.515000000000001</v>
      </c>
      <c r="F117">
        <v>203</v>
      </c>
    </row>
    <row r="118" spans="1:6" x14ac:dyDescent="0.3">
      <c r="A118" t="s">
        <v>20</v>
      </c>
      <c r="B118">
        <v>100</v>
      </c>
      <c r="C118">
        <v>1</v>
      </c>
      <c r="D118">
        <v>1755.65</v>
      </c>
      <c r="E118">
        <v>32.564999999999998</v>
      </c>
      <c r="F118">
        <v>203</v>
      </c>
    </row>
    <row r="119" spans="1:6" x14ac:dyDescent="0.3">
      <c r="A119" t="s">
        <v>20</v>
      </c>
      <c r="B119">
        <v>100</v>
      </c>
      <c r="C119">
        <v>1</v>
      </c>
      <c r="D119">
        <v>1757.297</v>
      </c>
      <c r="E119">
        <v>32.488</v>
      </c>
      <c r="F119">
        <v>203</v>
      </c>
    </row>
    <row r="120" spans="1:6" x14ac:dyDescent="0.3">
      <c r="A120" t="s">
        <v>20</v>
      </c>
      <c r="B120">
        <v>100</v>
      </c>
      <c r="C120">
        <v>1</v>
      </c>
      <c r="D120">
        <v>1757.903</v>
      </c>
      <c r="E120">
        <v>32.555999999999997</v>
      </c>
      <c r="F120">
        <v>201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1.393</v>
      </c>
      <c r="F121">
        <v>51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1.3759999999999999</v>
      </c>
      <c r="F122">
        <v>70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1.363</v>
      </c>
      <c r="F123">
        <v>395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1.363</v>
      </c>
      <c r="F124">
        <v>366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1.381</v>
      </c>
      <c r="F125">
        <v>442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1.367</v>
      </c>
      <c r="F126">
        <v>52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1.3839999999999999</v>
      </c>
      <c r="F127">
        <v>155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1.371</v>
      </c>
      <c r="F128">
        <v>145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1.363</v>
      </c>
      <c r="F129">
        <v>166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1.3959999999999999</v>
      </c>
      <c r="F130">
        <v>224</v>
      </c>
    </row>
    <row r="131" spans="1:6" x14ac:dyDescent="0.3">
      <c r="A131" t="s">
        <v>33</v>
      </c>
      <c r="B131">
        <v>209</v>
      </c>
      <c r="C131">
        <v>1</v>
      </c>
      <c r="D131">
        <v>76.195999999999998</v>
      </c>
      <c r="E131">
        <v>181.39</v>
      </c>
      <c r="F131">
        <v>210</v>
      </c>
    </row>
    <row r="132" spans="1:6" x14ac:dyDescent="0.3">
      <c r="A132" t="s">
        <v>33</v>
      </c>
      <c r="B132">
        <v>209</v>
      </c>
      <c r="C132">
        <v>1</v>
      </c>
      <c r="D132">
        <v>76.072999999999993</v>
      </c>
      <c r="E132">
        <v>181.38200000000001</v>
      </c>
      <c r="F132">
        <v>212</v>
      </c>
    </row>
    <row r="133" spans="1:6" x14ac:dyDescent="0.3">
      <c r="A133" t="s">
        <v>33</v>
      </c>
      <c r="B133">
        <v>209</v>
      </c>
      <c r="C133">
        <v>1</v>
      </c>
      <c r="D133">
        <v>76.308000000000007</v>
      </c>
      <c r="E133">
        <v>180.73699999999999</v>
      </c>
      <c r="F133">
        <v>208</v>
      </c>
    </row>
    <row r="134" spans="1:6" x14ac:dyDescent="0.3">
      <c r="A134" t="s">
        <v>33</v>
      </c>
      <c r="B134">
        <v>209</v>
      </c>
      <c r="C134">
        <v>1</v>
      </c>
      <c r="D134">
        <v>76.513000000000005</v>
      </c>
      <c r="E134">
        <v>181.30600000000001</v>
      </c>
      <c r="F134">
        <v>205</v>
      </c>
    </row>
    <row r="135" spans="1:6" x14ac:dyDescent="0.3">
      <c r="A135" t="s">
        <v>33</v>
      </c>
      <c r="B135">
        <v>209</v>
      </c>
      <c r="C135">
        <v>1</v>
      </c>
      <c r="D135">
        <v>76.614000000000004</v>
      </c>
      <c r="E135">
        <v>181.262</v>
      </c>
      <c r="F135">
        <v>211</v>
      </c>
    </row>
    <row r="136" spans="1:6" x14ac:dyDescent="0.3">
      <c r="A136" t="s">
        <v>33</v>
      </c>
      <c r="B136">
        <v>209</v>
      </c>
      <c r="C136">
        <v>1</v>
      </c>
      <c r="D136">
        <v>76.25</v>
      </c>
      <c r="E136">
        <v>181.32400000000001</v>
      </c>
      <c r="F136">
        <v>205</v>
      </c>
    </row>
    <row r="137" spans="1:6" x14ac:dyDescent="0.3">
      <c r="A137" t="s">
        <v>33</v>
      </c>
      <c r="B137">
        <v>209</v>
      </c>
      <c r="C137">
        <v>1</v>
      </c>
      <c r="D137">
        <v>76.923000000000002</v>
      </c>
      <c r="E137">
        <v>181.24199999999999</v>
      </c>
      <c r="F137">
        <v>201</v>
      </c>
    </row>
    <row r="138" spans="1:6" x14ac:dyDescent="0.3">
      <c r="A138" t="s">
        <v>33</v>
      </c>
      <c r="B138">
        <v>209</v>
      </c>
      <c r="C138">
        <v>1</v>
      </c>
      <c r="D138">
        <v>76.543000000000006</v>
      </c>
      <c r="E138">
        <v>181.03299999999999</v>
      </c>
      <c r="F138">
        <v>210</v>
      </c>
    </row>
    <row r="139" spans="1:6" x14ac:dyDescent="0.3">
      <c r="A139" t="s">
        <v>33</v>
      </c>
      <c r="B139">
        <v>209</v>
      </c>
      <c r="C139">
        <v>1</v>
      </c>
      <c r="D139">
        <v>76.596999999999994</v>
      </c>
      <c r="E139">
        <v>180.82900000000001</v>
      </c>
      <c r="F139">
        <v>208</v>
      </c>
    </row>
    <row r="140" spans="1:6" x14ac:dyDescent="0.3">
      <c r="A140" t="s">
        <v>33</v>
      </c>
      <c r="B140">
        <v>209</v>
      </c>
      <c r="C140">
        <v>1</v>
      </c>
      <c r="D140">
        <v>76.777000000000001</v>
      </c>
      <c r="E140">
        <v>181.22900000000001</v>
      </c>
      <c r="F140">
        <v>209</v>
      </c>
    </row>
    <row r="141" spans="1:6" x14ac:dyDescent="0.3">
      <c r="A141" t="s">
        <v>33</v>
      </c>
      <c r="B141">
        <v>324</v>
      </c>
      <c r="C141">
        <v>1</v>
      </c>
      <c r="D141">
        <v>118.714</v>
      </c>
      <c r="E141">
        <v>420.55399999999997</v>
      </c>
      <c r="F141">
        <v>177</v>
      </c>
    </row>
    <row r="142" spans="1:6" x14ac:dyDescent="0.3">
      <c r="A142" t="s">
        <v>33</v>
      </c>
      <c r="B142">
        <v>324</v>
      </c>
      <c r="C142">
        <v>1</v>
      </c>
      <c r="D142">
        <v>119.01600000000001</v>
      </c>
      <c r="E142">
        <v>420.97399999999999</v>
      </c>
      <c r="F142">
        <v>180</v>
      </c>
    </row>
    <row r="143" spans="1:6" x14ac:dyDescent="0.3">
      <c r="A143" t="s">
        <v>33</v>
      </c>
      <c r="B143">
        <v>324</v>
      </c>
      <c r="C143">
        <v>1</v>
      </c>
      <c r="D143">
        <v>119.477</v>
      </c>
      <c r="E143">
        <v>420.79199999999997</v>
      </c>
      <c r="F143">
        <v>171</v>
      </c>
    </row>
    <row r="144" spans="1:6" x14ac:dyDescent="0.3">
      <c r="A144" t="s">
        <v>33</v>
      </c>
      <c r="B144">
        <v>324</v>
      </c>
      <c r="C144">
        <v>1</v>
      </c>
      <c r="D144">
        <v>118.925</v>
      </c>
      <c r="E144">
        <v>419.48200000000003</v>
      </c>
      <c r="F144">
        <v>174</v>
      </c>
    </row>
    <row r="145" spans="1:6" x14ac:dyDescent="0.3">
      <c r="A145" t="s">
        <v>33</v>
      </c>
      <c r="B145">
        <v>324</v>
      </c>
      <c r="C145">
        <v>1</v>
      </c>
      <c r="D145">
        <v>118.651</v>
      </c>
      <c r="E145">
        <v>419.61399999999998</v>
      </c>
      <c r="F145">
        <v>183</v>
      </c>
    </row>
    <row r="146" spans="1:6" x14ac:dyDescent="0.3">
      <c r="A146" t="s">
        <v>33</v>
      </c>
      <c r="B146">
        <v>324</v>
      </c>
      <c r="C146">
        <v>1</v>
      </c>
      <c r="D146">
        <v>118.816</v>
      </c>
      <c r="E146">
        <v>420.41500000000002</v>
      </c>
      <c r="F146">
        <v>181</v>
      </c>
    </row>
    <row r="147" spans="1:6" x14ac:dyDescent="0.3">
      <c r="A147" t="s">
        <v>33</v>
      </c>
      <c r="B147">
        <v>324</v>
      </c>
      <c r="C147">
        <v>1</v>
      </c>
      <c r="D147">
        <v>119.402</v>
      </c>
      <c r="E147">
        <v>419.40199999999999</v>
      </c>
      <c r="F147">
        <v>172</v>
      </c>
    </row>
    <row r="148" spans="1:6" x14ac:dyDescent="0.3">
      <c r="A148" t="s">
        <v>33</v>
      </c>
      <c r="B148">
        <v>324</v>
      </c>
      <c r="C148">
        <v>1</v>
      </c>
      <c r="D148">
        <v>118.947</v>
      </c>
      <c r="E148">
        <v>420.01299999999998</v>
      </c>
      <c r="F148">
        <v>180</v>
      </c>
    </row>
    <row r="149" spans="1:6" x14ac:dyDescent="0.3">
      <c r="A149" t="s">
        <v>33</v>
      </c>
      <c r="B149">
        <v>324</v>
      </c>
      <c r="C149">
        <v>1</v>
      </c>
      <c r="D149">
        <v>119.01600000000001</v>
      </c>
      <c r="E149">
        <v>420.57799999999997</v>
      </c>
      <c r="F149">
        <v>172</v>
      </c>
    </row>
    <row r="150" spans="1:6" x14ac:dyDescent="0.3">
      <c r="A150" t="s">
        <v>33</v>
      </c>
      <c r="B150">
        <v>324</v>
      </c>
      <c r="C150">
        <v>1</v>
      </c>
      <c r="D150">
        <v>118.509</v>
      </c>
      <c r="E150">
        <v>421.279</v>
      </c>
      <c r="F150">
        <v>175</v>
      </c>
    </row>
    <row r="151" spans="1:6" x14ac:dyDescent="0.3">
      <c r="A151" t="s">
        <v>34</v>
      </c>
      <c r="B151">
        <v>40</v>
      </c>
      <c r="C151">
        <v>1</v>
      </c>
      <c r="D151">
        <v>16.763000000000002</v>
      </c>
      <c r="E151">
        <v>11.629</v>
      </c>
      <c r="F151">
        <v>301</v>
      </c>
    </row>
    <row r="152" spans="1:6" x14ac:dyDescent="0.3">
      <c r="A152" t="s">
        <v>34</v>
      </c>
      <c r="B152">
        <v>40</v>
      </c>
      <c r="C152">
        <v>1</v>
      </c>
      <c r="D152">
        <v>16.632999999999999</v>
      </c>
      <c r="E152">
        <v>11.618</v>
      </c>
      <c r="F152">
        <v>321</v>
      </c>
    </row>
    <row r="153" spans="1:6" x14ac:dyDescent="0.3">
      <c r="A153" t="s">
        <v>34</v>
      </c>
      <c r="B153">
        <v>40</v>
      </c>
      <c r="C153">
        <v>1</v>
      </c>
      <c r="D153">
        <v>16.78</v>
      </c>
      <c r="E153">
        <v>11.638</v>
      </c>
      <c r="F153">
        <v>305</v>
      </c>
    </row>
    <row r="154" spans="1:6" x14ac:dyDescent="0.3">
      <c r="A154" t="s">
        <v>34</v>
      </c>
      <c r="B154">
        <v>40</v>
      </c>
      <c r="C154">
        <v>1</v>
      </c>
      <c r="D154">
        <v>16.684999999999999</v>
      </c>
      <c r="E154">
        <v>11.619</v>
      </c>
      <c r="F154">
        <v>355</v>
      </c>
    </row>
    <row r="155" spans="1:6" x14ac:dyDescent="0.3">
      <c r="A155" t="s">
        <v>34</v>
      </c>
      <c r="B155">
        <v>40</v>
      </c>
      <c r="C155">
        <v>1</v>
      </c>
      <c r="D155">
        <v>16.641999999999999</v>
      </c>
      <c r="E155">
        <v>11.628</v>
      </c>
      <c r="F155">
        <v>334</v>
      </c>
    </row>
    <row r="156" spans="1:6" x14ac:dyDescent="0.3">
      <c r="A156" t="s">
        <v>34</v>
      </c>
      <c r="B156">
        <v>40</v>
      </c>
      <c r="C156">
        <v>1</v>
      </c>
      <c r="D156">
        <v>16.727</v>
      </c>
      <c r="E156">
        <v>11.618</v>
      </c>
      <c r="F156">
        <v>278</v>
      </c>
    </row>
    <row r="157" spans="1:6" x14ac:dyDescent="0.3">
      <c r="A157" t="s">
        <v>34</v>
      </c>
      <c r="B157">
        <v>40</v>
      </c>
      <c r="C157">
        <v>1</v>
      </c>
      <c r="D157">
        <v>16.78</v>
      </c>
      <c r="E157">
        <v>11.611000000000001</v>
      </c>
      <c r="F157">
        <v>311</v>
      </c>
    </row>
    <row r="158" spans="1:6" x14ac:dyDescent="0.3">
      <c r="A158" t="s">
        <v>34</v>
      </c>
      <c r="B158">
        <v>40</v>
      </c>
      <c r="C158">
        <v>1</v>
      </c>
      <c r="D158">
        <v>16.516999999999999</v>
      </c>
      <c r="E158">
        <v>11.628</v>
      </c>
      <c r="F158">
        <v>307</v>
      </c>
    </row>
    <row r="159" spans="1:6" x14ac:dyDescent="0.3">
      <c r="A159" t="s">
        <v>34</v>
      </c>
      <c r="B159">
        <v>40</v>
      </c>
      <c r="C159">
        <v>1</v>
      </c>
      <c r="D159">
        <v>16.771000000000001</v>
      </c>
      <c r="E159">
        <v>11.632</v>
      </c>
      <c r="F159">
        <v>324</v>
      </c>
    </row>
    <row r="160" spans="1:6" x14ac:dyDescent="0.3">
      <c r="A160" t="s">
        <v>34</v>
      </c>
      <c r="B160">
        <v>40</v>
      </c>
      <c r="C160">
        <v>1</v>
      </c>
      <c r="D160">
        <v>16.75</v>
      </c>
      <c r="E160">
        <v>11.632</v>
      </c>
      <c r="F160">
        <v>314</v>
      </c>
    </row>
    <row r="161" spans="1:6" x14ac:dyDescent="0.3">
      <c r="A161" t="s">
        <v>34</v>
      </c>
      <c r="B161">
        <v>96</v>
      </c>
      <c r="C161">
        <v>1</v>
      </c>
      <c r="D161">
        <v>35.210999999999999</v>
      </c>
      <c r="E161">
        <v>51.421999999999997</v>
      </c>
      <c r="F161">
        <v>291</v>
      </c>
    </row>
    <row r="162" spans="1:6" x14ac:dyDescent="0.3">
      <c r="A162" t="s">
        <v>34</v>
      </c>
      <c r="B162">
        <v>96</v>
      </c>
      <c r="C162">
        <v>1</v>
      </c>
      <c r="D162">
        <v>35.084000000000003</v>
      </c>
      <c r="E162">
        <v>51.301000000000002</v>
      </c>
      <c r="F162">
        <v>282</v>
      </c>
    </row>
    <row r="163" spans="1:6" x14ac:dyDescent="0.3">
      <c r="A163" t="s">
        <v>34</v>
      </c>
      <c r="B163">
        <v>96</v>
      </c>
      <c r="C163">
        <v>1</v>
      </c>
      <c r="D163">
        <v>35.14</v>
      </c>
      <c r="E163">
        <v>51.427</v>
      </c>
      <c r="F163">
        <v>288</v>
      </c>
    </row>
    <row r="164" spans="1:6" x14ac:dyDescent="0.3">
      <c r="A164" t="s">
        <v>34</v>
      </c>
      <c r="B164">
        <v>96</v>
      </c>
      <c r="C164">
        <v>1</v>
      </c>
      <c r="D164">
        <v>35.170999999999999</v>
      </c>
      <c r="E164">
        <v>51.415999999999997</v>
      </c>
      <c r="F164">
        <v>298</v>
      </c>
    </row>
    <row r="165" spans="1:6" x14ac:dyDescent="0.3">
      <c r="A165" t="s">
        <v>34</v>
      </c>
      <c r="B165">
        <v>96</v>
      </c>
      <c r="C165">
        <v>1</v>
      </c>
      <c r="D165">
        <v>35.136000000000003</v>
      </c>
      <c r="E165">
        <v>51.332999999999998</v>
      </c>
      <c r="F165">
        <v>282</v>
      </c>
    </row>
    <row r="166" spans="1:6" x14ac:dyDescent="0.3">
      <c r="A166" t="s">
        <v>34</v>
      </c>
      <c r="B166">
        <v>96</v>
      </c>
      <c r="C166">
        <v>1</v>
      </c>
      <c r="D166">
        <v>35.155000000000001</v>
      </c>
      <c r="E166">
        <v>51.27</v>
      </c>
      <c r="F166">
        <v>283</v>
      </c>
    </row>
    <row r="167" spans="1:6" x14ac:dyDescent="0.3">
      <c r="A167" t="s">
        <v>34</v>
      </c>
      <c r="B167">
        <v>96</v>
      </c>
      <c r="C167">
        <v>1</v>
      </c>
      <c r="D167">
        <v>35.125999999999998</v>
      </c>
      <c r="E167">
        <v>51.304000000000002</v>
      </c>
      <c r="F167">
        <v>287</v>
      </c>
    </row>
    <row r="168" spans="1:6" x14ac:dyDescent="0.3">
      <c r="A168" t="s">
        <v>34</v>
      </c>
      <c r="B168">
        <v>96</v>
      </c>
      <c r="C168">
        <v>1</v>
      </c>
      <c r="D168">
        <v>35.22</v>
      </c>
      <c r="E168">
        <v>51.378</v>
      </c>
      <c r="F168">
        <v>269</v>
      </c>
    </row>
    <row r="169" spans="1:6" x14ac:dyDescent="0.3">
      <c r="A169" t="s">
        <v>34</v>
      </c>
      <c r="B169">
        <v>96</v>
      </c>
      <c r="C169">
        <v>1</v>
      </c>
      <c r="D169">
        <v>35.134</v>
      </c>
      <c r="E169">
        <v>51.356999999999999</v>
      </c>
      <c r="F169">
        <v>288</v>
      </c>
    </row>
    <row r="170" spans="1:6" x14ac:dyDescent="0.3">
      <c r="A170" t="s">
        <v>34</v>
      </c>
      <c r="B170">
        <v>96</v>
      </c>
      <c r="C170">
        <v>1</v>
      </c>
      <c r="D170">
        <v>35.192999999999998</v>
      </c>
      <c r="E170">
        <v>51.415999999999997</v>
      </c>
      <c r="F170">
        <v>292</v>
      </c>
    </row>
    <row r="171" spans="1:6" x14ac:dyDescent="0.3">
      <c r="A171" t="s">
        <v>34</v>
      </c>
      <c r="B171">
        <v>224</v>
      </c>
      <c r="C171">
        <v>1</v>
      </c>
      <c r="D171">
        <v>71.95</v>
      </c>
      <c r="E171">
        <v>255.67400000000001</v>
      </c>
      <c r="F171">
        <v>243</v>
      </c>
    </row>
    <row r="172" spans="1:6" x14ac:dyDescent="0.3">
      <c r="A172" t="s">
        <v>34</v>
      </c>
      <c r="B172">
        <v>224</v>
      </c>
      <c r="C172">
        <v>1</v>
      </c>
      <c r="D172">
        <v>72.02</v>
      </c>
      <c r="E172">
        <v>255.93799999999999</v>
      </c>
      <c r="F172">
        <v>251</v>
      </c>
    </row>
    <row r="173" spans="1:6" x14ac:dyDescent="0.3">
      <c r="A173" t="s">
        <v>34</v>
      </c>
      <c r="B173">
        <v>224</v>
      </c>
      <c r="C173">
        <v>1</v>
      </c>
      <c r="D173">
        <v>71.938999999999993</v>
      </c>
      <c r="E173">
        <v>255.75299999999999</v>
      </c>
      <c r="F173">
        <v>243</v>
      </c>
    </row>
    <row r="174" spans="1:6" x14ac:dyDescent="0.3">
      <c r="A174" t="s">
        <v>34</v>
      </c>
      <c r="B174">
        <v>224</v>
      </c>
      <c r="C174">
        <v>1</v>
      </c>
      <c r="D174">
        <v>71.921000000000006</v>
      </c>
      <c r="E174">
        <v>255.773</v>
      </c>
      <c r="F174">
        <v>249</v>
      </c>
    </row>
    <row r="175" spans="1:6" x14ac:dyDescent="0.3">
      <c r="A175" t="s">
        <v>34</v>
      </c>
      <c r="B175">
        <v>224</v>
      </c>
      <c r="C175">
        <v>1</v>
      </c>
      <c r="D175">
        <v>71.933999999999997</v>
      </c>
      <c r="E175">
        <v>255.73599999999999</v>
      </c>
      <c r="F175">
        <v>243</v>
      </c>
    </row>
    <row r="176" spans="1:6" x14ac:dyDescent="0.3">
      <c r="A176" t="s">
        <v>34</v>
      </c>
      <c r="B176">
        <v>224</v>
      </c>
      <c r="C176">
        <v>1</v>
      </c>
      <c r="D176">
        <v>71.923000000000002</v>
      </c>
      <c r="E176">
        <v>255.57400000000001</v>
      </c>
      <c r="F176">
        <v>249</v>
      </c>
    </row>
    <row r="177" spans="1:6" x14ac:dyDescent="0.3">
      <c r="A177" t="s">
        <v>34</v>
      </c>
      <c r="B177">
        <v>224</v>
      </c>
      <c r="C177">
        <v>1</v>
      </c>
      <c r="D177">
        <v>72.003</v>
      </c>
      <c r="E177">
        <v>255.79499999999999</v>
      </c>
      <c r="F177">
        <v>249</v>
      </c>
    </row>
    <row r="178" spans="1:6" x14ac:dyDescent="0.3">
      <c r="A178" t="s">
        <v>34</v>
      </c>
      <c r="B178">
        <v>224</v>
      </c>
      <c r="C178">
        <v>1</v>
      </c>
      <c r="D178">
        <v>71.908000000000001</v>
      </c>
      <c r="E178">
        <v>255.90799999999999</v>
      </c>
      <c r="F178">
        <v>255</v>
      </c>
    </row>
    <row r="179" spans="1:6" x14ac:dyDescent="0.3">
      <c r="A179" t="s">
        <v>34</v>
      </c>
      <c r="B179">
        <v>224</v>
      </c>
      <c r="C179">
        <v>1</v>
      </c>
      <c r="D179">
        <v>71.971999999999994</v>
      </c>
      <c r="E179">
        <v>256.245</v>
      </c>
      <c r="F179">
        <v>244</v>
      </c>
    </row>
    <row r="180" spans="1:6" x14ac:dyDescent="0.3">
      <c r="A180" t="s">
        <v>34</v>
      </c>
      <c r="B180">
        <v>224</v>
      </c>
      <c r="C180">
        <v>1</v>
      </c>
      <c r="D180">
        <v>71.927999999999997</v>
      </c>
      <c r="E180">
        <v>255.75299999999999</v>
      </c>
      <c r="F180">
        <v>249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33203125"/>
    <col min="2" max="2" width="4.33203125"/>
    <col min="3" max="3" width="2.58203125"/>
    <col min="4" max="4" width="10.5" bestFit="1" customWidth="1"/>
    <col min="5" max="5" width="7.25"/>
    <col min="6" max="6" width="5.25" customWidth="1"/>
    <col min="7" max="7" width="2.5"/>
    <col min="8" max="8" width="10.25"/>
    <col min="9" max="9" width="4.33203125"/>
    <col min="10" max="10" width="3.33203125"/>
    <col min="11" max="11" width="2.58203125"/>
    <col min="12" max="21" width="9.5"/>
    <col min="22" max="22" width="3.5"/>
    <col min="23" max="23" width="9.5"/>
    <col min="24" max="24" width="2.33203125"/>
    <col min="25" max="25" width="9.5"/>
    <col min="26" max="26" width="2.25"/>
    <col min="27" max="27" width="2.58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5.2770000000000001</v>
      </c>
      <c r="F1">
        <v>212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28.504000000000001</v>
      </c>
      <c r="E2">
        <v>5.2919999999999998</v>
      </c>
      <c r="F2">
        <v>230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28.504000000000001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28.504000000000001</v>
      </c>
      <c r="S2" s="35">
        <f t="shared" ref="S2:S13" ca="1" si="7">INDIRECT("D"&amp;1+(ROW(K1)-1)*10+COLUMN(H1)-1)</f>
        <v>28.504000000000001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28.504000000000001</v>
      </c>
      <c r="W2" s="35">
        <f t="shared" ref="W2:W19" ca="1" si="10">AVERAGE(L2:U2)</f>
        <v>28.529199999999996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0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1.4734774066796953E-3</v>
      </c>
      <c r="AH2" s="35">
        <f t="shared" ref="AH2:AH19" ca="1" si="17">(R2-$Y2)/$Y2</f>
        <v>0</v>
      </c>
      <c r="AI2" s="35">
        <f t="shared" ref="AI2:AI19" ca="1" si="18">(S2-$Y2)/$Y2</f>
        <v>0</v>
      </c>
      <c r="AJ2" s="35">
        <f t="shared" ref="AJ2:AJ19" ca="1" si="19">(T2-$Y2)/$Y2</f>
        <v>1.4734774066796953E-3</v>
      </c>
      <c r="AK2" s="35">
        <f t="shared" ref="AK2:AK19" ca="1" si="20">(U2-$Y2)/$Y2</f>
        <v>0</v>
      </c>
      <c r="AM2" s="35">
        <f t="shared" ref="AM2:AM19" ca="1" si="21">SUM(AB2:AK2)</f>
        <v>8.8408644400781722E-3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5.2770000000000001</v>
      </c>
      <c r="F3">
        <v>204</v>
      </c>
      <c r="H3" s="35" t="s">
        <v>17</v>
      </c>
      <c r="I3" s="35">
        <v>50</v>
      </c>
      <c r="J3" s="35">
        <v>1</v>
      </c>
      <c r="L3" s="35">
        <f t="shared" ca="1" si="0"/>
        <v>52.927999999999997</v>
      </c>
      <c r="M3" s="35">
        <f t="shared" ca="1" si="1"/>
        <v>53.006999999999998</v>
      </c>
      <c r="N3" s="35">
        <f t="shared" ca="1" si="2"/>
        <v>53.046999999999997</v>
      </c>
      <c r="O3" s="35">
        <f t="shared" ca="1" si="3"/>
        <v>52.929000000000002</v>
      </c>
      <c r="P3" s="35">
        <f t="shared" ca="1" si="4"/>
        <v>52.957000000000001</v>
      </c>
      <c r="Q3" s="35">
        <f t="shared" ca="1" si="5"/>
        <v>53.067</v>
      </c>
      <c r="R3" s="35">
        <f t="shared" ca="1" si="6"/>
        <v>52.927999999999997</v>
      </c>
      <c r="S3" s="35">
        <f t="shared" ca="1" si="7"/>
        <v>53.036999999999999</v>
      </c>
      <c r="T3" s="35">
        <f t="shared" ca="1" si="8"/>
        <v>53.076999999999998</v>
      </c>
      <c r="U3" s="35">
        <f t="shared" ca="1" si="9"/>
        <v>53.076999999999998</v>
      </c>
      <c r="W3" s="35">
        <f t="shared" ca="1" si="10"/>
        <v>53.005399999999995</v>
      </c>
      <c r="Y3" s="35">
        <f ca="1">Total!E3</f>
        <v>52.927</v>
      </c>
      <c r="AB3" s="35">
        <f t="shared" ca="1" si="11"/>
        <v>1.8893948268325608E-5</v>
      </c>
      <c r="AC3" s="35">
        <f t="shared" ca="1" si="12"/>
        <v>1.5115158614695391E-3</v>
      </c>
      <c r="AD3" s="35">
        <f t="shared" ca="1" si="13"/>
        <v>2.2672737922043084E-3</v>
      </c>
      <c r="AE3" s="35">
        <f t="shared" ca="1" si="14"/>
        <v>3.7787896536785467E-5</v>
      </c>
      <c r="AF3" s="35">
        <f t="shared" ca="1" si="15"/>
        <v>5.6681844805111072E-4</v>
      </c>
      <c r="AG3" s="35">
        <f t="shared" ca="1" si="16"/>
        <v>2.6451527575717605E-3</v>
      </c>
      <c r="AH3" s="35">
        <f t="shared" ca="1" si="17"/>
        <v>1.8893948268325608E-5</v>
      </c>
      <c r="AI3" s="35">
        <f t="shared" ca="1" si="18"/>
        <v>2.0783343095206498E-3</v>
      </c>
      <c r="AJ3" s="35">
        <f t="shared" ca="1" si="19"/>
        <v>2.8340922402554192E-3</v>
      </c>
      <c r="AK3" s="35">
        <f t="shared" ca="1" si="20"/>
        <v>2.8340922402554192E-3</v>
      </c>
      <c r="AM3" s="35">
        <f t="shared" ca="1" si="21"/>
        <v>1.4812855442401645E-2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5.2939999999999996</v>
      </c>
      <c r="F4">
        <v>242</v>
      </c>
      <c r="H4" s="35" t="s">
        <v>17</v>
      </c>
      <c r="I4" s="35">
        <v>100</v>
      </c>
      <c r="J4" s="35">
        <v>1</v>
      </c>
      <c r="L4" s="35">
        <f t="shared" ca="1" si="0"/>
        <v>103.267</v>
      </c>
      <c r="M4" s="35">
        <f t="shared" ca="1" si="1"/>
        <v>103.03700000000001</v>
      </c>
      <c r="N4" s="35">
        <f t="shared" ca="1" si="2"/>
        <v>103.191</v>
      </c>
      <c r="O4" s="35">
        <f t="shared" ca="1" si="3"/>
        <v>103.23699999999999</v>
      </c>
      <c r="P4" s="35">
        <f t="shared" ca="1" si="4"/>
        <v>103.242</v>
      </c>
      <c r="Q4" s="35">
        <f t="shared" ca="1" si="5"/>
        <v>103.258</v>
      </c>
      <c r="R4" s="35">
        <f t="shared" ca="1" si="6"/>
        <v>103.232</v>
      </c>
      <c r="S4" s="35">
        <f t="shared" ca="1" si="7"/>
        <v>103.233</v>
      </c>
      <c r="T4" s="35">
        <f t="shared" ca="1" si="8"/>
        <v>103.038</v>
      </c>
      <c r="U4" s="35">
        <f t="shared" ca="1" si="9"/>
        <v>103.282</v>
      </c>
      <c r="W4" s="35">
        <f t="shared" ca="1" si="10"/>
        <v>103.20169999999999</v>
      </c>
      <c r="Y4" s="35">
        <f ca="1">Total!E4</f>
        <v>102.80200000000001</v>
      </c>
      <c r="AB4" s="35">
        <f t="shared" ca="1" si="11"/>
        <v>4.5232583023675525E-3</v>
      </c>
      <c r="AC4" s="35">
        <f t="shared" ca="1" si="12"/>
        <v>2.2859477442073056E-3</v>
      </c>
      <c r="AD4" s="35">
        <f t="shared" ca="1" si="13"/>
        <v>3.7839730744537634E-3</v>
      </c>
      <c r="AE4" s="35">
        <f t="shared" ca="1" si="14"/>
        <v>4.2314351860857575E-3</v>
      </c>
      <c r="AF4" s="35">
        <f t="shared" ca="1" si="15"/>
        <v>4.2800723721328152E-3</v>
      </c>
      <c r="AG4" s="35">
        <f t="shared" ca="1" si="16"/>
        <v>4.4357113674830138E-3</v>
      </c>
      <c r="AH4" s="35">
        <f t="shared" ca="1" si="17"/>
        <v>4.1827980000388376E-3</v>
      </c>
      <c r="AI4" s="35">
        <f t="shared" ca="1" si="18"/>
        <v>4.1925254372482765E-3</v>
      </c>
      <c r="AJ4" s="35">
        <f t="shared" ca="1" si="19"/>
        <v>2.2956751814166066E-3</v>
      </c>
      <c r="AK4" s="35">
        <f t="shared" ca="1" si="20"/>
        <v>4.6691698605084509E-3</v>
      </c>
      <c r="AM4" s="35">
        <f t="shared" ca="1" si="21"/>
        <v>3.8880566525942385E-2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5.3</v>
      </c>
      <c r="F5">
        <v>222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5.2759999999999998</v>
      </c>
      <c r="F6">
        <v>240</v>
      </c>
      <c r="H6" s="35" t="s">
        <v>18</v>
      </c>
      <c r="I6" s="35">
        <v>50</v>
      </c>
      <c r="J6" s="35">
        <v>1</v>
      </c>
      <c r="L6" s="35">
        <f t="shared" ca="1" si="0"/>
        <v>180.137</v>
      </c>
      <c r="M6" s="35">
        <f t="shared" ca="1" si="1"/>
        <v>180.137</v>
      </c>
      <c r="N6" s="35">
        <f t="shared" ca="1" si="2"/>
        <v>179.93799999999999</v>
      </c>
      <c r="O6" s="35">
        <f t="shared" ca="1" si="3"/>
        <v>180.24299999999999</v>
      </c>
      <c r="P6" s="35">
        <f t="shared" ca="1" si="4"/>
        <v>180.137</v>
      </c>
      <c r="Q6" s="35">
        <f t="shared" ca="1" si="5"/>
        <v>179.93799999999999</v>
      </c>
      <c r="R6" s="35">
        <f t="shared" ca="1" si="6"/>
        <v>180.12</v>
      </c>
      <c r="S6" s="35">
        <f t="shared" ca="1" si="7"/>
        <v>180.12</v>
      </c>
      <c r="T6" s="35">
        <f t="shared" ca="1" si="8"/>
        <v>181.89</v>
      </c>
      <c r="U6" s="35">
        <f t="shared" ca="1" si="9"/>
        <v>179.673</v>
      </c>
      <c r="W6" s="35">
        <f t="shared" ca="1" si="10"/>
        <v>180.23329999999993</v>
      </c>
      <c r="Y6" s="35">
        <f ca="1">Total!E6</f>
        <v>179.673</v>
      </c>
      <c r="AB6" s="35">
        <f t="shared" ca="1" si="11"/>
        <v>2.5824692636066556E-3</v>
      </c>
      <c r="AC6" s="35">
        <f t="shared" ca="1" si="12"/>
        <v>2.5824692636066556E-3</v>
      </c>
      <c r="AD6" s="35">
        <f t="shared" ca="1" si="13"/>
        <v>1.4749016268442469E-3</v>
      </c>
      <c r="AE6" s="35">
        <f t="shared" ca="1" si="14"/>
        <v>3.1724299143443542E-3</v>
      </c>
      <c r="AF6" s="35">
        <f t="shared" ca="1" si="15"/>
        <v>2.5824692636066556E-3</v>
      </c>
      <c r="AG6" s="35">
        <f t="shared" ca="1" si="16"/>
        <v>1.4749016268442469E-3</v>
      </c>
      <c r="AH6" s="35">
        <f t="shared" ca="1" si="17"/>
        <v>2.4878529328279859E-3</v>
      </c>
      <c r="AI6" s="35">
        <f t="shared" ca="1" si="18"/>
        <v>2.4878529328279859E-3</v>
      </c>
      <c r="AJ6" s="35">
        <f t="shared" ca="1" si="19"/>
        <v>1.2339082666844681E-2</v>
      </c>
      <c r="AK6" s="35">
        <f t="shared" ca="1" si="20"/>
        <v>0</v>
      </c>
      <c r="AM6" s="35">
        <f t="shared" ca="1" si="21"/>
        <v>3.1184429491353471E-2</v>
      </c>
    </row>
    <row r="7" spans="1:39" x14ac:dyDescent="0.3">
      <c r="A7" t="s">
        <v>17</v>
      </c>
      <c r="B7">
        <v>25</v>
      </c>
      <c r="C7">
        <v>1</v>
      </c>
      <c r="D7">
        <v>28.504000000000001</v>
      </c>
      <c r="E7">
        <v>5.2869999999999999</v>
      </c>
      <c r="F7">
        <v>231</v>
      </c>
      <c r="H7" s="35" t="s">
        <v>18</v>
      </c>
      <c r="I7" s="35">
        <v>100</v>
      </c>
      <c r="J7" s="35">
        <v>1</v>
      </c>
      <c r="L7" s="35">
        <f t="shared" ca="1" si="0"/>
        <v>239.14</v>
      </c>
      <c r="M7" s="35">
        <f t="shared" ca="1" si="1"/>
        <v>239.114</v>
      </c>
      <c r="N7" s="35">
        <f t="shared" ca="1" si="2"/>
        <v>239.25700000000001</v>
      </c>
      <c r="O7" s="35">
        <f t="shared" ca="1" si="3"/>
        <v>239.13300000000001</v>
      </c>
      <c r="P7" s="35">
        <f t="shared" ca="1" si="4"/>
        <v>239.17</v>
      </c>
      <c r="Q7" s="35">
        <f t="shared" ca="1" si="5"/>
        <v>239.37700000000001</v>
      </c>
      <c r="R7" s="35">
        <f t="shared" ca="1" si="6"/>
        <v>239.03700000000001</v>
      </c>
      <c r="S7" s="35">
        <f t="shared" ca="1" si="7"/>
        <v>239.15799999999999</v>
      </c>
      <c r="T7" s="35">
        <f t="shared" ca="1" si="8"/>
        <v>239.279</v>
      </c>
      <c r="U7" s="35">
        <f t="shared" ca="1" si="9"/>
        <v>239.197</v>
      </c>
      <c r="W7" s="35">
        <f t="shared" ca="1" si="10"/>
        <v>239.18620000000001</v>
      </c>
      <c r="Y7" s="35">
        <f ca="1">Total!E7</f>
        <v>238.86699999999999</v>
      </c>
      <c r="AB7" s="35">
        <f t="shared" ca="1" si="11"/>
        <v>1.1428954187895194E-3</v>
      </c>
      <c r="AC7" s="35">
        <f t="shared" ca="1" si="12"/>
        <v>1.0340482360477342E-3</v>
      </c>
      <c r="AD7" s="35">
        <f t="shared" ca="1" si="13"/>
        <v>1.6327077411279699E-3</v>
      </c>
      <c r="AE7" s="35">
        <f t="shared" ca="1" si="14"/>
        <v>1.1135904080514243E-3</v>
      </c>
      <c r="AF7" s="35">
        <f t="shared" ca="1" si="15"/>
        <v>1.2684883219532094E-3</v>
      </c>
      <c r="AG7" s="35">
        <f t="shared" ca="1" si="16"/>
        <v>2.1350793537827299E-3</v>
      </c>
      <c r="AH7" s="35">
        <f t="shared" ca="1" si="17"/>
        <v>7.1169311792761635E-4</v>
      </c>
      <c r="AI7" s="35">
        <f t="shared" ca="1" si="18"/>
        <v>1.2182511606877334E-3</v>
      </c>
      <c r="AJ7" s="35">
        <f t="shared" ca="1" si="19"/>
        <v>1.7248092034479695E-3</v>
      </c>
      <c r="AK7" s="35">
        <f t="shared" ca="1" si="20"/>
        <v>1.3815219348005899E-3</v>
      </c>
      <c r="AM7" s="35">
        <f t="shared" ca="1" si="21"/>
        <v>1.3363084896616497E-2</v>
      </c>
    </row>
    <row r="8" spans="1:39" x14ac:dyDescent="0.3">
      <c r="A8" t="s">
        <v>17</v>
      </c>
      <c r="B8">
        <v>25</v>
      </c>
      <c r="C8">
        <v>1</v>
      </c>
      <c r="D8">
        <v>28.504000000000001</v>
      </c>
      <c r="E8">
        <v>5.282</v>
      </c>
      <c r="F8">
        <v>230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5.3029999999999999</v>
      </c>
      <c r="F9">
        <v>231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28.504000000000001</v>
      </c>
      <c r="E10">
        <v>5.2869999999999999</v>
      </c>
      <c r="F10">
        <v>227</v>
      </c>
      <c r="H10" s="35" t="s">
        <v>19</v>
      </c>
      <c r="I10" s="35">
        <v>100</v>
      </c>
      <c r="J10" s="35">
        <v>1</v>
      </c>
      <c r="L10" s="35">
        <f t="shared" ca="1" si="0"/>
        <v>35277.288999999997</v>
      </c>
      <c r="M10" s="35">
        <f t="shared" ca="1" si="1"/>
        <v>35258.665000000001</v>
      </c>
      <c r="N10" s="35">
        <f t="shared" ca="1" si="2"/>
        <v>35272.953000000001</v>
      </c>
      <c r="O10" s="35">
        <f t="shared" ca="1" si="3"/>
        <v>35229.048000000003</v>
      </c>
      <c r="P10" s="35">
        <f t="shared" ca="1" si="4"/>
        <v>35243.663</v>
      </c>
      <c r="Q10" s="35">
        <f t="shared" ca="1" si="5"/>
        <v>35218.31</v>
      </c>
      <c r="R10" s="35">
        <f t="shared" ca="1" si="6"/>
        <v>35258.703000000001</v>
      </c>
      <c r="S10" s="35">
        <f t="shared" ca="1" si="7"/>
        <v>35248.877</v>
      </c>
      <c r="T10" s="35">
        <f t="shared" ca="1" si="8"/>
        <v>35258.428</v>
      </c>
      <c r="U10" s="35">
        <f t="shared" ca="1" si="9"/>
        <v>35246.271000000001</v>
      </c>
      <c r="W10" s="35">
        <f t="shared" ca="1" si="10"/>
        <v>35251.220700000005</v>
      </c>
      <c r="Y10" s="35">
        <f ca="1">Total!E10</f>
        <v>35210.383000000002</v>
      </c>
      <c r="AB10" s="35">
        <f t="shared" ca="1" si="11"/>
        <v>1.9001781377951895E-3</v>
      </c>
      <c r="AC10" s="35">
        <f t="shared" ca="1" si="12"/>
        <v>1.3712432494698862E-3</v>
      </c>
      <c r="AD10" s="35">
        <f t="shared" ca="1" si="13"/>
        <v>1.7770326440357013E-3</v>
      </c>
      <c r="AE10" s="35">
        <f t="shared" ca="1" si="14"/>
        <v>5.3009931757916047E-4</v>
      </c>
      <c r="AF10" s="35">
        <f t="shared" ca="1" si="15"/>
        <v>9.45175745461185E-4</v>
      </c>
      <c r="AG10" s="35">
        <f t="shared" ca="1" si="16"/>
        <v>2.2513245595755211E-4</v>
      </c>
      <c r="AH10" s="35">
        <f t="shared" ca="1" si="17"/>
        <v>1.3723224765831064E-3</v>
      </c>
      <c r="AI10" s="35">
        <f t="shared" ca="1" si="18"/>
        <v>1.0932570656785748E-3</v>
      </c>
      <c r="AJ10" s="35">
        <f t="shared" ca="1" si="19"/>
        <v>1.3645122803690676E-3</v>
      </c>
      <c r="AK10" s="35">
        <f t="shared" ca="1" si="20"/>
        <v>1.0192448062833911E-3</v>
      </c>
      <c r="AM10" s="35">
        <f t="shared" ca="1" si="21"/>
        <v>1.1598198179212815E-2</v>
      </c>
    </row>
    <row r="11" spans="1:39" x14ac:dyDescent="0.3">
      <c r="A11" t="s">
        <v>17</v>
      </c>
      <c r="B11">
        <v>50</v>
      </c>
      <c r="C11">
        <v>1</v>
      </c>
      <c r="D11">
        <v>52.927999999999997</v>
      </c>
      <c r="E11">
        <v>19.565000000000001</v>
      </c>
      <c r="F11">
        <v>284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657.35599999999999</v>
      </c>
      <c r="N11" s="35">
        <f t="shared" ca="1" si="2"/>
        <v>658.23299999999995</v>
      </c>
      <c r="O11" s="35">
        <f t="shared" ca="1" si="3"/>
        <v>657.35599999999999</v>
      </c>
      <c r="P11" s="35">
        <f t="shared" ca="1" si="4"/>
        <v>658.23299999999995</v>
      </c>
      <c r="Q11" s="35">
        <f t="shared" ca="1" si="5"/>
        <v>657.35599999999999</v>
      </c>
      <c r="R11" s="35">
        <f t="shared" ca="1" si="6"/>
        <v>657.35599999999999</v>
      </c>
      <c r="S11" s="35">
        <f t="shared" ca="1" si="7"/>
        <v>657.33</v>
      </c>
      <c r="T11" s="35">
        <f t="shared" ca="1" si="8"/>
        <v>657.33</v>
      </c>
      <c r="U11" s="35">
        <f t="shared" ca="1" si="9"/>
        <v>657.35599999999999</v>
      </c>
      <c r="W11" s="35">
        <f t="shared" ca="1" si="10"/>
        <v>657.5261999999999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2.8849747888902728E-3</v>
      </c>
      <c r="AD11" s="35">
        <f t="shared" ca="1" si="13"/>
        <v>4.2229562219186613E-3</v>
      </c>
      <c r="AE11" s="35">
        <f t="shared" ca="1" si="14"/>
        <v>2.8849747888902728E-3</v>
      </c>
      <c r="AF11" s="35">
        <f t="shared" ca="1" si="15"/>
        <v>4.2229562219186613E-3</v>
      </c>
      <c r="AG11" s="35">
        <f t="shared" ca="1" si="16"/>
        <v>2.8849747888902728E-3</v>
      </c>
      <c r="AH11" s="35">
        <f t="shared" ca="1" si="17"/>
        <v>2.8849747888902728E-3</v>
      </c>
      <c r="AI11" s="35">
        <f t="shared" ca="1" si="18"/>
        <v>2.8453082925861931E-3</v>
      </c>
      <c r="AJ11" s="35">
        <f t="shared" ca="1" si="19"/>
        <v>2.8453082925861931E-3</v>
      </c>
      <c r="AK11" s="35">
        <f t="shared" ca="1" si="20"/>
        <v>2.8849747888902728E-3</v>
      </c>
      <c r="AM11" s="35">
        <f t="shared" ca="1" si="21"/>
        <v>3.1446377762351339E-2</v>
      </c>
    </row>
    <row r="12" spans="1:39" x14ac:dyDescent="0.3">
      <c r="A12" t="s">
        <v>17</v>
      </c>
      <c r="B12">
        <v>50</v>
      </c>
      <c r="C12">
        <v>1</v>
      </c>
      <c r="D12">
        <v>53.006999999999998</v>
      </c>
      <c r="E12">
        <v>19.600000000000001</v>
      </c>
      <c r="F12">
        <v>280</v>
      </c>
      <c r="H12" s="35" t="s">
        <v>20</v>
      </c>
      <c r="I12" s="35">
        <v>50</v>
      </c>
      <c r="J12" s="35">
        <v>1</v>
      </c>
      <c r="L12" s="35">
        <f t="shared" ca="1" si="0"/>
        <v>995.29399999999998</v>
      </c>
      <c r="M12" s="35">
        <f t="shared" ca="1" si="1"/>
        <v>994.42600000000004</v>
      </c>
      <c r="N12" s="35">
        <f t="shared" ca="1" si="2"/>
        <v>995.03099999999995</v>
      </c>
      <c r="O12" s="35">
        <f t="shared" ca="1" si="3"/>
        <v>990.69799999999998</v>
      </c>
      <c r="P12" s="35">
        <f t="shared" ca="1" si="4"/>
        <v>991.01800000000003</v>
      </c>
      <c r="Q12" s="35">
        <f t="shared" ca="1" si="5"/>
        <v>994.55499999999995</v>
      </c>
      <c r="R12" s="35">
        <f t="shared" ca="1" si="6"/>
        <v>991.00300000000004</v>
      </c>
      <c r="S12" s="35">
        <f t="shared" ca="1" si="7"/>
        <v>993.83</v>
      </c>
      <c r="T12" s="35">
        <f t="shared" ca="1" si="8"/>
        <v>995.18499999999995</v>
      </c>
      <c r="U12" s="35">
        <f t="shared" ca="1" si="9"/>
        <v>993.99699999999996</v>
      </c>
      <c r="W12" s="35">
        <f t="shared" ca="1" si="10"/>
        <v>993.50369999999998</v>
      </c>
      <c r="Y12" s="35">
        <f ca="1">Total!E12</f>
        <v>990.096</v>
      </c>
      <c r="AB12" s="35">
        <f t="shared" ca="1" si="11"/>
        <v>5.2499959599876973E-3</v>
      </c>
      <c r="AC12" s="35">
        <f t="shared" ca="1" si="12"/>
        <v>4.3733132948724574E-3</v>
      </c>
      <c r="AD12" s="35">
        <f t="shared" ca="1" si="13"/>
        <v>4.9843651524700081E-3</v>
      </c>
      <c r="AE12" s="35">
        <f t="shared" ca="1" si="14"/>
        <v>6.0802184838639427E-4</v>
      </c>
      <c r="AF12" s="35">
        <f t="shared" ca="1" si="15"/>
        <v>9.3122283091743175E-4</v>
      </c>
      <c r="AG12" s="35">
        <f t="shared" ca="1" si="16"/>
        <v>4.5036036909551665E-3</v>
      </c>
      <c r="AH12" s="35">
        <f t="shared" ca="1" si="17"/>
        <v>9.1607278486130548E-4</v>
      </c>
      <c r="AI12" s="35">
        <f t="shared" ca="1" si="18"/>
        <v>3.7713514649084911E-3</v>
      </c>
      <c r="AJ12" s="35">
        <f t="shared" ca="1" si="19"/>
        <v>5.139905625313042E-3</v>
      </c>
      <c r="AK12" s="35">
        <f t="shared" ca="1" si="20"/>
        <v>3.9400219776667654E-3</v>
      </c>
      <c r="AM12" s="35">
        <f t="shared" ca="1" si="21"/>
        <v>3.4417874630338754E-2</v>
      </c>
    </row>
    <row r="13" spans="1:39" x14ac:dyDescent="0.3">
      <c r="A13" t="s">
        <v>17</v>
      </c>
      <c r="B13">
        <v>50</v>
      </c>
      <c r="C13">
        <v>1</v>
      </c>
      <c r="D13">
        <v>53.046999999999997</v>
      </c>
      <c r="E13">
        <v>19.561</v>
      </c>
      <c r="F13">
        <v>288</v>
      </c>
      <c r="H13" s="35" t="s">
        <v>20</v>
      </c>
      <c r="I13" s="35">
        <v>100</v>
      </c>
      <c r="J13" s="35">
        <v>1</v>
      </c>
      <c r="L13" s="35">
        <f t="shared" ca="1" si="0"/>
        <v>1755.2729999999999</v>
      </c>
      <c r="M13" s="35">
        <f t="shared" ca="1" si="1"/>
        <v>1755.731</v>
      </c>
      <c r="N13" s="35">
        <f t="shared" ca="1" si="2"/>
        <v>1755.883</v>
      </c>
      <c r="O13" s="35">
        <f t="shared" ca="1" si="3"/>
        <v>1756.5909999999999</v>
      </c>
      <c r="P13" s="35">
        <f t="shared" ca="1" si="4"/>
        <v>1754.998</v>
      </c>
      <c r="Q13" s="35">
        <f t="shared" ca="1" si="5"/>
        <v>1757.9349999999999</v>
      </c>
      <c r="R13" s="35">
        <f t="shared" ca="1" si="6"/>
        <v>1756.99</v>
      </c>
      <c r="S13" s="35">
        <f t="shared" ca="1" si="7"/>
        <v>1760.2049999999999</v>
      </c>
      <c r="T13" s="35">
        <f t="shared" ca="1" si="8"/>
        <v>1757.3920000000001</v>
      </c>
      <c r="U13" s="35">
        <f t="shared" ca="1" si="9"/>
        <v>1756.6030000000001</v>
      </c>
      <c r="W13" s="35">
        <f t="shared" ca="1" si="10"/>
        <v>1756.7601</v>
      </c>
      <c r="Y13" s="35">
        <f ca="1">Total!E13</f>
        <v>1753.79</v>
      </c>
      <c r="AB13" s="35">
        <f t="shared" ca="1" si="11"/>
        <v>8.455972493855862E-4</v>
      </c>
      <c r="AC13" s="35">
        <f t="shared" ca="1" si="12"/>
        <v>1.1067459616031742E-3</v>
      </c>
      <c r="AD13" s="35">
        <f t="shared" ca="1" si="13"/>
        <v>1.1934154032125139E-3</v>
      </c>
      <c r="AE13" s="35">
        <f t="shared" ca="1" si="14"/>
        <v>1.5971125391295029E-3</v>
      </c>
      <c r="AF13" s="35">
        <f t="shared" ca="1" si="15"/>
        <v>6.8879398331618026E-4</v>
      </c>
      <c r="AG13" s="35">
        <f t="shared" ca="1" si="16"/>
        <v>2.363452864938209E-3</v>
      </c>
      <c r="AH13" s="35">
        <f t="shared" ca="1" si="17"/>
        <v>1.8246198233540193E-3</v>
      </c>
      <c r="AI13" s="35">
        <f t="shared" ca="1" si="18"/>
        <v>3.6577925521299377E-3</v>
      </c>
      <c r="AJ13" s="35">
        <f t="shared" ca="1" si="19"/>
        <v>2.0538376886628895E-3</v>
      </c>
      <c r="AK13" s="35">
        <f t="shared" ca="1" si="20"/>
        <v>1.6039548634671779E-3</v>
      </c>
      <c r="AM13" s="35">
        <f t="shared" ca="1" si="21"/>
        <v>1.6935322929199192E-2</v>
      </c>
    </row>
    <row r="14" spans="1:39" x14ac:dyDescent="0.3">
      <c r="A14" t="s">
        <v>17</v>
      </c>
      <c r="B14">
        <v>50</v>
      </c>
      <c r="C14">
        <v>1</v>
      </c>
      <c r="D14">
        <v>52.929000000000002</v>
      </c>
      <c r="E14">
        <v>19.574000000000002</v>
      </c>
      <c r="F14">
        <v>281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52.957000000000001</v>
      </c>
      <c r="E15">
        <v>19.582999999999998</v>
      </c>
      <c r="F15">
        <v>327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76.936000000000007</v>
      </c>
      <c r="M15" s="35">
        <f t="shared" ca="1" si="1"/>
        <v>76.828000000000003</v>
      </c>
      <c r="N15" s="35">
        <f t="shared" ca="1" si="1"/>
        <v>76.575000000000003</v>
      </c>
      <c r="O15" s="35">
        <f t="shared" ca="1" si="1"/>
        <v>76.704999999999998</v>
      </c>
      <c r="P15" s="35">
        <f t="shared" ca="1" si="1"/>
        <v>76.637</v>
      </c>
      <c r="Q15" s="35">
        <f t="shared" ca="1" si="1"/>
        <v>76.858000000000004</v>
      </c>
      <c r="R15" s="35">
        <f t="shared" ca="1" si="1"/>
        <v>76.756</v>
      </c>
      <c r="S15" s="35">
        <f t="shared" ca="1" si="1"/>
        <v>76.626000000000005</v>
      </c>
      <c r="T15" s="35">
        <f t="shared" ca="1" si="1"/>
        <v>76.722999999999999</v>
      </c>
      <c r="U15" s="35">
        <f t="shared" ca="1" si="1"/>
        <v>76.616</v>
      </c>
      <c r="W15" s="35">
        <f t="shared" ca="1" si="10"/>
        <v>76.725999999999985</v>
      </c>
      <c r="Y15" s="35">
        <f ca="1">Total!E15</f>
        <v>75.998000000000005</v>
      </c>
      <c r="AB15" s="35">
        <f t="shared" ca="1" si="11"/>
        <v>1.2342430063949082E-2</v>
      </c>
      <c r="AC15" s="35">
        <f t="shared" ca="1" si="12"/>
        <v>1.0921340035264062E-2</v>
      </c>
      <c r="AD15" s="35">
        <f t="shared" ca="1" si="13"/>
        <v>7.5923050606594667E-3</v>
      </c>
      <c r="AE15" s="35">
        <f t="shared" ca="1" si="14"/>
        <v>9.3028763914839024E-3</v>
      </c>
      <c r="AF15" s="35">
        <f t="shared" ca="1" si="15"/>
        <v>8.4081160030526556E-3</v>
      </c>
      <c r="AG15" s="35">
        <f t="shared" ca="1" si="16"/>
        <v>1.1316087265454347E-2</v>
      </c>
      <c r="AH15" s="35">
        <f t="shared" ca="1" si="17"/>
        <v>9.9739466828073827E-3</v>
      </c>
      <c r="AI15" s="35">
        <f t="shared" ca="1" si="18"/>
        <v>8.2633753519829479E-3</v>
      </c>
      <c r="AJ15" s="35">
        <f t="shared" ca="1" si="19"/>
        <v>9.5397247295980724E-3</v>
      </c>
      <c r="AK15" s="35">
        <f t="shared" ca="1" si="20"/>
        <v>8.1317929419194579E-3</v>
      </c>
      <c r="AM15" s="35">
        <f t="shared" ca="1" si="21"/>
        <v>9.5791994526171376E-2</v>
      </c>
    </row>
    <row r="16" spans="1:39" x14ac:dyDescent="0.3">
      <c r="A16" t="s">
        <v>17</v>
      </c>
      <c r="B16">
        <v>50</v>
      </c>
      <c r="C16">
        <v>1</v>
      </c>
      <c r="D16">
        <v>53.067</v>
      </c>
      <c r="E16">
        <v>19.57</v>
      </c>
      <c r="F16">
        <v>384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119.431</v>
      </c>
      <c r="M16" s="35">
        <f t="shared" ca="1" si="1"/>
        <v>119.432</v>
      </c>
      <c r="N16" s="35">
        <f t="shared" ca="1" si="1"/>
        <v>119.553</v>
      </c>
      <c r="O16" s="35">
        <f t="shared" ca="1" si="1"/>
        <v>119.572</v>
      </c>
      <c r="P16" s="35">
        <f t="shared" ca="1" si="1"/>
        <v>119.377</v>
      </c>
      <c r="Q16" s="35">
        <f t="shared" ca="1" si="1"/>
        <v>119.645</v>
      </c>
      <c r="R16" s="35">
        <f t="shared" ca="1" si="1"/>
        <v>119.756</v>
      </c>
      <c r="S16" s="35">
        <f t="shared" ca="1" si="1"/>
        <v>119.509</v>
      </c>
      <c r="T16" s="35">
        <f t="shared" ca="1" si="1"/>
        <v>119.29</v>
      </c>
      <c r="U16" s="35">
        <f t="shared" ca="1" si="1"/>
        <v>119.255</v>
      </c>
      <c r="W16" s="35">
        <f t="shared" ca="1" si="10"/>
        <v>119.48200000000001</v>
      </c>
      <c r="Y16" s="35">
        <f ca="1">Total!E16</f>
        <v>118.01</v>
      </c>
      <c r="AB16" s="35">
        <f t="shared" ca="1" si="11"/>
        <v>1.2041352427760292E-2</v>
      </c>
      <c r="AC16" s="35">
        <f t="shared" ca="1" si="12"/>
        <v>1.2049826285907948E-2</v>
      </c>
      <c r="AD16" s="35">
        <f t="shared" ca="1" si="13"/>
        <v>1.3075163121769274E-2</v>
      </c>
      <c r="AE16" s="35">
        <f t="shared" ca="1" si="14"/>
        <v>1.3236166426573999E-2</v>
      </c>
      <c r="AF16" s="35">
        <f t="shared" ca="1" si="15"/>
        <v>1.1583764087789087E-2</v>
      </c>
      <c r="AG16" s="35">
        <f t="shared" ca="1" si="16"/>
        <v>1.3854758071349808E-2</v>
      </c>
      <c r="AH16" s="35">
        <f t="shared" ca="1" si="17"/>
        <v>1.4795356325735065E-2</v>
      </c>
      <c r="AI16" s="35">
        <f t="shared" ca="1" si="18"/>
        <v>1.2702313363274258E-2</v>
      </c>
      <c r="AJ16" s="35">
        <f t="shared" ca="1" si="19"/>
        <v>1.0846538428946709E-2</v>
      </c>
      <c r="AK16" s="35">
        <f t="shared" ca="1" si="20"/>
        <v>1.0549953393780107E-2</v>
      </c>
      <c r="AM16" s="35">
        <f t="shared" ca="1" si="21"/>
        <v>0.12473519193288654</v>
      </c>
    </row>
    <row r="17" spans="1:39" x14ac:dyDescent="0.3">
      <c r="A17" t="s">
        <v>17</v>
      </c>
      <c r="B17">
        <v>50</v>
      </c>
      <c r="C17">
        <v>1</v>
      </c>
      <c r="D17">
        <v>52.927999999999997</v>
      </c>
      <c r="E17">
        <v>19.596</v>
      </c>
      <c r="F17">
        <v>407</v>
      </c>
      <c r="H17" s="35" t="s">
        <v>34</v>
      </c>
      <c r="I17" s="35">
        <v>40</v>
      </c>
      <c r="J17" s="35">
        <v>1</v>
      </c>
      <c r="L17" s="35">
        <f t="shared" ca="1" si="22"/>
        <v>16.581</v>
      </c>
      <c r="M17" s="35">
        <f t="shared" ca="1" si="1"/>
        <v>16.616</v>
      </c>
      <c r="N17" s="35">
        <f t="shared" ca="1" si="1"/>
        <v>16.605</v>
      </c>
      <c r="O17" s="35">
        <f t="shared" ca="1" si="1"/>
        <v>16.559999999999999</v>
      </c>
      <c r="P17" s="35">
        <f t="shared" ca="1" si="1"/>
        <v>16.704999999999998</v>
      </c>
      <c r="Q17" s="35">
        <f t="shared" ca="1" si="1"/>
        <v>16.548999999999999</v>
      </c>
      <c r="R17" s="35">
        <f t="shared" ca="1" si="1"/>
        <v>16.75</v>
      </c>
      <c r="S17" s="35">
        <f t="shared" ca="1" si="1"/>
        <v>16.616</v>
      </c>
      <c r="T17" s="35">
        <f t="shared" ca="1" si="1"/>
        <v>16.72</v>
      </c>
      <c r="U17" s="35">
        <f t="shared" ca="1" si="1"/>
        <v>16.75</v>
      </c>
      <c r="W17" s="35">
        <f t="shared" ca="1" si="10"/>
        <v>16.645200000000003</v>
      </c>
      <c r="Y17" s="35">
        <f ca="1">Total!E17</f>
        <v>16.481999999999999</v>
      </c>
      <c r="AB17" s="35">
        <f t="shared" ca="1" si="11"/>
        <v>6.0065526028394737E-3</v>
      </c>
      <c r="AC17" s="35">
        <f t="shared" ca="1" si="12"/>
        <v>8.1300813008130298E-3</v>
      </c>
      <c r="AD17" s="35">
        <f t="shared" ca="1" si="13"/>
        <v>7.4626865671642466E-3</v>
      </c>
      <c r="AE17" s="35">
        <f t="shared" ca="1" si="14"/>
        <v>4.7324353840552972E-3</v>
      </c>
      <c r="AF17" s="35">
        <f t="shared" ca="1" si="15"/>
        <v>1.3529911418517108E-2</v>
      </c>
      <c r="AG17" s="35">
        <f t="shared" ca="1" si="16"/>
        <v>4.0650406504065149E-3</v>
      </c>
      <c r="AH17" s="35">
        <f t="shared" ca="1" si="17"/>
        <v>1.626016260162606E-2</v>
      </c>
      <c r="AI17" s="35">
        <f t="shared" ca="1" si="18"/>
        <v>8.1300813008130298E-3</v>
      </c>
      <c r="AJ17" s="35">
        <f t="shared" ca="1" si="19"/>
        <v>1.4439995146220092E-2</v>
      </c>
      <c r="AK17" s="35">
        <f t="shared" ca="1" si="20"/>
        <v>1.626016260162606E-2</v>
      </c>
      <c r="AM17" s="35">
        <f t="shared" ca="1" si="21"/>
        <v>9.90171095740809E-2</v>
      </c>
    </row>
    <row r="18" spans="1:39" x14ac:dyDescent="0.3">
      <c r="A18" t="s">
        <v>17</v>
      </c>
      <c r="B18">
        <v>50</v>
      </c>
      <c r="C18">
        <v>1</v>
      </c>
      <c r="D18">
        <v>53.036999999999999</v>
      </c>
      <c r="E18">
        <v>19.571000000000002</v>
      </c>
      <c r="F18">
        <v>304</v>
      </c>
      <c r="H18" s="35" t="s">
        <v>34</v>
      </c>
      <c r="I18" s="35">
        <v>96</v>
      </c>
      <c r="J18" s="35">
        <v>1</v>
      </c>
      <c r="L18" s="35">
        <f t="shared" ca="1" si="22"/>
        <v>35.124000000000002</v>
      </c>
      <c r="M18" s="35">
        <f t="shared" ca="1" si="22"/>
        <v>35.142000000000003</v>
      </c>
      <c r="N18" s="35">
        <f t="shared" ca="1" si="22"/>
        <v>35.125999999999998</v>
      </c>
      <c r="O18" s="35">
        <f t="shared" ca="1" si="22"/>
        <v>35.112000000000002</v>
      </c>
      <c r="P18" s="35">
        <f t="shared" ca="1" si="22"/>
        <v>35.155999999999999</v>
      </c>
      <c r="Q18" s="35">
        <f t="shared" ca="1" si="22"/>
        <v>35.182000000000002</v>
      </c>
      <c r="R18" s="35">
        <f t="shared" ca="1" si="22"/>
        <v>35.100999999999999</v>
      </c>
      <c r="S18" s="35">
        <f t="shared" ca="1" si="22"/>
        <v>35.216999999999999</v>
      </c>
      <c r="T18" s="35">
        <f t="shared" ca="1" si="22"/>
        <v>35.128</v>
      </c>
      <c r="U18" s="35">
        <f t="shared" ca="1" si="22"/>
        <v>35.167000000000002</v>
      </c>
      <c r="W18" s="35">
        <f t="shared" ca="1" si="10"/>
        <v>35.145499999999991</v>
      </c>
      <c r="Y18" s="35">
        <f ca="1">Total!E18</f>
        <v>35.069000000000003</v>
      </c>
      <c r="AB18" s="35">
        <f t="shared" ca="1" si="11"/>
        <v>1.5683367076335143E-3</v>
      </c>
      <c r="AC18" s="35">
        <f t="shared" ca="1" si="12"/>
        <v>2.0816105392226867E-3</v>
      </c>
      <c r="AD18" s="35">
        <f t="shared" ca="1" si="13"/>
        <v>1.6253671333655093E-3</v>
      </c>
      <c r="AE18" s="35">
        <f t="shared" ca="1" si="14"/>
        <v>1.2261541532407327E-3</v>
      </c>
      <c r="AF18" s="35">
        <f t="shared" ca="1" si="15"/>
        <v>2.4808235193474631E-3</v>
      </c>
      <c r="AG18" s="35">
        <f t="shared" ca="1" si="16"/>
        <v>3.222219053865224E-3</v>
      </c>
      <c r="AH18" s="35">
        <f t="shared" ca="1" si="17"/>
        <v>9.1248681171394888E-4</v>
      </c>
      <c r="AI18" s="35">
        <f t="shared" ca="1" si="18"/>
        <v>4.2202515041773678E-3</v>
      </c>
      <c r="AJ18" s="35">
        <f t="shared" ca="1" si="19"/>
        <v>1.6823975590977071E-3</v>
      </c>
      <c r="AK18" s="35">
        <f t="shared" ca="1" si="20"/>
        <v>2.7944908608742471E-3</v>
      </c>
      <c r="AM18" s="35">
        <f t="shared" ca="1" si="21"/>
        <v>2.1814137842538401E-2</v>
      </c>
    </row>
    <row r="19" spans="1:39" x14ac:dyDescent="0.3">
      <c r="A19" t="s">
        <v>17</v>
      </c>
      <c r="B19">
        <v>50</v>
      </c>
      <c r="C19">
        <v>1</v>
      </c>
      <c r="D19">
        <v>53.076999999999998</v>
      </c>
      <c r="E19">
        <v>19.545999999999999</v>
      </c>
      <c r="F19">
        <v>280</v>
      </c>
      <c r="H19" s="35" t="s">
        <v>34</v>
      </c>
      <c r="I19" s="35">
        <v>224</v>
      </c>
      <c r="J19" s="35">
        <v>1</v>
      </c>
      <c r="L19" s="35">
        <f t="shared" ca="1" si="22"/>
        <v>71.933999999999997</v>
      </c>
      <c r="M19" s="35">
        <f t="shared" ca="1" si="22"/>
        <v>71.914000000000001</v>
      </c>
      <c r="N19" s="35">
        <f t="shared" ca="1" si="22"/>
        <v>71.918999999999997</v>
      </c>
      <c r="O19" s="35">
        <f t="shared" ca="1" si="22"/>
        <v>71.932000000000002</v>
      </c>
      <c r="P19" s="35">
        <f t="shared" ca="1" si="22"/>
        <v>71.91</v>
      </c>
      <c r="Q19" s="35">
        <f t="shared" ca="1" si="22"/>
        <v>71.924000000000007</v>
      </c>
      <c r="R19" s="35">
        <f t="shared" ca="1" si="22"/>
        <v>71.927999999999997</v>
      </c>
      <c r="S19" s="35">
        <f t="shared" ca="1" si="22"/>
        <v>71.927999999999997</v>
      </c>
      <c r="T19" s="35">
        <f t="shared" ca="1" si="22"/>
        <v>71.977999999999994</v>
      </c>
      <c r="U19" s="35">
        <f t="shared" ca="1" si="22"/>
        <v>71.933999999999997</v>
      </c>
      <c r="W19" s="35">
        <f t="shared" ca="1" si="10"/>
        <v>71.930099999999996</v>
      </c>
      <c r="Y19" s="35">
        <f ca="1">Total!E19</f>
        <v>71.908000000000001</v>
      </c>
      <c r="AB19" s="35">
        <f t="shared" ca="1" si="11"/>
        <v>3.6157312121038338E-4</v>
      </c>
      <c r="AC19" s="35">
        <f t="shared" ca="1" si="12"/>
        <v>8.3439951048565217E-5</v>
      </c>
      <c r="AD19" s="35">
        <f t="shared" ca="1" si="13"/>
        <v>1.5297324358897035E-4</v>
      </c>
      <c r="AE19" s="35">
        <f t="shared" ca="1" si="14"/>
        <v>3.3375980419426087E-4</v>
      </c>
      <c r="AF19" s="35">
        <f t="shared" ca="1" si="15"/>
        <v>2.781331701612253E-5</v>
      </c>
      <c r="AG19" s="35">
        <f t="shared" ca="1" si="16"/>
        <v>2.2250653612957311E-4</v>
      </c>
      <c r="AH19" s="35">
        <f t="shared" ca="1" si="17"/>
        <v>2.7813317016181819E-4</v>
      </c>
      <c r="AI19" s="35">
        <f t="shared" ca="1" si="18"/>
        <v>2.7813317016181819E-4</v>
      </c>
      <c r="AJ19" s="35">
        <f t="shared" ca="1" si="19"/>
        <v>9.7346609556646238E-4</v>
      </c>
      <c r="AK19" s="35">
        <f t="shared" ca="1" si="20"/>
        <v>3.6157312121038338E-4</v>
      </c>
      <c r="AM19" s="35">
        <f t="shared" ca="1" si="21"/>
        <v>3.0733715302883576E-3</v>
      </c>
    </row>
    <row r="20" spans="1:39" x14ac:dyDescent="0.3">
      <c r="A20" t="s">
        <v>17</v>
      </c>
      <c r="B20">
        <v>50</v>
      </c>
      <c r="C20">
        <v>1</v>
      </c>
      <c r="D20">
        <v>53.076999999999998</v>
      </c>
      <c r="E20">
        <v>19.574999999999999</v>
      </c>
      <c r="F20">
        <v>276</v>
      </c>
    </row>
    <row r="21" spans="1:39" x14ac:dyDescent="0.3">
      <c r="A21" t="s">
        <v>17</v>
      </c>
      <c r="B21">
        <v>100</v>
      </c>
      <c r="C21">
        <v>1</v>
      </c>
      <c r="D21">
        <v>103.267</v>
      </c>
      <c r="E21">
        <v>102.057</v>
      </c>
      <c r="F21">
        <v>446</v>
      </c>
    </row>
    <row r="22" spans="1:39" x14ac:dyDescent="0.3">
      <c r="A22" t="s">
        <v>17</v>
      </c>
      <c r="B22">
        <v>100</v>
      </c>
      <c r="C22">
        <v>1</v>
      </c>
      <c r="D22">
        <v>103.03700000000001</v>
      </c>
      <c r="E22">
        <v>102.018</v>
      </c>
      <c r="F22">
        <v>454</v>
      </c>
    </row>
    <row r="23" spans="1:39" x14ac:dyDescent="0.3">
      <c r="A23" t="s">
        <v>17</v>
      </c>
      <c r="B23">
        <v>100</v>
      </c>
      <c r="C23">
        <v>1</v>
      </c>
      <c r="D23">
        <v>103.191</v>
      </c>
      <c r="E23">
        <v>102.027</v>
      </c>
      <c r="F23">
        <v>452</v>
      </c>
    </row>
    <row r="24" spans="1:39" x14ac:dyDescent="0.3">
      <c r="A24" t="s">
        <v>17</v>
      </c>
      <c r="B24">
        <v>100</v>
      </c>
      <c r="C24">
        <v>1</v>
      </c>
      <c r="D24">
        <v>103.23699999999999</v>
      </c>
      <c r="E24">
        <v>102.092</v>
      </c>
      <c r="F24">
        <v>449</v>
      </c>
    </row>
    <row r="25" spans="1:39" x14ac:dyDescent="0.3">
      <c r="A25" t="s">
        <v>17</v>
      </c>
      <c r="B25">
        <v>100</v>
      </c>
      <c r="C25">
        <v>1</v>
      </c>
      <c r="D25">
        <v>103.242</v>
      </c>
      <c r="E25">
        <v>102.002</v>
      </c>
      <c r="F25">
        <v>449</v>
      </c>
    </row>
    <row r="26" spans="1:39" x14ac:dyDescent="0.3">
      <c r="A26" t="s">
        <v>17</v>
      </c>
      <c r="B26">
        <v>100</v>
      </c>
      <c r="C26">
        <v>1</v>
      </c>
      <c r="D26">
        <v>103.258</v>
      </c>
      <c r="E26">
        <v>102.14100000000001</v>
      </c>
      <c r="F26">
        <v>470</v>
      </c>
    </row>
    <row r="27" spans="1:39" x14ac:dyDescent="0.3">
      <c r="A27" t="s">
        <v>17</v>
      </c>
      <c r="B27">
        <v>100</v>
      </c>
      <c r="C27">
        <v>1</v>
      </c>
      <c r="D27">
        <v>103.232</v>
      </c>
      <c r="E27">
        <v>102.03</v>
      </c>
      <c r="F27">
        <v>514</v>
      </c>
    </row>
    <row r="28" spans="1:39" x14ac:dyDescent="0.3">
      <c r="A28" t="s">
        <v>17</v>
      </c>
      <c r="B28">
        <v>100</v>
      </c>
      <c r="C28">
        <v>1</v>
      </c>
      <c r="D28">
        <v>103.233</v>
      </c>
      <c r="E28">
        <v>102.06399999999999</v>
      </c>
      <c r="F28">
        <v>517</v>
      </c>
    </row>
    <row r="29" spans="1:39" x14ac:dyDescent="0.3">
      <c r="A29" t="s">
        <v>17</v>
      </c>
      <c r="B29">
        <v>100</v>
      </c>
      <c r="C29">
        <v>1</v>
      </c>
      <c r="D29">
        <v>103.038</v>
      </c>
      <c r="E29">
        <v>102.149</v>
      </c>
      <c r="F29">
        <v>466</v>
      </c>
    </row>
    <row r="30" spans="1:39" x14ac:dyDescent="0.3">
      <c r="A30" t="s">
        <v>17</v>
      </c>
      <c r="B30">
        <v>100</v>
      </c>
      <c r="C30">
        <v>1</v>
      </c>
      <c r="D30">
        <v>103.282</v>
      </c>
      <c r="E30">
        <v>102.08199999999999</v>
      </c>
      <c r="F30">
        <v>444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8.0150000000000006</v>
      </c>
      <c r="F31">
        <v>238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8.0289999999999999</v>
      </c>
      <c r="F32">
        <v>250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8.0129999999999999</v>
      </c>
      <c r="F33">
        <v>240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8.0020000000000007</v>
      </c>
      <c r="F34">
        <v>247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8.0259999999999998</v>
      </c>
      <c r="F35">
        <v>212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8.0180000000000007</v>
      </c>
      <c r="F36">
        <v>230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7.9969999999999999</v>
      </c>
      <c r="F37">
        <v>249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8.0009999999999994</v>
      </c>
      <c r="F38">
        <v>257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8.0299999999999994</v>
      </c>
      <c r="F39">
        <v>234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</v>
      </c>
      <c r="F40">
        <v>251</v>
      </c>
    </row>
    <row r="41" spans="1:6" x14ac:dyDescent="0.3">
      <c r="A41" t="s">
        <v>18</v>
      </c>
      <c r="B41">
        <v>50</v>
      </c>
      <c r="C41">
        <v>1</v>
      </c>
      <c r="D41">
        <v>180.137</v>
      </c>
      <c r="E41">
        <v>22.402999999999999</v>
      </c>
      <c r="F41">
        <v>284</v>
      </c>
    </row>
    <row r="42" spans="1:6" x14ac:dyDescent="0.3">
      <c r="A42" t="s">
        <v>18</v>
      </c>
      <c r="B42">
        <v>50</v>
      </c>
      <c r="C42">
        <v>1</v>
      </c>
      <c r="D42">
        <v>180.137</v>
      </c>
      <c r="E42">
        <v>22.462</v>
      </c>
      <c r="F42">
        <v>283</v>
      </c>
    </row>
    <row r="43" spans="1:6" x14ac:dyDescent="0.3">
      <c r="A43" t="s">
        <v>18</v>
      </c>
      <c r="B43">
        <v>50</v>
      </c>
      <c r="C43">
        <v>1</v>
      </c>
      <c r="D43">
        <v>179.93799999999999</v>
      </c>
      <c r="E43">
        <v>22.478999999999999</v>
      </c>
      <c r="F43">
        <v>290</v>
      </c>
    </row>
    <row r="44" spans="1:6" x14ac:dyDescent="0.3">
      <c r="A44" t="s">
        <v>18</v>
      </c>
      <c r="B44">
        <v>50</v>
      </c>
      <c r="C44">
        <v>1</v>
      </c>
      <c r="D44">
        <v>180.24299999999999</v>
      </c>
      <c r="E44">
        <v>22.45</v>
      </c>
      <c r="F44">
        <v>296</v>
      </c>
    </row>
    <row r="45" spans="1:6" x14ac:dyDescent="0.3">
      <c r="A45" t="s">
        <v>18</v>
      </c>
      <c r="B45">
        <v>50</v>
      </c>
      <c r="C45">
        <v>1</v>
      </c>
      <c r="D45">
        <v>180.137</v>
      </c>
      <c r="E45">
        <v>22.425000000000001</v>
      </c>
      <c r="F45">
        <v>288</v>
      </c>
    </row>
    <row r="46" spans="1:6" x14ac:dyDescent="0.3">
      <c r="A46" t="s">
        <v>18</v>
      </c>
      <c r="B46">
        <v>50</v>
      </c>
      <c r="C46">
        <v>1</v>
      </c>
      <c r="D46">
        <v>179.93799999999999</v>
      </c>
      <c r="E46">
        <v>22.428000000000001</v>
      </c>
      <c r="F46">
        <v>296</v>
      </c>
    </row>
    <row r="47" spans="1:6" x14ac:dyDescent="0.3">
      <c r="A47" t="s">
        <v>18</v>
      </c>
      <c r="B47">
        <v>50</v>
      </c>
      <c r="C47">
        <v>1</v>
      </c>
      <c r="D47">
        <v>180.12</v>
      </c>
      <c r="E47">
        <v>22.428999999999998</v>
      </c>
      <c r="F47">
        <v>294</v>
      </c>
    </row>
    <row r="48" spans="1:6" x14ac:dyDescent="0.3">
      <c r="A48" t="s">
        <v>18</v>
      </c>
      <c r="B48">
        <v>50</v>
      </c>
      <c r="C48">
        <v>1</v>
      </c>
      <c r="D48">
        <v>180.12</v>
      </c>
      <c r="E48">
        <v>22.446999999999999</v>
      </c>
      <c r="F48">
        <v>288</v>
      </c>
    </row>
    <row r="49" spans="1:6" x14ac:dyDescent="0.3">
      <c r="A49" t="s">
        <v>18</v>
      </c>
      <c r="B49">
        <v>50</v>
      </c>
      <c r="C49">
        <v>1</v>
      </c>
      <c r="D49">
        <v>181.89</v>
      </c>
      <c r="E49">
        <v>22.468</v>
      </c>
      <c r="F49">
        <v>290</v>
      </c>
    </row>
    <row r="50" spans="1:6" x14ac:dyDescent="0.3">
      <c r="A50" t="s">
        <v>18</v>
      </c>
      <c r="B50">
        <v>50</v>
      </c>
      <c r="C50">
        <v>1</v>
      </c>
      <c r="D50">
        <v>179.673</v>
      </c>
      <c r="E50">
        <v>22.466999999999999</v>
      </c>
      <c r="F50">
        <v>286</v>
      </c>
    </row>
    <row r="51" spans="1:6" x14ac:dyDescent="0.3">
      <c r="A51" t="s">
        <v>18</v>
      </c>
      <c r="B51">
        <v>100</v>
      </c>
      <c r="C51">
        <v>1</v>
      </c>
      <c r="D51">
        <v>239.14</v>
      </c>
      <c r="E51">
        <v>138.49799999999999</v>
      </c>
      <c r="F51">
        <v>522</v>
      </c>
    </row>
    <row r="52" spans="1:6" x14ac:dyDescent="0.3">
      <c r="A52" t="s">
        <v>18</v>
      </c>
      <c r="B52">
        <v>100</v>
      </c>
      <c r="C52">
        <v>1</v>
      </c>
      <c r="D52">
        <v>239.114</v>
      </c>
      <c r="E52">
        <v>138.5</v>
      </c>
      <c r="F52">
        <v>579</v>
      </c>
    </row>
    <row r="53" spans="1:6" x14ac:dyDescent="0.3">
      <c r="A53" t="s">
        <v>18</v>
      </c>
      <c r="B53">
        <v>100</v>
      </c>
      <c r="C53">
        <v>1</v>
      </c>
      <c r="D53">
        <v>239.25700000000001</v>
      </c>
      <c r="E53">
        <v>138.56200000000001</v>
      </c>
      <c r="F53">
        <v>569</v>
      </c>
    </row>
    <row r="54" spans="1:6" x14ac:dyDescent="0.3">
      <c r="A54" t="s">
        <v>18</v>
      </c>
      <c r="B54">
        <v>100</v>
      </c>
      <c r="C54">
        <v>1</v>
      </c>
      <c r="D54">
        <v>239.13300000000001</v>
      </c>
      <c r="E54">
        <v>138.54300000000001</v>
      </c>
      <c r="F54">
        <v>514</v>
      </c>
    </row>
    <row r="55" spans="1:6" x14ac:dyDescent="0.3">
      <c r="A55" t="s">
        <v>18</v>
      </c>
      <c r="B55">
        <v>100</v>
      </c>
      <c r="C55">
        <v>1</v>
      </c>
      <c r="D55">
        <v>239.17</v>
      </c>
      <c r="E55">
        <v>138.59899999999999</v>
      </c>
      <c r="F55">
        <v>514</v>
      </c>
    </row>
    <row r="56" spans="1:6" x14ac:dyDescent="0.3">
      <c r="A56" t="s">
        <v>18</v>
      </c>
      <c r="B56">
        <v>100</v>
      </c>
      <c r="C56">
        <v>1</v>
      </c>
      <c r="D56">
        <v>239.37700000000001</v>
      </c>
      <c r="E56">
        <v>138.499</v>
      </c>
      <c r="F56">
        <v>511</v>
      </c>
    </row>
    <row r="57" spans="1:6" x14ac:dyDescent="0.3">
      <c r="A57" t="s">
        <v>18</v>
      </c>
      <c r="B57">
        <v>100</v>
      </c>
      <c r="C57">
        <v>1</v>
      </c>
      <c r="D57">
        <v>239.03700000000001</v>
      </c>
      <c r="E57">
        <v>138.55799999999999</v>
      </c>
      <c r="F57">
        <v>511</v>
      </c>
    </row>
    <row r="58" spans="1:6" x14ac:dyDescent="0.3">
      <c r="A58" t="s">
        <v>18</v>
      </c>
      <c r="B58">
        <v>100</v>
      </c>
      <c r="C58">
        <v>1</v>
      </c>
      <c r="D58">
        <v>239.15799999999999</v>
      </c>
      <c r="E58">
        <v>138.58500000000001</v>
      </c>
      <c r="F58">
        <v>558</v>
      </c>
    </row>
    <row r="59" spans="1:6" x14ac:dyDescent="0.3">
      <c r="A59" t="s">
        <v>18</v>
      </c>
      <c r="B59">
        <v>100</v>
      </c>
      <c r="C59">
        <v>1</v>
      </c>
      <c r="D59">
        <v>239.279</v>
      </c>
      <c r="E59">
        <v>138.566</v>
      </c>
      <c r="F59">
        <v>585</v>
      </c>
    </row>
    <row r="60" spans="1:6" x14ac:dyDescent="0.3">
      <c r="A60" t="s">
        <v>18</v>
      </c>
      <c r="B60">
        <v>100</v>
      </c>
      <c r="C60">
        <v>1</v>
      </c>
      <c r="D60">
        <v>239.197</v>
      </c>
      <c r="E60">
        <v>138.66499999999999</v>
      </c>
      <c r="F60">
        <v>536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4.3250000000000002</v>
      </c>
      <c r="F61">
        <v>223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4.3280000000000003</v>
      </c>
      <c r="F62">
        <v>226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4.3390000000000004</v>
      </c>
      <c r="F63">
        <v>164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4.3109999999999999</v>
      </c>
      <c r="F64">
        <v>180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4.3310000000000004</v>
      </c>
      <c r="F65">
        <v>187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4.3310000000000004</v>
      </c>
      <c r="F66">
        <v>198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4.3179999999999996</v>
      </c>
      <c r="F67">
        <v>187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4.3170000000000002</v>
      </c>
      <c r="F68">
        <v>174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4.3179999999999996</v>
      </c>
      <c r="F69">
        <v>186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4.3220000000000001</v>
      </c>
      <c r="F70">
        <v>184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13.237</v>
      </c>
      <c r="F71">
        <v>295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13.198</v>
      </c>
      <c r="F72">
        <v>302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13.226000000000001</v>
      </c>
      <c r="F73">
        <v>312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13.194000000000001</v>
      </c>
      <c r="F74">
        <v>303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13.21</v>
      </c>
      <c r="F75">
        <v>316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13.207000000000001</v>
      </c>
      <c r="F76">
        <v>329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13.202999999999999</v>
      </c>
      <c r="F77">
        <v>304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13.22</v>
      </c>
      <c r="F78">
        <v>243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13.227</v>
      </c>
      <c r="F79">
        <v>227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13.22</v>
      </c>
      <c r="F80">
        <v>226</v>
      </c>
    </row>
    <row r="81" spans="1:6" x14ac:dyDescent="0.3">
      <c r="A81" t="s">
        <v>19</v>
      </c>
      <c r="B81">
        <v>100</v>
      </c>
      <c r="C81">
        <v>1</v>
      </c>
      <c r="D81">
        <v>35277.288999999997</v>
      </c>
      <c r="E81">
        <v>54.875999999999998</v>
      </c>
      <c r="F81">
        <v>249</v>
      </c>
    </row>
    <row r="82" spans="1:6" x14ac:dyDescent="0.3">
      <c r="A82" t="s">
        <v>19</v>
      </c>
      <c r="B82">
        <v>100</v>
      </c>
      <c r="C82">
        <v>1</v>
      </c>
      <c r="D82">
        <v>35258.665000000001</v>
      </c>
      <c r="E82">
        <v>54.966999999999999</v>
      </c>
      <c r="F82">
        <v>248</v>
      </c>
    </row>
    <row r="83" spans="1:6" x14ac:dyDescent="0.3">
      <c r="A83" t="s">
        <v>19</v>
      </c>
      <c r="B83">
        <v>100</v>
      </c>
      <c r="C83">
        <v>1</v>
      </c>
      <c r="D83">
        <v>35272.953000000001</v>
      </c>
      <c r="E83">
        <v>54.890999999999998</v>
      </c>
      <c r="F83">
        <v>251</v>
      </c>
    </row>
    <row r="84" spans="1:6" x14ac:dyDescent="0.3">
      <c r="A84" t="s">
        <v>19</v>
      </c>
      <c r="B84">
        <v>100</v>
      </c>
      <c r="C84">
        <v>1</v>
      </c>
      <c r="D84">
        <v>35229.048000000003</v>
      </c>
      <c r="E84">
        <v>54.832999999999998</v>
      </c>
      <c r="F84">
        <v>253</v>
      </c>
    </row>
    <row r="85" spans="1:6" x14ac:dyDescent="0.3">
      <c r="A85" t="s">
        <v>19</v>
      </c>
      <c r="B85">
        <v>100</v>
      </c>
      <c r="C85">
        <v>1</v>
      </c>
      <c r="D85">
        <v>35243.663</v>
      </c>
      <c r="E85">
        <v>54.865000000000002</v>
      </c>
      <c r="F85">
        <v>248</v>
      </c>
    </row>
    <row r="86" spans="1:6" x14ac:dyDescent="0.3">
      <c r="A86" t="s">
        <v>19</v>
      </c>
      <c r="B86">
        <v>100</v>
      </c>
      <c r="C86">
        <v>1</v>
      </c>
      <c r="D86">
        <v>35218.31</v>
      </c>
      <c r="E86">
        <v>54.962000000000003</v>
      </c>
      <c r="F86">
        <v>253</v>
      </c>
    </row>
    <row r="87" spans="1:6" x14ac:dyDescent="0.3">
      <c r="A87" t="s">
        <v>19</v>
      </c>
      <c r="B87">
        <v>100</v>
      </c>
      <c r="C87">
        <v>1</v>
      </c>
      <c r="D87">
        <v>35258.703000000001</v>
      </c>
      <c r="E87">
        <v>54.832000000000001</v>
      </c>
      <c r="F87">
        <v>291</v>
      </c>
    </row>
    <row r="88" spans="1:6" x14ac:dyDescent="0.3">
      <c r="A88" t="s">
        <v>19</v>
      </c>
      <c r="B88">
        <v>100</v>
      </c>
      <c r="C88">
        <v>1</v>
      </c>
      <c r="D88">
        <v>35248.877</v>
      </c>
      <c r="E88">
        <v>54.927</v>
      </c>
      <c r="F88">
        <v>290</v>
      </c>
    </row>
    <row r="89" spans="1:6" x14ac:dyDescent="0.3">
      <c r="A89" t="s">
        <v>19</v>
      </c>
      <c r="B89">
        <v>100</v>
      </c>
      <c r="C89">
        <v>1</v>
      </c>
      <c r="D89">
        <v>35258.428</v>
      </c>
      <c r="E89">
        <v>54.927999999999997</v>
      </c>
      <c r="F89">
        <v>284</v>
      </c>
    </row>
    <row r="90" spans="1:6" x14ac:dyDescent="0.3">
      <c r="A90" t="s">
        <v>19</v>
      </c>
      <c r="B90">
        <v>100</v>
      </c>
      <c r="C90">
        <v>1</v>
      </c>
      <c r="D90">
        <v>35246.271000000001</v>
      </c>
      <c r="E90">
        <v>54.892000000000003</v>
      </c>
      <c r="F90">
        <v>294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6.468</v>
      </c>
      <c r="F91">
        <v>241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6.4809999999999999</v>
      </c>
      <c r="F92">
        <v>231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6.476</v>
      </c>
      <c r="F93">
        <v>224</v>
      </c>
    </row>
    <row r="94" spans="1:6" x14ac:dyDescent="0.3">
      <c r="A94" t="s">
        <v>20</v>
      </c>
      <c r="B94">
        <v>30</v>
      </c>
      <c r="C94">
        <v>1</v>
      </c>
      <c r="D94">
        <v>657.35599999999999</v>
      </c>
      <c r="E94">
        <v>6.4939999999999998</v>
      </c>
      <c r="F94">
        <v>217</v>
      </c>
    </row>
    <row r="95" spans="1:6" x14ac:dyDescent="0.3">
      <c r="A95" t="s">
        <v>20</v>
      </c>
      <c r="B95">
        <v>30</v>
      </c>
      <c r="C95">
        <v>1</v>
      </c>
      <c r="D95">
        <v>658.23299999999995</v>
      </c>
      <c r="E95">
        <v>6.4950000000000001</v>
      </c>
      <c r="F95">
        <v>231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6.4740000000000002</v>
      </c>
      <c r="F96">
        <v>209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6.4690000000000003</v>
      </c>
      <c r="F97">
        <v>225</v>
      </c>
    </row>
    <row r="98" spans="1:6" x14ac:dyDescent="0.3">
      <c r="A98" t="s">
        <v>20</v>
      </c>
      <c r="B98">
        <v>30</v>
      </c>
      <c r="C98">
        <v>1</v>
      </c>
      <c r="D98">
        <v>657.33</v>
      </c>
      <c r="E98">
        <v>6.48</v>
      </c>
      <c r="F98">
        <v>221</v>
      </c>
    </row>
    <row r="99" spans="1:6" x14ac:dyDescent="0.3">
      <c r="A99" t="s">
        <v>20</v>
      </c>
      <c r="B99">
        <v>30</v>
      </c>
      <c r="C99">
        <v>1</v>
      </c>
      <c r="D99">
        <v>657.33</v>
      </c>
      <c r="E99">
        <v>6.4660000000000002</v>
      </c>
      <c r="F99">
        <v>223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6.4820000000000002</v>
      </c>
      <c r="F100">
        <v>205</v>
      </c>
    </row>
    <row r="101" spans="1:6" x14ac:dyDescent="0.3">
      <c r="A101" t="s">
        <v>20</v>
      </c>
      <c r="B101">
        <v>50</v>
      </c>
      <c r="C101">
        <v>1</v>
      </c>
      <c r="D101">
        <v>995.29399999999998</v>
      </c>
      <c r="E101">
        <v>14.701000000000001</v>
      </c>
      <c r="F101">
        <v>226</v>
      </c>
    </row>
    <row r="102" spans="1:6" x14ac:dyDescent="0.3">
      <c r="A102" t="s">
        <v>20</v>
      </c>
      <c r="B102">
        <v>50</v>
      </c>
      <c r="C102">
        <v>1</v>
      </c>
      <c r="D102">
        <v>994.42600000000004</v>
      </c>
      <c r="E102">
        <v>14.714</v>
      </c>
      <c r="F102">
        <v>234</v>
      </c>
    </row>
    <row r="103" spans="1:6" x14ac:dyDescent="0.3">
      <c r="A103" t="s">
        <v>20</v>
      </c>
      <c r="B103">
        <v>50</v>
      </c>
      <c r="C103">
        <v>1</v>
      </c>
      <c r="D103">
        <v>995.03099999999995</v>
      </c>
      <c r="E103">
        <v>14.7</v>
      </c>
      <c r="F103">
        <v>225</v>
      </c>
    </row>
    <row r="104" spans="1:6" x14ac:dyDescent="0.3">
      <c r="A104" t="s">
        <v>20</v>
      </c>
      <c r="B104">
        <v>50</v>
      </c>
      <c r="C104">
        <v>1</v>
      </c>
      <c r="D104">
        <v>990.69799999999998</v>
      </c>
      <c r="E104">
        <v>14.7</v>
      </c>
      <c r="F104">
        <v>231</v>
      </c>
    </row>
    <row r="105" spans="1:6" x14ac:dyDescent="0.3">
      <c r="A105" t="s">
        <v>20</v>
      </c>
      <c r="B105">
        <v>50</v>
      </c>
      <c r="C105">
        <v>1</v>
      </c>
      <c r="D105">
        <v>991.01800000000003</v>
      </c>
      <c r="E105">
        <v>14.734</v>
      </c>
      <c r="F105">
        <v>229</v>
      </c>
    </row>
    <row r="106" spans="1:6" x14ac:dyDescent="0.3">
      <c r="A106" t="s">
        <v>20</v>
      </c>
      <c r="B106">
        <v>50</v>
      </c>
      <c r="C106">
        <v>1</v>
      </c>
      <c r="D106">
        <v>994.55499999999995</v>
      </c>
      <c r="E106">
        <v>14.686</v>
      </c>
      <c r="F106">
        <v>233</v>
      </c>
    </row>
    <row r="107" spans="1:6" x14ac:dyDescent="0.3">
      <c r="A107" t="s">
        <v>20</v>
      </c>
      <c r="B107">
        <v>50</v>
      </c>
      <c r="C107">
        <v>1</v>
      </c>
      <c r="D107">
        <v>991.00300000000004</v>
      </c>
      <c r="E107">
        <v>14.72</v>
      </c>
      <c r="F107">
        <v>226</v>
      </c>
    </row>
    <row r="108" spans="1:6" x14ac:dyDescent="0.3">
      <c r="A108" t="s">
        <v>20</v>
      </c>
      <c r="B108">
        <v>50</v>
      </c>
      <c r="C108">
        <v>1</v>
      </c>
      <c r="D108">
        <v>993.83</v>
      </c>
      <c r="E108">
        <v>14.699</v>
      </c>
      <c r="F108">
        <v>234</v>
      </c>
    </row>
    <row r="109" spans="1:6" x14ac:dyDescent="0.3">
      <c r="A109" t="s">
        <v>20</v>
      </c>
      <c r="B109">
        <v>50</v>
      </c>
      <c r="C109">
        <v>1</v>
      </c>
      <c r="D109">
        <v>995.18499999999995</v>
      </c>
      <c r="E109">
        <v>14.69</v>
      </c>
      <c r="F109">
        <v>230</v>
      </c>
    </row>
    <row r="110" spans="1:6" x14ac:dyDescent="0.3">
      <c r="A110" t="s">
        <v>20</v>
      </c>
      <c r="B110">
        <v>50</v>
      </c>
      <c r="C110">
        <v>1</v>
      </c>
      <c r="D110">
        <v>993.99699999999996</v>
      </c>
      <c r="E110">
        <v>14.74</v>
      </c>
      <c r="F110">
        <v>230</v>
      </c>
    </row>
    <row r="111" spans="1:6" x14ac:dyDescent="0.3">
      <c r="A111" t="s">
        <v>20</v>
      </c>
      <c r="B111">
        <v>100</v>
      </c>
      <c r="C111">
        <v>1</v>
      </c>
      <c r="D111">
        <v>1755.2729999999999</v>
      </c>
      <c r="E111">
        <v>32.549999999999997</v>
      </c>
      <c r="F111">
        <v>169</v>
      </c>
    </row>
    <row r="112" spans="1:6" x14ac:dyDescent="0.3">
      <c r="A112" t="s">
        <v>20</v>
      </c>
      <c r="B112">
        <v>100</v>
      </c>
      <c r="C112">
        <v>1</v>
      </c>
      <c r="D112">
        <v>1755.731</v>
      </c>
      <c r="E112">
        <v>32.491</v>
      </c>
      <c r="F112">
        <v>166</v>
      </c>
    </row>
    <row r="113" spans="1:6" x14ac:dyDescent="0.3">
      <c r="A113" t="s">
        <v>20</v>
      </c>
      <c r="B113">
        <v>100</v>
      </c>
      <c r="C113">
        <v>1</v>
      </c>
      <c r="D113">
        <v>1755.883</v>
      </c>
      <c r="E113">
        <v>32.631</v>
      </c>
      <c r="F113">
        <v>165</v>
      </c>
    </row>
    <row r="114" spans="1:6" x14ac:dyDescent="0.3">
      <c r="A114" t="s">
        <v>20</v>
      </c>
      <c r="B114">
        <v>100</v>
      </c>
      <c r="C114">
        <v>1</v>
      </c>
      <c r="D114">
        <v>1756.5909999999999</v>
      </c>
      <c r="E114">
        <v>32.491</v>
      </c>
      <c r="F114">
        <v>163</v>
      </c>
    </row>
    <row r="115" spans="1:6" x14ac:dyDescent="0.3">
      <c r="A115" t="s">
        <v>20</v>
      </c>
      <c r="B115">
        <v>100</v>
      </c>
      <c r="C115">
        <v>1</v>
      </c>
      <c r="D115">
        <v>1754.998</v>
      </c>
      <c r="E115">
        <v>32.527000000000001</v>
      </c>
      <c r="F115">
        <v>161</v>
      </c>
    </row>
    <row r="116" spans="1:6" x14ac:dyDescent="0.3">
      <c r="A116" t="s">
        <v>20</v>
      </c>
      <c r="B116">
        <v>100</v>
      </c>
      <c r="C116">
        <v>1</v>
      </c>
      <c r="D116">
        <v>1757.9349999999999</v>
      </c>
      <c r="E116">
        <v>32.463999999999999</v>
      </c>
      <c r="F116">
        <v>164</v>
      </c>
    </row>
    <row r="117" spans="1:6" x14ac:dyDescent="0.3">
      <c r="A117" t="s">
        <v>20</v>
      </c>
      <c r="B117">
        <v>100</v>
      </c>
      <c r="C117">
        <v>1</v>
      </c>
      <c r="D117">
        <v>1756.99</v>
      </c>
      <c r="E117">
        <v>32.493000000000002</v>
      </c>
      <c r="F117">
        <v>163</v>
      </c>
    </row>
    <row r="118" spans="1:6" x14ac:dyDescent="0.3">
      <c r="A118" t="s">
        <v>20</v>
      </c>
      <c r="B118">
        <v>100</v>
      </c>
      <c r="C118">
        <v>1</v>
      </c>
      <c r="D118">
        <v>1760.2049999999999</v>
      </c>
      <c r="E118">
        <v>32.472999999999999</v>
      </c>
      <c r="F118">
        <v>161</v>
      </c>
    </row>
    <row r="119" spans="1:6" x14ac:dyDescent="0.3">
      <c r="A119" t="s">
        <v>20</v>
      </c>
      <c r="B119">
        <v>100</v>
      </c>
      <c r="C119">
        <v>1</v>
      </c>
      <c r="D119">
        <v>1757.3920000000001</v>
      </c>
      <c r="E119">
        <v>32.5</v>
      </c>
      <c r="F119">
        <v>164</v>
      </c>
    </row>
    <row r="120" spans="1:6" x14ac:dyDescent="0.3">
      <c r="A120" t="s">
        <v>20</v>
      </c>
      <c r="B120">
        <v>100</v>
      </c>
      <c r="C120">
        <v>1</v>
      </c>
      <c r="D120">
        <v>1756.6030000000001</v>
      </c>
      <c r="E120">
        <v>32.558999999999997</v>
      </c>
      <c r="F120">
        <v>163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1.38</v>
      </c>
      <c r="F121">
        <v>391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1.3819999999999999</v>
      </c>
      <c r="F122">
        <v>371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1.3839999999999999</v>
      </c>
      <c r="F123">
        <v>65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1.365</v>
      </c>
      <c r="F124">
        <v>62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1.385</v>
      </c>
      <c r="F125">
        <v>130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1.3680000000000001</v>
      </c>
      <c r="F126">
        <v>76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1.385</v>
      </c>
      <c r="F127">
        <v>330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1.3640000000000001</v>
      </c>
      <c r="F128">
        <v>86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1.373</v>
      </c>
      <c r="F129">
        <v>296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1.37</v>
      </c>
      <c r="F130">
        <v>86</v>
      </c>
    </row>
    <row r="131" spans="1:6" x14ac:dyDescent="0.3">
      <c r="A131" t="s">
        <v>33</v>
      </c>
      <c r="B131">
        <v>209</v>
      </c>
      <c r="C131">
        <v>1</v>
      </c>
      <c r="D131">
        <v>76.936000000000007</v>
      </c>
      <c r="E131">
        <v>180.791</v>
      </c>
      <c r="F131">
        <v>199</v>
      </c>
    </row>
    <row r="132" spans="1:6" x14ac:dyDescent="0.3">
      <c r="A132" t="s">
        <v>33</v>
      </c>
      <c r="B132">
        <v>209</v>
      </c>
      <c r="C132">
        <v>1</v>
      </c>
      <c r="D132">
        <v>76.828000000000003</v>
      </c>
      <c r="E132">
        <v>180.98099999999999</v>
      </c>
      <c r="F132">
        <v>199</v>
      </c>
    </row>
    <row r="133" spans="1:6" x14ac:dyDescent="0.3">
      <c r="A133" t="s">
        <v>33</v>
      </c>
      <c r="B133">
        <v>209</v>
      </c>
      <c r="C133">
        <v>1</v>
      </c>
      <c r="D133">
        <v>76.575000000000003</v>
      </c>
      <c r="E133">
        <v>180.99199999999999</v>
      </c>
      <c r="F133">
        <v>199</v>
      </c>
    </row>
    <row r="134" spans="1:6" x14ac:dyDescent="0.3">
      <c r="A134" t="s">
        <v>33</v>
      </c>
      <c r="B134">
        <v>209</v>
      </c>
      <c r="C134">
        <v>1</v>
      </c>
      <c r="D134">
        <v>76.704999999999998</v>
      </c>
      <c r="E134">
        <v>181.27799999999999</v>
      </c>
      <c r="F134">
        <v>197</v>
      </c>
    </row>
    <row r="135" spans="1:6" x14ac:dyDescent="0.3">
      <c r="A135" t="s">
        <v>33</v>
      </c>
      <c r="B135">
        <v>209</v>
      </c>
      <c r="C135">
        <v>1</v>
      </c>
      <c r="D135">
        <v>76.637</v>
      </c>
      <c r="E135">
        <v>181.32300000000001</v>
      </c>
      <c r="F135">
        <v>197</v>
      </c>
    </row>
    <row r="136" spans="1:6" x14ac:dyDescent="0.3">
      <c r="A136" t="s">
        <v>33</v>
      </c>
      <c r="B136">
        <v>209</v>
      </c>
      <c r="C136">
        <v>1</v>
      </c>
      <c r="D136">
        <v>76.858000000000004</v>
      </c>
      <c r="E136">
        <v>181.31399999999999</v>
      </c>
      <c r="F136">
        <v>197</v>
      </c>
    </row>
    <row r="137" spans="1:6" x14ac:dyDescent="0.3">
      <c r="A137" t="s">
        <v>33</v>
      </c>
      <c r="B137">
        <v>209</v>
      </c>
      <c r="C137">
        <v>1</v>
      </c>
      <c r="D137">
        <v>76.756</v>
      </c>
      <c r="E137">
        <v>180.845</v>
      </c>
      <c r="F137">
        <v>196</v>
      </c>
    </row>
    <row r="138" spans="1:6" x14ac:dyDescent="0.3">
      <c r="A138" t="s">
        <v>33</v>
      </c>
      <c r="B138">
        <v>209</v>
      </c>
      <c r="C138">
        <v>1</v>
      </c>
      <c r="D138">
        <v>76.626000000000005</v>
      </c>
      <c r="E138">
        <v>180.90700000000001</v>
      </c>
      <c r="F138">
        <v>199</v>
      </c>
    </row>
    <row r="139" spans="1:6" x14ac:dyDescent="0.3">
      <c r="A139" t="s">
        <v>33</v>
      </c>
      <c r="B139">
        <v>209</v>
      </c>
      <c r="C139">
        <v>1</v>
      </c>
      <c r="D139">
        <v>76.722999999999999</v>
      </c>
      <c r="E139">
        <v>181.238</v>
      </c>
      <c r="F139">
        <v>198</v>
      </c>
    </row>
    <row r="140" spans="1:6" x14ac:dyDescent="0.3">
      <c r="A140" t="s">
        <v>33</v>
      </c>
      <c r="B140">
        <v>209</v>
      </c>
      <c r="C140">
        <v>1</v>
      </c>
      <c r="D140">
        <v>76.616</v>
      </c>
      <c r="E140">
        <v>181.31100000000001</v>
      </c>
      <c r="F140">
        <v>197</v>
      </c>
    </row>
    <row r="141" spans="1:6" x14ac:dyDescent="0.3">
      <c r="A141" t="s">
        <v>33</v>
      </c>
      <c r="B141">
        <v>324</v>
      </c>
      <c r="C141">
        <v>1</v>
      </c>
      <c r="D141">
        <v>119.431</v>
      </c>
      <c r="E141">
        <v>420.81700000000001</v>
      </c>
      <c r="F141">
        <v>171</v>
      </c>
    </row>
    <row r="142" spans="1:6" x14ac:dyDescent="0.3">
      <c r="A142" t="s">
        <v>33</v>
      </c>
      <c r="B142">
        <v>324</v>
      </c>
      <c r="C142">
        <v>1</v>
      </c>
      <c r="D142">
        <v>119.432</v>
      </c>
      <c r="E142">
        <v>419.34899999999999</v>
      </c>
      <c r="F142">
        <v>168</v>
      </c>
    </row>
    <row r="143" spans="1:6" x14ac:dyDescent="0.3">
      <c r="A143" t="s">
        <v>33</v>
      </c>
      <c r="B143">
        <v>324</v>
      </c>
      <c r="C143">
        <v>1</v>
      </c>
      <c r="D143">
        <v>119.553</v>
      </c>
      <c r="E143">
        <v>419.49599999999998</v>
      </c>
      <c r="F143">
        <v>167</v>
      </c>
    </row>
    <row r="144" spans="1:6" x14ac:dyDescent="0.3">
      <c r="A144" t="s">
        <v>33</v>
      </c>
      <c r="B144">
        <v>324</v>
      </c>
      <c r="C144">
        <v>1</v>
      </c>
      <c r="D144">
        <v>119.572</v>
      </c>
      <c r="E144">
        <v>421.19499999999999</v>
      </c>
      <c r="F144">
        <v>172</v>
      </c>
    </row>
    <row r="145" spans="1:6" x14ac:dyDescent="0.3">
      <c r="A145" t="s">
        <v>33</v>
      </c>
      <c r="B145">
        <v>324</v>
      </c>
      <c r="C145">
        <v>1</v>
      </c>
      <c r="D145">
        <v>119.377</v>
      </c>
      <c r="E145">
        <v>420.18200000000002</v>
      </c>
      <c r="F145">
        <v>169</v>
      </c>
    </row>
    <row r="146" spans="1:6" x14ac:dyDescent="0.3">
      <c r="A146" t="s">
        <v>33</v>
      </c>
      <c r="B146">
        <v>324</v>
      </c>
      <c r="C146">
        <v>1</v>
      </c>
      <c r="D146">
        <v>119.645</v>
      </c>
      <c r="E146">
        <v>419.41399999999999</v>
      </c>
      <c r="F146">
        <v>170</v>
      </c>
    </row>
    <row r="147" spans="1:6" x14ac:dyDescent="0.3">
      <c r="A147" t="s">
        <v>33</v>
      </c>
      <c r="B147">
        <v>324</v>
      </c>
      <c r="C147">
        <v>1</v>
      </c>
      <c r="D147">
        <v>119.756</v>
      </c>
      <c r="E147">
        <v>420.81700000000001</v>
      </c>
      <c r="F147">
        <v>169</v>
      </c>
    </row>
    <row r="148" spans="1:6" x14ac:dyDescent="0.3">
      <c r="A148" t="s">
        <v>33</v>
      </c>
      <c r="B148">
        <v>324</v>
      </c>
      <c r="C148">
        <v>1</v>
      </c>
      <c r="D148">
        <v>119.509</v>
      </c>
      <c r="E148">
        <v>419.98500000000001</v>
      </c>
      <c r="F148">
        <v>168</v>
      </c>
    </row>
    <row r="149" spans="1:6" x14ac:dyDescent="0.3">
      <c r="A149" t="s">
        <v>33</v>
      </c>
      <c r="B149">
        <v>324</v>
      </c>
      <c r="C149">
        <v>1</v>
      </c>
      <c r="D149">
        <v>119.29</v>
      </c>
      <c r="E149">
        <v>419.59199999999998</v>
      </c>
      <c r="F149">
        <v>169</v>
      </c>
    </row>
    <row r="150" spans="1:6" x14ac:dyDescent="0.3">
      <c r="A150" t="s">
        <v>33</v>
      </c>
      <c r="B150">
        <v>324</v>
      </c>
      <c r="C150">
        <v>1</v>
      </c>
      <c r="D150">
        <v>119.255</v>
      </c>
      <c r="E150">
        <v>420.35199999999998</v>
      </c>
      <c r="F150">
        <v>171</v>
      </c>
    </row>
    <row r="151" spans="1:6" x14ac:dyDescent="0.3">
      <c r="A151" t="s">
        <v>34</v>
      </c>
      <c r="B151">
        <v>40</v>
      </c>
      <c r="C151">
        <v>1</v>
      </c>
      <c r="D151">
        <v>16.581</v>
      </c>
      <c r="E151">
        <v>11.61</v>
      </c>
      <c r="F151">
        <v>332</v>
      </c>
    </row>
    <row r="152" spans="1:6" x14ac:dyDescent="0.3">
      <c r="A152" t="s">
        <v>34</v>
      </c>
      <c r="B152">
        <v>40</v>
      </c>
      <c r="C152">
        <v>1</v>
      </c>
      <c r="D152">
        <v>16.616</v>
      </c>
      <c r="E152">
        <v>11.628</v>
      </c>
      <c r="F152">
        <v>350</v>
      </c>
    </row>
    <row r="153" spans="1:6" x14ac:dyDescent="0.3">
      <c r="A153" t="s">
        <v>34</v>
      </c>
      <c r="B153">
        <v>40</v>
      </c>
      <c r="C153">
        <v>1</v>
      </c>
      <c r="D153">
        <v>16.605</v>
      </c>
      <c r="E153">
        <v>11.634</v>
      </c>
      <c r="F153">
        <v>316</v>
      </c>
    </row>
    <row r="154" spans="1:6" x14ac:dyDescent="0.3">
      <c r="A154" t="s">
        <v>34</v>
      </c>
      <c r="B154">
        <v>40</v>
      </c>
      <c r="C154">
        <v>1</v>
      </c>
      <c r="D154">
        <v>16.559999999999999</v>
      </c>
      <c r="E154">
        <v>11.615</v>
      </c>
      <c r="F154">
        <v>328</v>
      </c>
    </row>
    <row r="155" spans="1:6" x14ac:dyDescent="0.3">
      <c r="A155" t="s">
        <v>34</v>
      </c>
      <c r="B155">
        <v>40</v>
      </c>
      <c r="C155">
        <v>1</v>
      </c>
      <c r="D155">
        <v>16.704999999999998</v>
      </c>
      <c r="E155">
        <v>11.619</v>
      </c>
      <c r="F155">
        <v>273</v>
      </c>
    </row>
    <row r="156" spans="1:6" x14ac:dyDescent="0.3">
      <c r="A156" t="s">
        <v>34</v>
      </c>
      <c r="B156">
        <v>40</v>
      </c>
      <c r="C156">
        <v>1</v>
      </c>
      <c r="D156">
        <v>16.548999999999999</v>
      </c>
      <c r="E156">
        <v>11.617000000000001</v>
      </c>
      <c r="F156">
        <v>282</v>
      </c>
    </row>
    <row r="157" spans="1:6" x14ac:dyDescent="0.3">
      <c r="A157" t="s">
        <v>34</v>
      </c>
      <c r="B157">
        <v>40</v>
      </c>
      <c r="C157">
        <v>1</v>
      </c>
      <c r="D157">
        <v>16.75</v>
      </c>
      <c r="E157">
        <v>11.625999999999999</v>
      </c>
      <c r="F157">
        <v>323</v>
      </c>
    </row>
    <row r="158" spans="1:6" x14ac:dyDescent="0.3">
      <c r="A158" t="s">
        <v>34</v>
      </c>
      <c r="B158">
        <v>40</v>
      </c>
      <c r="C158">
        <v>1</v>
      </c>
      <c r="D158">
        <v>16.616</v>
      </c>
      <c r="E158">
        <v>11.631</v>
      </c>
      <c r="F158">
        <v>286</v>
      </c>
    </row>
    <row r="159" spans="1:6" x14ac:dyDescent="0.3">
      <c r="A159" t="s">
        <v>34</v>
      </c>
      <c r="B159">
        <v>40</v>
      </c>
      <c r="C159">
        <v>1</v>
      </c>
      <c r="D159">
        <v>16.72</v>
      </c>
      <c r="E159">
        <v>11.616</v>
      </c>
      <c r="F159">
        <v>289</v>
      </c>
    </row>
    <row r="160" spans="1:6" x14ac:dyDescent="0.3">
      <c r="A160" t="s">
        <v>34</v>
      </c>
      <c r="B160">
        <v>40</v>
      </c>
      <c r="C160">
        <v>1</v>
      </c>
      <c r="D160">
        <v>16.75</v>
      </c>
      <c r="E160">
        <v>11.622</v>
      </c>
      <c r="F160">
        <v>316</v>
      </c>
    </row>
    <row r="161" spans="1:6" x14ac:dyDescent="0.3">
      <c r="A161" t="s">
        <v>34</v>
      </c>
      <c r="B161">
        <v>96</v>
      </c>
      <c r="C161">
        <v>1</v>
      </c>
      <c r="D161">
        <v>35.124000000000002</v>
      </c>
      <c r="E161">
        <v>51.353999999999999</v>
      </c>
      <c r="F161">
        <v>277</v>
      </c>
    </row>
    <row r="162" spans="1:6" x14ac:dyDescent="0.3">
      <c r="A162" t="s">
        <v>34</v>
      </c>
      <c r="B162">
        <v>96</v>
      </c>
      <c r="C162">
        <v>1</v>
      </c>
      <c r="D162">
        <v>35.142000000000003</v>
      </c>
      <c r="E162">
        <v>51.377000000000002</v>
      </c>
      <c r="F162">
        <v>274</v>
      </c>
    </row>
    <row r="163" spans="1:6" x14ac:dyDescent="0.3">
      <c r="A163" t="s">
        <v>34</v>
      </c>
      <c r="B163">
        <v>96</v>
      </c>
      <c r="C163">
        <v>1</v>
      </c>
      <c r="D163">
        <v>35.125999999999998</v>
      </c>
      <c r="E163">
        <v>51.281999999999996</v>
      </c>
      <c r="F163">
        <v>277</v>
      </c>
    </row>
    <row r="164" spans="1:6" x14ac:dyDescent="0.3">
      <c r="A164" t="s">
        <v>34</v>
      </c>
      <c r="B164">
        <v>96</v>
      </c>
      <c r="C164">
        <v>1</v>
      </c>
      <c r="D164">
        <v>35.112000000000002</v>
      </c>
      <c r="E164">
        <v>51.411999999999999</v>
      </c>
      <c r="F164">
        <v>276</v>
      </c>
    </row>
    <row r="165" spans="1:6" x14ac:dyDescent="0.3">
      <c r="A165" t="s">
        <v>34</v>
      </c>
      <c r="B165">
        <v>96</v>
      </c>
      <c r="C165">
        <v>1</v>
      </c>
      <c r="D165">
        <v>35.155999999999999</v>
      </c>
      <c r="E165">
        <v>51.322000000000003</v>
      </c>
      <c r="F165">
        <v>282</v>
      </c>
    </row>
    <row r="166" spans="1:6" x14ac:dyDescent="0.3">
      <c r="A166" t="s">
        <v>34</v>
      </c>
      <c r="B166">
        <v>96</v>
      </c>
      <c r="C166">
        <v>1</v>
      </c>
      <c r="D166">
        <v>35.182000000000002</v>
      </c>
      <c r="E166">
        <v>51.287999999999997</v>
      </c>
      <c r="F166">
        <v>294</v>
      </c>
    </row>
    <row r="167" spans="1:6" x14ac:dyDescent="0.3">
      <c r="A167" t="s">
        <v>34</v>
      </c>
      <c r="B167">
        <v>96</v>
      </c>
      <c r="C167">
        <v>1</v>
      </c>
      <c r="D167">
        <v>35.100999999999999</v>
      </c>
      <c r="E167">
        <v>51.350999999999999</v>
      </c>
      <c r="F167">
        <v>267</v>
      </c>
    </row>
    <row r="168" spans="1:6" x14ac:dyDescent="0.3">
      <c r="A168" t="s">
        <v>34</v>
      </c>
      <c r="B168">
        <v>96</v>
      </c>
      <c r="C168">
        <v>1</v>
      </c>
      <c r="D168">
        <v>35.216999999999999</v>
      </c>
      <c r="E168">
        <v>51.326000000000001</v>
      </c>
      <c r="F168">
        <v>296</v>
      </c>
    </row>
    <row r="169" spans="1:6" x14ac:dyDescent="0.3">
      <c r="A169" t="s">
        <v>34</v>
      </c>
      <c r="B169">
        <v>96</v>
      </c>
      <c r="C169">
        <v>1</v>
      </c>
      <c r="D169">
        <v>35.128</v>
      </c>
      <c r="E169">
        <v>51.415999999999997</v>
      </c>
      <c r="F169">
        <v>271</v>
      </c>
    </row>
    <row r="170" spans="1:6" x14ac:dyDescent="0.3">
      <c r="A170" t="s">
        <v>34</v>
      </c>
      <c r="B170">
        <v>96</v>
      </c>
      <c r="C170">
        <v>1</v>
      </c>
      <c r="D170">
        <v>35.167000000000002</v>
      </c>
      <c r="E170">
        <v>51.290999999999997</v>
      </c>
      <c r="F170">
        <v>290</v>
      </c>
    </row>
    <row r="171" spans="1:6" x14ac:dyDescent="0.3">
      <c r="A171" t="s">
        <v>34</v>
      </c>
      <c r="B171">
        <v>224</v>
      </c>
      <c r="C171">
        <v>1</v>
      </c>
      <c r="D171">
        <v>71.933999999999997</v>
      </c>
      <c r="E171">
        <v>255.47200000000001</v>
      </c>
      <c r="F171">
        <v>241</v>
      </c>
    </row>
    <row r="172" spans="1:6" x14ac:dyDescent="0.3">
      <c r="A172" t="s">
        <v>34</v>
      </c>
      <c r="B172">
        <v>224</v>
      </c>
      <c r="C172">
        <v>1</v>
      </c>
      <c r="D172">
        <v>71.914000000000001</v>
      </c>
      <c r="E172">
        <v>256.00599999999997</v>
      </c>
      <c r="F172">
        <v>243</v>
      </c>
    </row>
    <row r="173" spans="1:6" x14ac:dyDescent="0.3">
      <c r="A173" t="s">
        <v>34</v>
      </c>
      <c r="B173">
        <v>224</v>
      </c>
      <c r="C173">
        <v>1</v>
      </c>
      <c r="D173">
        <v>71.918999999999997</v>
      </c>
      <c r="E173">
        <v>255.74299999999999</v>
      </c>
      <c r="F173">
        <v>245</v>
      </c>
    </row>
    <row r="174" spans="1:6" x14ac:dyDescent="0.3">
      <c r="A174" t="s">
        <v>34</v>
      </c>
      <c r="B174">
        <v>224</v>
      </c>
      <c r="C174">
        <v>1</v>
      </c>
      <c r="D174">
        <v>71.932000000000002</v>
      </c>
      <c r="E174">
        <v>256.01499999999999</v>
      </c>
      <c r="F174">
        <v>243</v>
      </c>
    </row>
    <row r="175" spans="1:6" x14ac:dyDescent="0.3">
      <c r="A175" t="s">
        <v>34</v>
      </c>
      <c r="B175">
        <v>224</v>
      </c>
      <c r="C175">
        <v>1</v>
      </c>
      <c r="D175">
        <v>71.91</v>
      </c>
      <c r="E175">
        <v>255.47300000000001</v>
      </c>
      <c r="F175">
        <v>244</v>
      </c>
    </row>
    <row r="176" spans="1:6" x14ac:dyDescent="0.3">
      <c r="A176" t="s">
        <v>34</v>
      </c>
      <c r="B176">
        <v>224</v>
      </c>
      <c r="C176">
        <v>1</v>
      </c>
      <c r="D176">
        <v>71.924000000000007</v>
      </c>
      <c r="E176">
        <v>256.02699999999999</v>
      </c>
      <c r="F176">
        <v>241</v>
      </c>
    </row>
    <row r="177" spans="1:6" x14ac:dyDescent="0.3">
      <c r="A177" t="s">
        <v>34</v>
      </c>
      <c r="B177">
        <v>224</v>
      </c>
      <c r="C177">
        <v>1</v>
      </c>
      <c r="D177">
        <v>71.927999999999997</v>
      </c>
      <c r="E177">
        <v>255.429</v>
      </c>
      <c r="F177">
        <v>241</v>
      </c>
    </row>
    <row r="178" spans="1:6" x14ac:dyDescent="0.3">
      <c r="A178" t="s">
        <v>34</v>
      </c>
      <c r="B178">
        <v>224</v>
      </c>
      <c r="C178">
        <v>1</v>
      </c>
      <c r="D178">
        <v>71.927999999999997</v>
      </c>
      <c r="E178">
        <v>255.834</v>
      </c>
      <c r="F178">
        <v>240</v>
      </c>
    </row>
    <row r="179" spans="1:6" x14ac:dyDescent="0.3">
      <c r="A179" t="s">
        <v>34</v>
      </c>
      <c r="B179">
        <v>224</v>
      </c>
      <c r="C179">
        <v>1</v>
      </c>
      <c r="D179">
        <v>71.977999999999994</v>
      </c>
      <c r="E179">
        <v>256.08699999999999</v>
      </c>
      <c r="F179">
        <v>248</v>
      </c>
    </row>
    <row r="180" spans="1:6" x14ac:dyDescent="0.3">
      <c r="A180" t="s">
        <v>34</v>
      </c>
      <c r="B180">
        <v>224</v>
      </c>
      <c r="C180">
        <v>1</v>
      </c>
      <c r="D180">
        <v>71.933999999999997</v>
      </c>
      <c r="E180">
        <v>255.999</v>
      </c>
      <c r="F180">
        <v>237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5"/>
    <col min="2" max="2" width="4.33203125"/>
    <col min="3" max="3" width="2.58203125"/>
    <col min="4" max="4" width="10.5" bestFit="1" customWidth="1"/>
    <col min="5" max="5" width="7.25"/>
    <col min="6" max="6" width="4.75" customWidth="1"/>
    <col min="7" max="7" width="2.5"/>
    <col min="8" max="8" width="10"/>
    <col min="9" max="9" width="4.33203125"/>
    <col min="10" max="10" width="3.33203125"/>
    <col min="11" max="11" width="2.5"/>
    <col min="12" max="21" width="9.5"/>
    <col min="22" max="22" width="2.5"/>
    <col min="23" max="23" width="9.5"/>
    <col min="24" max="24" width="2.58203125"/>
    <col min="25" max="25" width="9.5"/>
    <col min="26" max="26" width="2.25"/>
    <col min="27" max="27" width="3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28.504000000000001</v>
      </c>
      <c r="E1">
        <v>5.2789999999999999</v>
      </c>
      <c r="F1">
        <v>214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28.591999999999999</v>
      </c>
      <c r="E2">
        <v>5.2809999999999997</v>
      </c>
      <c r="F2">
        <v>241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28.504000000000001</v>
      </c>
      <c r="M2" s="35">
        <f t="shared" ref="M2:U17" ca="1" si="1">INDIRECT("D"&amp;1+(ROW(E1)-1)*10+COLUMN(B1)-1)</f>
        <v>28.591999999999999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28.542199999999998</v>
      </c>
      <c r="Y2" s="35">
        <f ca="1">Total!E2</f>
        <v>28.504000000000001</v>
      </c>
      <c r="AB2" s="35">
        <f t="shared" ref="AB2:AB19" ca="1" si="11">(L2-$Y2)/$Y2</f>
        <v>0</v>
      </c>
      <c r="AC2" s="35">
        <f t="shared" ref="AC2:AC19" ca="1" si="12">(M2-$Y2)/$Y2</f>
        <v>3.0872859949479868E-3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0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1.3401627841705855E-2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5.298</v>
      </c>
      <c r="F3">
        <v>218</v>
      </c>
      <c r="H3" s="35" t="s">
        <v>17</v>
      </c>
      <c r="I3" s="35">
        <v>50</v>
      </c>
      <c r="J3" s="35">
        <v>1</v>
      </c>
      <c r="L3" s="35">
        <f t="shared" ca="1" si="0"/>
        <v>53.137</v>
      </c>
      <c r="M3" s="35">
        <f t="shared" ca="1" si="1"/>
        <v>53.106999999999999</v>
      </c>
      <c r="N3" s="35">
        <f t="shared" ca="1" si="2"/>
        <v>52.927999999999997</v>
      </c>
      <c r="O3" s="35">
        <f t="shared" ca="1" si="3"/>
        <v>53.017000000000003</v>
      </c>
      <c r="P3" s="35">
        <f t="shared" ca="1" si="4"/>
        <v>52.957999999999998</v>
      </c>
      <c r="Q3" s="35">
        <f t="shared" ca="1" si="5"/>
        <v>52.957000000000001</v>
      </c>
      <c r="R3" s="35">
        <f t="shared" ca="1" si="6"/>
        <v>53.097000000000001</v>
      </c>
      <c r="S3" s="35">
        <f t="shared" ca="1" si="7"/>
        <v>53.152000000000001</v>
      </c>
      <c r="T3" s="35">
        <f t="shared" ca="1" si="8"/>
        <v>52.972000000000001</v>
      </c>
      <c r="U3" s="35">
        <f t="shared" ca="1" si="9"/>
        <v>52.978000000000002</v>
      </c>
      <c r="W3" s="35">
        <f t="shared" ca="1" si="10"/>
        <v>53.03029999999999</v>
      </c>
      <c r="Y3" s="35">
        <f ca="1">Total!E3</f>
        <v>52.927</v>
      </c>
      <c r="AB3" s="35">
        <f t="shared" ca="1" si="11"/>
        <v>3.967729136357641E-3</v>
      </c>
      <c r="AC3" s="35">
        <f t="shared" ca="1" si="12"/>
        <v>3.4009106883065299E-3</v>
      </c>
      <c r="AD3" s="35">
        <f t="shared" ca="1" si="13"/>
        <v>1.8893948268325608E-5</v>
      </c>
      <c r="AE3" s="35">
        <f t="shared" ca="1" si="14"/>
        <v>1.7004553441533322E-3</v>
      </c>
      <c r="AF3" s="35">
        <f t="shared" ca="1" si="15"/>
        <v>5.8571239631943631E-4</v>
      </c>
      <c r="AG3" s="35">
        <f t="shared" ca="1" si="16"/>
        <v>5.6681844805111072E-4</v>
      </c>
      <c r="AH3" s="35">
        <f t="shared" ca="1" si="17"/>
        <v>3.2119712056228713E-3</v>
      </c>
      <c r="AI3" s="35">
        <f t="shared" ca="1" si="18"/>
        <v>4.2511383603831962E-3</v>
      </c>
      <c r="AJ3" s="35">
        <f t="shared" ca="1" si="19"/>
        <v>8.5022767207666608E-4</v>
      </c>
      <c r="AK3" s="35">
        <f t="shared" ca="1" si="20"/>
        <v>9.635913616868882E-4</v>
      </c>
      <c r="AM3" s="35">
        <f t="shared" ca="1" si="21"/>
        <v>1.9517448561225999E-2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5.2869999999999999</v>
      </c>
      <c r="F4">
        <v>227</v>
      </c>
      <c r="H4" s="35" t="s">
        <v>17</v>
      </c>
      <c r="I4" s="35">
        <v>100</v>
      </c>
      <c r="J4" s="35">
        <v>1</v>
      </c>
      <c r="L4" s="35">
        <f t="shared" ca="1" si="0"/>
        <v>103.062</v>
      </c>
      <c r="M4" s="35">
        <f t="shared" ca="1" si="1"/>
        <v>103.143</v>
      </c>
      <c r="N4" s="35">
        <f t="shared" ca="1" si="2"/>
        <v>103.27200000000001</v>
      </c>
      <c r="O4" s="35">
        <f t="shared" ca="1" si="3"/>
        <v>103.351</v>
      </c>
      <c r="P4" s="35">
        <f t="shared" ca="1" si="4"/>
        <v>103.361</v>
      </c>
      <c r="Q4" s="35">
        <f t="shared" ca="1" si="5"/>
        <v>103.28</v>
      </c>
      <c r="R4" s="35">
        <f t="shared" ca="1" si="6"/>
        <v>103.28100000000001</v>
      </c>
      <c r="S4" s="35">
        <f t="shared" ca="1" si="7"/>
        <v>103.56</v>
      </c>
      <c r="T4" s="35">
        <f t="shared" ca="1" si="8"/>
        <v>103.261</v>
      </c>
      <c r="U4" s="35">
        <f t="shared" ca="1" si="9"/>
        <v>103.26300000000001</v>
      </c>
      <c r="W4" s="35">
        <f t="shared" ca="1" si="10"/>
        <v>103.28339999999999</v>
      </c>
      <c r="Y4" s="35">
        <f ca="1">Total!E4</f>
        <v>102.80200000000001</v>
      </c>
      <c r="AB4" s="35">
        <f t="shared" ca="1" si="11"/>
        <v>2.5291336744420428E-3</v>
      </c>
      <c r="AC4" s="35">
        <f t="shared" ca="1" si="12"/>
        <v>3.3170560884028906E-3</v>
      </c>
      <c r="AD4" s="35">
        <f t="shared" ca="1" si="13"/>
        <v>4.5718954884146111E-3</v>
      </c>
      <c r="AE4" s="35">
        <f t="shared" ca="1" si="14"/>
        <v>5.3403630279565805E-3</v>
      </c>
      <c r="AF4" s="35">
        <f t="shared" ca="1" si="15"/>
        <v>5.4376374000505582E-3</v>
      </c>
      <c r="AG4" s="35">
        <f t="shared" ca="1" si="16"/>
        <v>4.64971498608971E-3</v>
      </c>
      <c r="AH4" s="35">
        <f t="shared" ca="1" si="17"/>
        <v>4.6594424232991498E-3</v>
      </c>
      <c r="AI4" s="35">
        <f t="shared" ca="1" si="18"/>
        <v>7.3733974047197086E-3</v>
      </c>
      <c r="AJ4" s="35">
        <f t="shared" ca="1" si="19"/>
        <v>4.4648936791111937E-3</v>
      </c>
      <c r="AK4" s="35">
        <f t="shared" ca="1" si="20"/>
        <v>4.4843485535300725E-3</v>
      </c>
      <c r="AM4" s="35">
        <f t="shared" ca="1" si="21"/>
        <v>4.6827882726016519E-2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5.2939999999999996</v>
      </c>
      <c r="F5">
        <v>231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28.504000000000001</v>
      </c>
      <c r="E6">
        <v>5.2779999999999996</v>
      </c>
      <c r="F6">
        <v>231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179.93799999999999</v>
      </c>
      <c r="N6" s="35">
        <f t="shared" ca="1" si="2"/>
        <v>179.93799999999999</v>
      </c>
      <c r="O6" s="35">
        <f t="shared" ca="1" si="3"/>
        <v>179.93799999999999</v>
      </c>
      <c r="P6" s="35">
        <f t="shared" ca="1" si="4"/>
        <v>179.673</v>
      </c>
      <c r="Q6" s="35">
        <f t="shared" ca="1" si="5"/>
        <v>180.053</v>
      </c>
      <c r="R6" s="35">
        <f t="shared" ca="1" si="6"/>
        <v>179.93799999999999</v>
      </c>
      <c r="S6" s="35">
        <f t="shared" ca="1" si="7"/>
        <v>180.363</v>
      </c>
      <c r="T6" s="35">
        <f t="shared" ca="1" si="8"/>
        <v>181.40799999999999</v>
      </c>
      <c r="U6" s="35">
        <f t="shared" ca="1" si="9"/>
        <v>179.93799999999999</v>
      </c>
      <c r="W6" s="35">
        <f t="shared" ca="1" si="10"/>
        <v>180.11250000000001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1.4749016268442469E-3</v>
      </c>
      <c r="AD6" s="35">
        <f t="shared" ca="1" si="13"/>
        <v>1.4749016268442469E-3</v>
      </c>
      <c r="AE6" s="35">
        <f t="shared" ca="1" si="14"/>
        <v>1.4749016268442469E-3</v>
      </c>
      <c r="AF6" s="35">
        <f t="shared" ca="1" si="15"/>
        <v>0</v>
      </c>
      <c r="AG6" s="35">
        <f t="shared" ca="1" si="16"/>
        <v>2.1149532762295697E-3</v>
      </c>
      <c r="AH6" s="35">
        <f t="shared" ca="1" si="17"/>
        <v>1.4749016268442469E-3</v>
      </c>
      <c r="AI6" s="35">
        <f t="shared" ca="1" si="18"/>
        <v>3.8403098963116201E-3</v>
      </c>
      <c r="AJ6" s="35">
        <f t="shared" ca="1" si="19"/>
        <v>9.6564314059429356E-3</v>
      </c>
      <c r="AK6" s="35">
        <f t="shared" ca="1" si="20"/>
        <v>1.4749016268442469E-3</v>
      </c>
      <c r="AM6" s="35">
        <f t="shared" ca="1" si="21"/>
        <v>2.4461104339549608E-2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5.2889999999999997</v>
      </c>
      <c r="F7">
        <v>228</v>
      </c>
      <c r="H7" s="35" t="s">
        <v>18</v>
      </c>
      <c r="I7" s="35">
        <v>100</v>
      </c>
      <c r="J7" s="35">
        <v>1</v>
      </c>
      <c r="L7" s="35">
        <f t="shared" ca="1" si="0"/>
        <v>239.16900000000001</v>
      </c>
      <c r="M7" s="35">
        <f t="shared" ca="1" si="1"/>
        <v>239.30699999999999</v>
      </c>
      <c r="N7" s="35">
        <f t="shared" ca="1" si="2"/>
        <v>239.23699999999999</v>
      </c>
      <c r="O7" s="35">
        <f t="shared" ca="1" si="3"/>
        <v>239.178</v>
      </c>
      <c r="P7" s="35">
        <f t="shared" ca="1" si="4"/>
        <v>238.96700000000001</v>
      </c>
      <c r="Q7" s="35">
        <f t="shared" ca="1" si="5"/>
        <v>239.143</v>
      </c>
      <c r="R7" s="35">
        <f t="shared" ca="1" si="6"/>
        <v>239.374</v>
      </c>
      <c r="S7" s="35">
        <f t="shared" ca="1" si="7"/>
        <v>240.643</v>
      </c>
      <c r="T7" s="35">
        <f t="shared" ca="1" si="8"/>
        <v>239.249</v>
      </c>
      <c r="U7" s="35">
        <f t="shared" ca="1" si="9"/>
        <v>239.22900000000001</v>
      </c>
      <c r="W7" s="35">
        <f t="shared" ca="1" si="10"/>
        <v>239.34959999999995</v>
      </c>
      <c r="Y7" s="35">
        <f ca="1">Total!E7</f>
        <v>238.86699999999999</v>
      </c>
      <c r="AB7" s="35">
        <f t="shared" ca="1" si="11"/>
        <v>1.2643018918478523E-3</v>
      </c>
      <c r="AC7" s="35">
        <f t="shared" ca="1" si="12"/>
        <v>1.8420292464007074E-3</v>
      </c>
      <c r="AD7" s="35">
        <f t="shared" ca="1" si="13"/>
        <v>1.5489791390188037E-3</v>
      </c>
      <c r="AE7" s="35">
        <f t="shared" ca="1" si="14"/>
        <v>1.3019797627968998E-3</v>
      </c>
      <c r="AF7" s="35">
        <f t="shared" ca="1" si="15"/>
        <v>4.1864301054571264E-4</v>
      </c>
      <c r="AG7" s="35">
        <f t="shared" ca="1" si="16"/>
        <v>1.155454709105948E-3</v>
      </c>
      <c r="AH7" s="35">
        <f t="shared" ca="1" si="17"/>
        <v>2.1225200634663014E-3</v>
      </c>
      <c r="AI7" s="35">
        <f t="shared" ca="1" si="18"/>
        <v>7.4350998672902098E-3</v>
      </c>
      <c r="AJ7" s="35">
        <f t="shared" ca="1" si="19"/>
        <v>1.5992163002842795E-3</v>
      </c>
      <c r="AK7" s="35">
        <f t="shared" ca="1" si="20"/>
        <v>1.5154876981752323E-3</v>
      </c>
      <c r="AM7" s="35">
        <f t="shared" ca="1" si="21"/>
        <v>2.0203711688931949E-2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5.2949999999999999</v>
      </c>
      <c r="F8">
        <v>207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5.3090000000000002</v>
      </c>
      <c r="F9">
        <v>232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5.2949999999999999</v>
      </c>
      <c r="F10">
        <v>252</v>
      </c>
      <c r="H10" s="35" t="s">
        <v>19</v>
      </c>
      <c r="I10" s="35">
        <v>100</v>
      </c>
      <c r="J10" s="35">
        <v>1</v>
      </c>
      <c r="L10" s="35">
        <f t="shared" ca="1" si="0"/>
        <v>35272.953000000001</v>
      </c>
      <c r="M10" s="35">
        <f t="shared" ca="1" si="1"/>
        <v>35247.949000000001</v>
      </c>
      <c r="N10" s="35">
        <f t="shared" ca="1" si="2"/>
        <v>35218.18</v>
      </c>
      <c r="O10" s="35">
        <f t="shared" ca="1" si="3"/>
        <v>35240.857000000004</v>
      </c>
      <c r="P10" s="35">
        <f t="shared" ca="1" si="4"/>
        <v>35252.093000000001</v>
      </c>
      <c r="Q10" s="35">
        <f t="shared" ca="1" si="5"/>
        <v>35237.362000000001</v>
      </c>
      <c r="R10" s="35">
        <f t="shared" ca="1" si="6"/>
        <v>35219.035000000003</v>
      </c>
      <c r="S10" s="35">
        <f t="shared" ca="1" si="7"/>
        <v>35246.622000000003</v>
      </c>
      <c r="T10" s="35">
        <f t="shared" ca="1" si="8"/>
        <v>35272.953000000001</v>
      </c>
      <c r="U10" s="35">
        <f t="shared" ca="1" si="9"/>
        <v>35273.173999999999</v>
      </c>
      <c r="W10" s="35">
        <f t="shared" ca="1" si="10"/>
        <v>35248.117799999993</v>
      </c>
      <c r="Y10" s="35">
        <f ca="1">Total!E10</f>
        <v>35210.383000000002</v>
      </c>
      <c r="AB10" s="35">
        <f t="shared" ca="1" si="11"/>
        <v>1.7770326440357013E-3</v>
      </c>
      <c r="AC10" s="35">
        <f t="shared" ca="1" si="12"/>
        <v>1.0669012035455249E-3</v>
      </c>
      <c r="AD10" s="35">
        <f t="shared" ca="1" si="13"/>
        <v>2.2144036320191862E-4</v>
      </c>
      <c r="AE10" s="35">
        <f t="shared" ca="1" si="14"/>
        <v>8.6548334336499486E-4</v>
      </c>
      <c r="AF10" s="35">
        <f t="shared" ca="1" si="15"/>
        <v>1.1845937603120968E-3</v>
      </c>
      <c r="AG10" s="35">
        <f t="shared" ca="1" si="16"/>
        <v>7.6622284966338934E-4</v>
      </c>
      <c r="AH10" s="35">
        <f t="shared" ca="1" si="17"/>
        <v>2.4572297324916521E-4</v>
      </c>
      <c r="AI10" s="35">
        <f t="shared" ca="1" si="18"/>
        <v>1.0292134567238703E-3</v>
      </c>
      <c r="AJ10" s="35">
        <f t="shared" ca="1" si="19"/>
        <v>1.7770326440357013E-3</v>
      </c>
      <c r="AK10" s="35">
        <f t="shared" ca="1" si="20"/>
        <v>1.7833092017203402E-3</v>
      </c>
      <c r="AM10" s="35">
        <f t="shared" ca="1" si="21"/>
        <v>1.0716952439852703E-2</v>
      </c>
    </row>
    <row r="11" spans="1:39" x14ac:dyDescent="0.3">
      <c r="A11" t="s">
        <v>17</v>
      </c>
      <c r="B11">
        <v>50</v>
      </c>
      <c r="C11">
        <v>1</v>
      </c>
      <c r="D11">
        <v>53.137</v>
      </c>
      <c r="E11">
        <v>19.550999999999998</v>
      </c>
      <c r="F11">
        <v>293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657.35599999999999</v>
      </c>
      <c r="N11" s="35">
        <f t="shared" ca="1" si="2"/>
        <v>658.23299999999995</v>
      </c>
      <c r="O11" s="35">
        <f t="shared" ca="1" si="3"/>
        <v>657.35599999999999</v>
      </c>
      <c r="P11" s="35">
        <f t="shared" ca="1" si="4"/>
        <v>657.35599999999999</v>
      </c>
      <c r="Q11" s="35">
        <f t="shared" ca="1" si="5"/>
        <v>657.35599999999999</v>
      </c>
      <c r="R11" s="35">
        <f t="shared" ca="1" si="6"/>
        <v>657.35599999999999</v>
      </c>
      <c r="S11" s="35">
        <f t="shared" ca="1" si="7"/>
        <v>659.84500000000003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657.69259999999997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2.8849747888902728E-3</v>
      </c>
      <c r="AD11" s="35">
        <f t="shared" ca="1" si="13"/>
        <v>4.2229562219186613E-3</v>
      </c>
      <c r="AE11" s="35">
        <f t="shared" ca="1" si="14"/>
        <v>2.8849747888902728E-3</v>
      </c>
      <c r="AF11" s="35">
        <f t="shared" ca="1" si="15"/>
        <v>2.8849747888902728E-3</v>
      </c>
      <c r="AG11" s="35">
        <f t="shared" ca="1" si="16"/>
        <v>2.8849747888902728E-3</v>
      </c>
      <c r="AH11" s="35">
        <f t="shared" ca="1" si="17"/>
        <v>2.8849747888902728E-3</v>
      </c>
      <c r="AI11" s="35">
        <f t="shared" ca="1" si="18"/>
        <v>6.6822789927761138E-3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3.3985033525816957E-2</v>
      </c>
    </row>
    <row r="12" spans="1:39" x14ac:dyDescent="0.3">
      <c r="A12" t="s">
        <v>17</v>
      </c>
      <c r="B12">
        <v>50</v>
      </c>
      <c r="C12">
        <v>1</v>
      </c>
      <c r="D12">
        <v>53.106999999999999</v>
      </c>
      <c r="E12">
        <v>19.574999999999999</v>
      </c>
      <c r="F12">
        <v>290</v>
      </c>
      <c r="H12" s="35" t="s">
        <v>20</v>
      </c>
      <c r="I12" s="35">
        <v>50</v>
      </c>
      <c r="J12" s="35">
        <v>1</v>
      </c>
      <c r="L12" s="35">
        <f t="shared" ca="1" si="0"/>
        <v>991.60599999999999</v>
      </c>
      <c r="M12" s="35">
        <f t="shared" ca="1" si="1"/>
        <v>993.678</v>
      </c>
      <c r="N12" s="35">
        <f t="shared" ca="1" si="2"/>
        <v>994.524</v>
      </c>
      <c r="O12" s="35">
        <f t="shared" ca="1" si="3"/>
        <v>993</v>
      </c>
      <c r="P12" s="35">
        <f t="shared" ca="1" si="4"/>
        <v>994.74599999999998</v>
      </c>
      <c r="Q12" s="35">
        <f t="shared" ca="1" si="5"/>
        <v>993.86599999999999</v>
      </c>
      <c r="R12" s="35">
        <f t="shared" ca="1" si="6"/>
        <v>995.41499999999996</v>
      </c>
      <c r="S12" s="35">
        <f t="shared" ca="1" si="7"/>
        <v>994.74099999999999</v>
      </c>
      <c r="T12" s="35">
        <f t="shared" ca="1" si="8"/>
        <v>995.1</v>
      </c>
      <c r="U12" s="35">
        <f t="shared" ca="1" si="9"/>
        <v>996.16200000000003</v>
      </c>
      <c r="W12" s="35">
        <f t="shared" ca="1" si="10"/>
        <v>994.28379999999993</v>
      </c>
      <c r="Y12" s="35">
        <f ca="1">Total!E12</f>
        <v>990.096</v>
      </c>
      <c r="AB12" s="35">
        <f t="shared" ca="1" si="11"/>
        <v>1.5251046363180852E-3</v>
      </c>
      <c r="AC12" s="35">
        <f t="shared" ca="1" si="12"/>
        <v>3.617830998206228E-3</v>
      </c>
      <c r="AD12" s="35">
        <f t="shared" ca="1" si="13"/>
        <v>4.4722935957725281E-3</v>
      </c>
      <c r="AE12" s="35">
        <f t="shared" ca="1" si="14"/>
        <v>2.9330489164687023E-3</v>
      </c>
      <c r="AF12" s="35">
        <f t="shared" ca="1" si="15"/>
        <v>4.6965142774033804E-3</v>
      </c>
      <c r="AG12" s="35">
        <f t="shared" ca="1" si="16"/>
        <v>3.8077115754431711E-3</v>
      </c>
      <c r="AH12" s="35">
        <f t="shared" ca="1" si="17"/>
        <v>5.3722063315072071E-3</v>
      </c>
      <c r="AI12" s="35">
        <f t="shared" ca="1" si="18"/>
        <v>4.6914642620513383E-3</v>
      </c>
      <c r="AJ12" s="35">
        <f t="shared" ca="1" si="19"/>
        <v>5.0540553643283271E-3</v>
      </c>
      <c r="AK12" s="35">
        <f t="shared" ca="1" si="20"/>
        <v>6.1266786251030518E-3</v>
      </c>
      <c r="AM12" s="35">
        <f t="shared" ca="1" si="21"/>
        <v>4.2296908582602016E-2</v>
      </c>
    </row>
    <row r="13" spans="1:39" x14ac:dyDescent="0.3">
      <c r="A13" t="s">
        <v>17</v>
      </c>
      <c r="B13">
        <v>50</v>
      </c>
      <c r="C13">
        <v>1</v>
      </c>
      <c r="D13">
        <v>52.927999999999997</v>
      </c>
      <c r="E13">
        <v>19.545000000000002</v>
      </c>
      <c r="F13">
        <v>307</v>
      </c>
      <c r="H13" s="35" t="s">
        <v>20</v>
      </c>
      <c r="I13" s="35">
        <v>100</v>
      </c>
      <c r="J13" s="35">
        <v>1</v>
      </c>
      <c r="L13" s="35">
        <f t="shared" ca="1" si="0"/>
        <v>1758.633</v>
      </c>
      <c r="M13" s="35">
        <f t="shared" ca="1" si="1"/>
        <v>1758.71</v>
      </c>
      <c r="N13" s="35">
        <f t="shared" ca="1" si="2"/>
        <v>1755.577</v>
      </c>
      <c r="O13" s="35">
        <f t="shared" ca="1" si="3"/>
        <v>1754.1</v>
      </c>
      <c r="P13" s="35">
        <f t="shared" ca="1" si="4"/>
        <v>1756.2439999999999</v>
      </c>
      <c r="Q13" s="35">
        <f t="shared" ca="1" si="5"/>
        <v>1756.0250000000001</v>
      </c>
      <c r="R13" s="35">
        <f t="shared" ca="1" si="6"/>
        <v>1756.394</v>
      </c>
      <c r="S13" s="35">
        <f t="shared" ca="1" si="7"/>
        <v>1758.923</v>
      </c>
      <c r="T13" s="35">
        <f t="shared" ca="1" si="8"/>
        <v>1757.421</v>
      </c>
      <c r="U13" s="35">
        <f t="shared" ca="1" si="9"/>
        <v>1757.2950000000001</v>
      </c>
      <c r="W13" s="35">
        <f t="shared" ca="1" si="10"/>
        <v>1756.9322</v>
      </c>
      <c r="Y13" s="35">
        <f ca="1">Total!E13</f>
        <v>1753.79</v>
      </c>
      <c r="AB13" s="35">
        <f t="shared" ca="1" si="11"/>
        <v>2.7614480639073517E-3</v>
      </c>
      <c r="AC13" s="35">
        <f t="shared" ca="1" si="12"/>
        <v>2.8053529784068062E-3</v>
      </c>
      <c r="AD13" s="35">
        <f t="shared" ca="1" si="13"/>
        <v>1.0189361326042655E-3</v>
      </c>
      <c r="AE13" s="35">
        <f t="shared" ca="1" si="14"/>
        <v>1.76760045387387E-4</v>
      </c>
      <c r="AF13" s="35">
        <f t="shared" ca="1" si="15"/>
        <v>1.3992553270345657E-3</v>
      </c>
      <c r="AG13" s="35">
        <f t="shared" ca="1" si="16"/>
        <v>1.2743829078738773E-3</v>
      </c>
      <c r="AH13" s="35">
        <f t="shared" ca="1" si="17"/>
        <v>1.4847843812543359E-3</v>
      </c>
      <c r="AI13" s="35">
        <f t="shared" ca="1" si="18"/>
        <v>2.9268042353987867E-3</v>
      </c>
      <c r="AJ13" s="35">
        <f t="shared" ca="1" si="19"/>
        <v>2.0703733058120332E-3</v>
      </c>
      <c r="AK13" s="35">
        <f t="shared" ca="1" si="20"/>
        <v>1.9985289002674832E-3</v>
      </c>
      <c r="AM13" s="35">
        <f t="shared" ca="1" si="21"/>
        <v>1.7916626277946893E-2</v>
      </c>
    </row>
    <row r="14" spans="1:39" x14ac:dyDescent="0.3">
      <c r="A14" t="s">
        <v>17</v>
      </c>
      <c r="B14">
        <v>50</v>
      </c>
      <c r="C14">
        <v>1</v>
      </c>
      <c r="D14">
        <v>53.017000000000003</v>
      </c>
      <c r="E14">
        <v>19.591999999999999</v>
      </c>
      <c r="F14">
        <v>288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52.957999999999998</v>
      </c>
      <c r="E15">
        <v>19.547999999999998</v>
      </c>
      <c r="F15">
        <v>353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76.402000000000001</v>
      </c>
      <c r="M15" s="35">
        <f t="shared" ca="1" si="1"/>
        <v>76.534999999999997</v>
      </c>
      <c r="N15" s="35">
        <f t="shared" ca="1" si="1"/>
        <v>76.594999999999999</v>
      </c>
      <c r="O15" s="35">
        <f t="shared" ca="1" si="1"/>
        <v>76.408000000000001</v>
      </c>
      <c r="P15" s="35">
        <f t="shared" ca="1" si="1"/>
        <v>76.471000000000004</v>
      </c>
      <c r="Q15" s="35">
        <f t="shared" ca="1" si="1"/>
        <v>76.555999999999997</v>
      </c>
      <c r="R15" s="35">
        <f t="shared" ca="1" si="1"/>
        <v>76.576999999999998</v>
      </c>
      <c r="S15" s="35">
        <f t="shared" ca="1" si="1"/>
        <v>76.382999999999996</v>
      </c>
      <c r="T15" s="35">
        <f t="shared" ca="1" si="1"/>
        <v>76.275000000000006</v>
      </c>
      <c r="U15" s="35">
        <f t="shared" ca="1" si="1"/>
        <v>76.91</v>
      </c>
      <c r="W15" s="35">
        <f t="shared" ca="1" si="10"/>
        <v>76.511200000000002</v>
      </c>
      <c r="Y15" s="35">
        <f ca="1">Total!E15</f>
        <v>75.998000000000005</v>
      </c>
      <c r="AB15" s="35">
        <f t="shared" ca="1" si="11"/>
        <v>5.3159293665622298E-3</v>
      </c>
      <c r="AC15" s="35">
        <f t="shared" ca="1" si="12"/>
        <v>7.0659754204056933E-3</v>
      </c>
      <c r="AD15" s="35">
        <f t="shared" ca="1" si="13"/>
        <v>7.8554698807862602E-3</v>
      </c>
      <c r="AE15" s="35">
        <f t="shared" ca="1" si="14"/>
        <v>5.3948788126002862E-3</v>
      </c>
      <c r="AF15" s="35">
        <f t="shared" ca="1" si="15"/>
        <v>6.2238479959998809E-3</v>
      </c>
      <c r="AG15" s="35">
        <f t="shared" ca="1" si="16"/>
        <v>7.3422984815388918E-3</v>
      </c>
      <c r="AH15" s="35">
        <f t="shared" ca="1" si="17"/>
        <v>7.6186215426720895E-3</v>
      </c>
      <c r="AI15" s="35">
        <f t="shared" ca="1" si="18"/>
        <v>5.0659227874416549E-3</v>
      </c>
      <c r="AJ15" s="35">
        <f t="shared" ca="1" si="19"/>
        <v>3.6448327587568228E-3</v>
      </c>
      <c r="AK15" s="35">
        <f t="shared" ca="1" si="20"/>
        <v>1.2000315797784045E-2</v>
      </c>
      <c r="AM15" s="35">
        <f t="shared" ca="1" si="21"/>
        <v>6.752809284454786E-2</v>
      </c>
    </row>
    <row r="16" spans="1:39" x14ac:dyDescent="0.3">
      <c r="A16" t="s">
        <v>17</v>
      </c>
      <c r="B16">
        <v>50</v>
      </c>
      <c r="C16">
        <v>1</v>
      </c>
      <c r="D16">
        <v>52.957000000000001</v>
      </c>
      <c r="E16">
        <v>19.545000000000002</v>
      </c>
      <c r="F16">
        <v>397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119.52500000000001</v>
      </c>
      <c r="M16" s="35">
        <f t="shared" ca="1" si="1"/>
        <v>119.08799999999999</v>
      </c>
      <c r="N16" s="35">
        <f t="shared" ca="1" si="1"/>
        <v>118.967</v>
      </c>
      <c r="O16" s="35">
        <f t="shared" ca="1" si="1"/>
        <v>118.977</v>
      </c>
      <c r="P16" s="35">
        <f t="shared" ca="1" si="1"/>
        <v>119.08</v>
      </c>
      <c r="Q16" s="35">
        <f t="shared" ca="1" si="1"/>
        <v>119.246</v>
      </c>
      <c r="R16" s="35">
        <f t="shared" ca="1" si="1"/>
        <v>118.953</v>
      </c>
      <c r="S16" s="35">
        <f t="shared" ca="1" si="1"/>
        <v>119.441</v>
      </c>
      <c r="T16" s="35">
        <f t="shared" ca="1" si="1"/>
        <v>118.877</v>
      </c>
      <c r="U16" s="35">
        <f t="shared" ca="1" si="1"/>
        <v>118.947</v>
      </c>
      <c r="W16" s="35">
        <f t="shared" ca="1" si="10"/>
        <v>119.11010000000002</v>
      </c>
      <c r="Y16" s="35">
        <f ca="1">Total!E16</f>
        <v>118.01</v>
      </c>
      <c r="AB16" s="35">
        <f t="shared" ca="1" si="11"/>
        <v>1.2837895093636137E-2</v>
      </c>
      <c r="AC16" s="35">
        <f t="shared" ca="1" si="12"/>
        <v>9.1348190831284527E-3</v>
      </c>
      <c r="AD16" s="35">
        <f t="shared" ca="1" si="13"/>
        <v>8.1094822472671264E-3</v>
      </c>
      <c r="AE16" s="35">
        <f t="shared" ca="1" si="14"/>
        <v>8.1942208287433156E-3</v>
      </c>
      <c r="AF16" s="35">
        <f t="shared" ca="1" si="15"/>
        <v>9.0670282179475727E-3</v>
      </c>
      <c r="AG16" s="35">
        <f t="shared" ca="1" si="16"/>
        <v>1.0473688670451571E-2</v>
      </c>
      <c r="AH16" s="35">
        <f t="shared" ca="1" si="17"/>
        <v>7.9908482332005579E-3</v>
      </c>
      <c r="AI16" s="35">
        <f t="shared" ca="1" si="18"/>
        <v>1.2126091009236483E-2</v>
      </c>
      <c r="AJ16" s="35">
        <f t="shared" ca="1" si="19"/>
        <v>7.3468350139817831E-3</v>
      </c>
      <c r="AK16" s="35">
        <f t="shared" ca="1" si="20"/>
        <v>7.9400050843148676E-3</v>
      </c>
      <c r="AM16" s="35">
        <f t="shared" ca="1" si="21"/>
        <v>9.3220913481907863E-2</v>
      </c>
    </row>
    <row r="17" spans="1:39" x14ac:dyDescent="0.3">
      <c r="A17" t="s">
        <v>17</v>
      </c>
      <c r="B17">
        <v>50</v>
      </c>
      <c r="C17">
        <v>1</v>
      </c>
      <c r="D17">
        <v>53.097000000000001</v>
      </c>
      <c r="E17">
        <v>19.584</v>
      </c>
      <c r="F17">
        <v>422</v>
      </c>
      <c r="H17" s="35" t="s">
        <v>34</v>
      </c>
      <c r="I17" s="35">
        <v>40</v>
      </c>
      <c r="J17" s="35">
        <v>1</v>
      </c>
      <c r="L17" s="35">
        <f t="shared" ca="1" si="22"/>
        <v>16.515000000000001</v>
      </c>
      <c r="M17" s="35">
        <f t="shared" ca="1" si="1"/>
        <v>16.539000000000001</v>
      </c>
      <c r="N17" s="35">
        <f t="shared" ca="1" si="1"/>
        <v>16.803999999999998</v>
      </c>
      <c r="O17" s="35">
        <f t="shared" ca="1" si="1"/>
        <v>16.75</v>
      </c>
      <c r="P17" s="35">
        <f t="shared" ca="1" si="1"/>
        <v>16.701000000000001</v>
      </c>
      <c r="Q17" s="35">
        <f t="shared" ca="1" si="1"/>
        <v>16.75</v>
      </c>
      <c r="R17" s="35">
        <f t="shared" ca="1" si="1"/>
        <v>16.539000000000001</v>
      </c>
      <c r="S17" s="35">
        <f t="shared" ca="1" si="1"/>
        <v>16.716999999999999</v>
      </c>
      <c r="T17" s="35">
        <f t="shared" ca="1" si="1"/>
        <v>16.75</v>
      </c>
      <c r="U17" s="35">
        <f t="shared" ca="1" si="1"/>
        <v>16.763000000000002</v>
      </c>
      <c r="W17" s="35">
        <f t="shared" ca="1" si="10"/>
        <v>16.6828</v>
      </c>
      <c r="Y17" s="35">
        <f ca="1">Total!E17</f>
        <v>16.481999999999999</v>
      </c>
      <c r="AB17" s="35">
        <f t="shared" ca="1" si="11"/>
        <v>2.0021842009465629E-3</v>
      </c>
      <c r="AC17" s="35">
        <f t="shared" ca="1" si="12"/>
        <v>3.4583181652713363E-3</v>
      </c>
      <c r="AD17" s="35">
        <f t="shared" ca="1" si="13"/>
        <v>1.9536464021356583E-2</v>
      </c>
      <c r="AE17" s="35">
        <f t="shared" ca="1" si="14"/>
        <v>1.626016260162606E-2</v>
      </c>
      <c r="AF17" s="35">
        <f t="shared" ca="1" si="15"/>
        <v>1.3287222424463124E-2</v>
      </c>
      <c r="AG17" s="35">
        <f t="shared" ca="1" si="16"/>
        <v>1.626016260162606E-2</v>
      </c>
      <c r="AH17" s="35">
        <f t="shared" ca="1" si="17"/>
        <v>3.4583181652713363E-3</v>
      </c>
      <c r="AI17" s="35">
        <f t="shared" ca="1" si="18"/>
        <v>1.4257978400679496E-2</v>
      </c>
      <c r="AJ17" s="35">
        <f t="shared" ca="1" si="19"/>
        <v>1.626016260162606E-2</v>
      </c>
      <c r="AK17" s="35">
        <f t="shared" ca="1" si="20"/>
        <v>1.7048901832302048E-2</v>
      </c>
      <c r="AM17" s="35">
        <f t="shared" ca="1" si="21"/>
        <v>0.12182987501516868</v>
      </c>
    </row>
    <row r="18" spans="1:39" x14ac:dyDescent="0.3">
      <c r="A18" t="s">
        <v>17</v>
      </c>
      <c r="B18">
        <v>50</v>
      </c>
      <c r="C18">
        <v>1</v>
      </c>
      <c r="D18">
        <v>53.152000000000001</v>
      </c>
      <c r="E18">
        <v>19.581</v>
      </c>
      <c r="F18">
        <v>311</v>
      </c>
      <c r="H18" s="35" t="s">
        <v>34</v>
      </c>
      <c r="I18" s="35">
        <v>96</v>
      </c>
      <c r="J18" s="35">
        <v>1</v>
      </c>
      <c r="L18" s="35">
        <f t="shared" ca="1" si="22"/>
        <v>35.128999999999998</v>
      </c>
      <c r="M18" s="35">
        <f t="shared" ca="1" si="22"/>
        <v>35.167999999999999</v>
      </c>
      <c r="N18" s="35">
        <f t="shared" ca="1" si="22"/>
        <v>35.119</v>
      </c>
      <c r="O18" s="35">
        <f t="shared" ca="1" si="22"/>
        <v>35.142000000000003</v>
      </c>
      <c r="P18" s="35">
        <f t="shared" ca="1" si="22"/>
        <v>35.140999999999998</v>
      </c>
      <c r="Q18" s="35">
        <f t="shared" ca="1" si="22"/>
        <v>35.137999999999998</v>
      </c>
      <c r="R18" s="35">
        <f t="shared" ca="1" si="22"/>
        <v>35.168999999999997</v>
      </c>
      <c r="S18" s="35">
        <f t="shared" ca="1" si="22"/>
        <v>35.161999999999999</v>
      </c>
      <c r="T18" s="35">
        <f t="shared" ca="1" si="22"/>
        <v>35.183999999999997</v>
      </c>
      <c r="U18" s="35">
        <f t="shared" ca="1" si="22"/>
        <v>35.195999999999998</v>
      </c>
      <c r="W18" s="35">
        <f t="shared" ca="1" si="10"/>
        <v>35.154800000000002</v>
      </c>
      <c r="Y18" s="35">
        <f ca="1">Total!E18</f>
        <v>35.069000000000003</v>
      </c>
      <c r="AB18" s="35">
        <f t="shared" ca="1" si="11"/>
        <v>1.7109127719637047E-3</v>
      </c>
      <c r="AC18" s="35">
        <f t="shared" ca="1" si="12"/>
        <v>2.8230060737402447E-3</v>
      </c>
      <c r="AD18" s="35">
        <f t="shared" ca="1" si="13"/>
        <v>1.4257606433031212E-3</v>
      </c>
      <c r="AE18" s="35">
        <f t="shared" ca="1" si="14"/>
        <v>2.0816105392226867E-3</v>
      </c>
      <c r="AF18" s="35">
        <f t="shared" ca="1" si="15"/>
        <v>2.0530953263564861E-3</v>
      </c>
      <c r="AG18" s="35">
        <f t="shared" ca="1" si="16"/>
        <v>1.9675496877582907E-3</v>
      </c>
      <c r="AH18" s="35">
        <f t="shared" ca="1" si="17"/>
        <v>2.8515212866062423E-3</v>
      </c>
      <c r="AI18" s="35">
        <f t="shared" ca="1" si="18"/>
        <v>2.6519147965438539E-3</v>
      </c>
      <c r="AJ18" s="35">
        <f t="shared" ca="1" si="19"/>
        <v>3.2792494795972193E-3</v>
      </c>
      <c r="AK18" s="35">
        <f t="shared" ca="1" si="20"/>
        <v>3.6214320339900004E-3</v>
      </c>
      <c r="AM18" s="35">
        <f t="shared" ca="1" si="21"/>
        <v>2.4466052639081845E-2</v>
      </c>
    </row>
    <row r="19" spans="1:39" x14ac:dyDescent="0.3">
      <c r="A19" t="s">
        <v>17</v>
      </c>
      <c r="B19">
        <v>50</v>
      </c>
      <c r="C19">
        <v>1</v>
      </c>
      <c r="D19">
        <v>52.972000000000001</v>
      </c>
      <c r="E19">
        <v>19.597000000000001</v>
      </c>
      <c r="F19">
        <v>296</v>
      </c>
      <c r="H19" s="35" t="s">
        <v>34</v>
      </c>
      <c r="I19" s="35">
        <v>224</v>
      </c>
      <c r="J19" s="35">
        <v>1</v>
      </c>
      <c r="L19" s="35">
        <f t="shared" ca="1" si="22"/>
        <v>71.921000000000006</v>
      </c>
      <c r="M19" s="35">
        <f t="shared" ca="1" si="22"/>
        <v>71.926000000000002</v>
      </c>
      <c r="N19" s="35">
        <f t="shared" ca="1" si="22"/>
        <v>72.012</v>
      </c>
      <c r="O19" s="35">
        <f t="shared" ca="1" si="22"/>
        <v>72.013999999999996</v>
      </c>
      <c r="P19" s="35">
        <f t="shared" ca="1" si="22"/>
        <v>71.923000000000002</v>
      </c>
      <c r="Q19" s="35">
        <f t="shared" ca="1" si="22"/>
        <v>71.938999999999993</v>
      </c>
      <c r="R19" s="35">
        <f t="shared" ca="1" si="22"/>
        <v>71.921999999999997</v>
      </c>
      <c r="S19" s="35">
        <f t="shared" ca="1" si="22"/>
        <v>71.914000000000001</v>
      </c>
      <c r="T19" s="35">
        <f t="shared" ca="1" si="22"/>
        <v>71.978999999999999</v>
      </c>
      <c r="U19" s="35">
        <f t="shared" ca="1" si="22"/>
        <v>71.972999999999999</v>
      </c>
      <c r="W19" s="35">
        <f t="shared" ca="1" si="10"/>
        <v>71.952300000000008</v>
      </c>
      <c r="Y19" s="35">
        <f ca="1">Total!E19</f>
        <v>71.908000000000001</v>
      </c>
      <c r="AB19" s="35">
        <f t="shared" ca="1" si="11"/>
        <v>1.8078656060529049E-4</v>
      </c>
      <c r="AC19" s="35">
        <f t="shared" ca="1" si="12"/>
        <v>2.5031985314569562E-4</v>
      </c>
      <c r="AD19" s="35">
        <f t="shared" ca="1" si="13"/>
        <v>1.4462924848417311E-3</v>
      </c>
      <c r="AE19" s="35">
        <f t="shared" ca="1" si="14"/>
        <v>1.4741058018578536E-3</v>
      </c>
      <c r="AF19" s="35">
        <f t="shared" ca="1" si="15"/>
        <v>2.0859987762141303E-4</v>
      </c>
      <c r="AG19" s="35">
        <f t="shared" ca="1" si="16"/>
        <v>4.3110641375078852E-4</v>
      </c>
      <c r="AH19" s="35">
        <f t="shared" ca="1" si="17"/>
        <v>1.9469321911325295E-4</v>
      </c>
      <c r="AI19" s="35">
        <f t="shared" ca="1" si="18"/>
        <v>8.3439951048565217E-5</v>
      </c>
      <c r="AJ19" s="35">
        <f t="shared" ca="1" si="19"/>
        <v>9.8737275407462244E-4</v>
      </c>
      <c r="AK19" s="35">
        <f t="shared" ca="1" si="20"/>
        <v>9.039328030260573E-4</v>
      </c>
      <c r="AM19" s="35">
        <f t="shared" ca="1" si="21"/>
        <v>6.1606497190852694E-3</v>
      </c>
    </row>
    <row r="20" spans="1:39" x14ac:dyDescent="0.3">
      <c r="A20" t="s">
        <v>17</v>
      </c>
      <c r="B20">
        <v>50</v>
      </c>
      <c r="C20">
        <v>1</v>
      </c>
      <c r="D20">
        <v>52.978000000000002</v>
      </c>
      <c r="E20">
        <v>19.597999999999999</v>
      </c>
      <c r="F20">
        <v>298</v>
      </c>
    </row>
    <row r="21" spans="1:39" x14ac:dyDescent="0.3">
      <c r="A21" t="s">
        <v>17</v>
      </c>
      <c r="B21">
        <v>100</v>
      </c>
      <c r="C21">
        <v>1</v>
      </c>
      <c r="D21">
        <v>103.062</v>
      </c>
      <c r="E21">
        <v>102.188</v>
      </c>
      <c r="F21">
        <v>468</v>
      </c>
    </row>
    <row r="22" spans="1:39" x14ac:dyDescent="0.3">
      <c r="A22" t="s">
        <v>17</v>
      </c>
      <c r="B22">
        <v>100</v>
      </c>
      <c r="C22">
        <v>1</v>
      </c>
      <c r="D22">
        <v>103.143</v>
      </c>
      <c r="E22">
        <v>102.104</v>
      </c>
      <c r="F22">
        <v>464</v>
      </c>
    </row>
    <row r="23" spans="1:39" x14ac:dyDescent="0.3">
      <c r="A23" t="s">
        <v>17</v>
      </c>
      <c r="B23">
        <v>100</v>
      </c>
      <c r="C23">
        <v>1</v>
      </c>
      <c r="D23">
        <v>103.27200000000001</v>
      </c>
      <c r="E23">
        <v>102.119</v>
      </c>
      <c r="F23">
        <v>464</v>
      </c>
    </row>
    <row r="24" spans="1:39" x14ac:dyDescent="0.3">
      <c r="A24" t="s">
        <v>17</v>
      </c>
      <c r="B24">
        <v>100</v>
      </c>
      <c r="C24">
        <v>1</v>
      </c>
      <c r="D24">
        <v>103.351</v>
      </c>
      <c r="E24">
        <v>102.02500000000001</v>
      </c>
      <c r="F24">
        <v>464</v>
      </c>
    </row>
    <row r="25" spans="1:39" x14ac:dyDescent="0.3">
      <c r="A25" t="s">
        <v>17</v>
      </c>
      <c r="B25">
        <v>100</v>
      </c>
      <c r="C25">
        <v>1</v>
      </c>
      <c r="D25">
        <v>103.361</v>
      </c>
      <c r="E25">
        <v>102.02200000000001</v>
      </c>
      <c r="F25">
        <v>525</v>
      </c>
    </row>
    <row r="26" spans="1:39" x14ac:dyDescent="0.3">
      <c r="A26" t="s">
        <v>17</v>
      </c>
      <c r="B26">
        <v>100</v>
      </c>
      <c r="C26">
        <v>1</v>
      </c>
      <c r="D26">
        <v>103.28</v>
      </c>
      <c r="E26">
        <v>102.145</v>
      </c>
      <c r="F26">
        <v>538</v>
      </c>
    </row>
    <row r="27" spans="1:39" x14ac:dyDescent="0.3">
      <c r="A27" t="s">
        <v>17</v>
      </c>
      <c r="B27">
        <v>100</v>
      </c>
      <c r="C27">
        <v>1</v>
      </c>
      <c r="D27">
        <v>103.28100000000001</v>
      </c>
      <c r="E27">
        <v>102.14</v>
      </c>
      <c r="F27">
        <v>526</v>
      </c>
    </row>
    <row r="28" spans="1:39" x14ac:dyDescent="0.3">
      <c r="A28" t="s">
        <v>17</v>
      </c>
      <c r="B28">
        <v>100</v>
      </c>
      <c r="C28">
        <v>1</v>
      </c>
      <c r="D28">
        <v>103.56</v>
      </c>
      <c r="E28">
        <v>102.122</v>
      </c>
      <c r="F28">
        <v>458</v>
      </c>
    </row>
    <row r="29" spans="1:39" x14ac:dyDescent="0.3">
      <c r="A29" t="s">
        <v>17</v>
      </c>
      <c r="B29">
        <v>100</v>
      </c>
      <c r="C29">
        <v>1</v>
      </c>
      <c r="D29">
        <v>103.261</v>
      </c>
      <c r="E29">
        <v>102.07599999999999</v>
      </c>
      <c r="F29">
        <v>457</v>
      </c>
    </row>
    <row r="30" spans="1:39" x14ac:dyDescent="0.3">
      <c r="A30" t="s">
        <v>17</v>
      </c>
      <c r="B30">
        <v>100</v>
      </c>
      <c r="C30">
        <v>1</v>
      </c>
      <c r="D30">
        <v>103.26300000000001</v>
      </c>
      <c r="E30">
        <v>102.098</v>
      </c>
      <c r="F30">
        <v>462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8.0139999999999993</v>
      </c>
      <c r="F31">
        <v>235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8.0109999999999992</v>
      </c>
      <c r="F32">
        <v>261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8.0079999999999991</v>
      </c>
      <c r="F33">
        <v>268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7.9980000000000002</v>
      </c>
      <c r="F34">
        <v>231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8.0139999999999993</v>
      </c>
      <c r="F35">
        <v>226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8.0009999999999994</v>
      </c>
      <c r="F36">
        <v>265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7.9980000000000002</v>
      </c>
      <c r="F37">
        <v>263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8.0090000000000003</v>
      </c>
      <c r="F38">
        <v>253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8.0250000000000004</v>
      </c>
      <c r="F39">
        <v>223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8.0449999999999999</v>
      </c>
      <c r="F40">
        <v>260</v>
      </c>
    </row>
    <row r="41" spans="1:6" x14ac:dyDescent="0.3">
      <c r="A41" t="s">
        <v>18</v>
      </c>
      <c r="B41">
        <v>50</v>
      </c>
      <c r="C41">
        <v>1</v>
      </c>
      <c r="D41">
        <v>179.93799999999999</v>
      </c>
      <c r="E41">
        <v>22.440999999999999</v>
      </c>
      <c r="F41">
        <v>357</v>
      </c>
    </row>
    <row r="42" spans="1:6" x14ac:dyDescent="0.3">
      <c r="A42" t="s">
        <v>18</v>
      </c>
      <c r="B42">
        <v>50</v>
      </c>
      <c r="C42">
        <v>1</v>
      </c>
      <c r="D42">
        <v>179.93799999999999</v>
      </c>
      <c r="E42">
        <v>22.44</v>
      </c>
      <c r="F42">
        <v>420</v>
      </c>
    </row>
    <row r="43" spans="1:6" x14ac:dyDescent="0.3">
      <c r="A43" t="s">
        <v>18</v>
      </c>
      <c r="B43">
        <v>50</v>
      </c>
      <c r="C43">
        <v>1</v>
      </c>
      <c r="D43">
        <v>179.93799999999999</v>
      </c>
      <c r="E43">
        <v>22.404</v>
      </c>
      <c r="F43">
        <v>416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22.413</v>
      </c>
      <c r="F44">
        <v>425</v>
      </c>
    </row>
    <row r="45" spans="1:6" x14ac:dyDescent="0.3">
      <c r="A45" t="s">
        <v>18</v>
      </c>
      <c r="B45">
        <v>50</v>
      </c>
      <c r="C45">
        <v>1</v>
      </c>
      <c r="D45">
        <v>179.673</v>
      </c>
      <c r="E45">
        <v>22.408000000000001</v>
      </c>
      <c r="F45">
        <v>402</v>
      </c>
    </row>
    <row r="46" spans="1:6" x14ac:dyDescent="0.3">
      <c r="A46" t="s">
        <v>18</v>
      </c>
      <c r="B46">
        <v>50</v>
      </c>
      <c r="C46">
        <v>1</v>
      </c>
      <c r="D46">
        <v>180.053</v>
      </c>
      <c r="E46">
        <v>22.43</v>
      </c>
      <c r="F46">
        <v>411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22.43</v>
      </c>
      <c r="F47">
        <v>409</v>
      </c>
    </row>
    <row r="48" spans="1:6" x14ac:dyDescent="0.3">
      <c r="A48" t="s">
        <v>18</v>
      </c>
      <c r="B48">
        <v>50</v>
      </c>
      <c r="C48">
        <v>1</v>
      </c>
      <c r="D48">
        <v>180.363</v>
      </c>
      <c r="E48">
        <v>22.439</v>
      </c>
      <c r="F48">
        <v>395</v>
      </c>
    </row>
    <row r="49" spans="1:6" x14ac:dyDescent="0.3">
      <c r="A49" t="s">
        <v>18</v>
      </c>
      <c r="B49">
        <v>50</v>
      </c>
      <c r="C49">
        <v>1</v>
      </c>
      <c r="D49">
        <v>181.40799999999999</v>
      </c>
      <c r="E49">
        <v>22.401</v>
      </c>
      <c r="F49">
        <v>384</v>
      </c>
    </row>
    <row r="50" spans="1:6" x14ac:dyDescent="0.3">
      <c r="A50" t="s">
        <v>18</v>
      </c>
      <c r="B50">
        <v>50</v>
      </c>
      <c r="C50">
        <v>1</v>
      </c>
      <c r="D50">
        <v>179.93799999999999</v>
      </c>
      <c r="E50">
        <v>22.420999999999999</v>
      </c>
      <c r="F50">
        <v>410</v>
      </c>
    </row>
    <row r="51" spans="1:6" x14ac:dyDescent="0.3">
      <c r="A51" t="s">
        <v>18</v>
      </c>
      <c r="B51">
        <v>100</v>
      </c>
      <c r="C51">
        <v>1</v>
      </c>
      <c r="D51">
        <v>239.16900000000001</v>
      </c>
      <c r="E51">
        <v>138.66999999999999</v>
      </c>
      <c r="F51">
        <v>530</v>
      </c>
    </row>
    <row r="52" spans="1:6" x14ac:dyDescent="0.3">
      <c r="A52" t="s">
        <v>18</v>
      </c>
      <c r="B52">
        <v>100</v>
      </c>
      <c r="C52">
        <v>1</v>
      </c>
      <c r="D52">
        <v>239.30699999999999</v>
      </c>
      <c r="E52">
        <v>138.65799999999999</v>
      </c>
      <c r="F52">
        <v>535</v>
      </c>
    </row>
    <row r="53" spans="1:6" x14ac:dyDescent="0.3">
      <c r="A53" t="s">
        <v>18</v>
      </c>
      <c r="B53">
        <v>100</v>
      </c>
      <c r="C53">
        <v>1</v>
      </c>
      <c r="D53">
        <v>239.23699999999999</v>
      </c>
      <c r="E53">
        <v>138.54599999999999</v>
      </c>
      <c r="F53">
        <v>528</v>
      </c>
    </row>
    <row r="54" spans="1:6" x14ac:dyDescent="0.3">
      <c r="A54" t="s">
        <v>18</v>
      </c>
      <c r="B54">
        <v>100</v>
      </c>
      <c r="C54">
        <v>1</v>
      </c>
      <c r="D54">
        <v>239.178</v>
      </c>
      <c r="E54">
        <v>138.62</v>
      </c>
      <c r="F54">
        <v>555</v>
      </c>
    </row>
    <row r="55" spans="1:6" x14ac:dyDescent="0.3">
      <c r="A55" t="s">
        <v>18</v>
      </c>
      <c r="B55">
        <v>100</v>
      </c>
      <c r="C55">
        <v>1</v>
      </c>
      <c r="D55">
        <v>238.96700000000001</v>
      </c>
      <c r="E55">
        <v>138.66</v>
      </c>
      <c r="F55">
        <v>609</v>
      </c>
    </row>
    <row r="56" spans="1:6" x14ac:dyDescent="0.3">
      <c r="A56" t="s">
        <v>18</v>
      </c>
      <c r="B56">
        <v>100</v>
      </c>
      <c r="C56">
        <v>1</v>
      </c>
      <c r="D56">
        <v>239.143</v>
      </c>
      <c r="E56">
        <v>138.57400000000001</v>
      </c>
      <c r="F56">
        <v>580</v>
      </c>
    </row>
    <row r="57" spans="1:6" x14ac:dyDescent="0.3">
      <c r="A57" t="s">
        <v>18</v>
      </c>
      <c r="B57">
        <v>100</v>
      </c>
      <c r="C57">
        <v>1</v>
      </c>
      <c r="D57">
        <v>239.374</v>
      </c>
      <c r="E57">
        <v>138.49799999999999</v>
      </c>
      <c r="F57">
        <v>533</v>
      </c>
    </row>
    <row r="58" spans="1:6" x14ac:dyDescent="0.3">
      <c r="A58" t="s">
        <v>18</v>
      </c>
      <c r="B58">
        <v>100</v>
      </c>
      <c r="C58">
        <v>1</v>
      </c>
      <c r="D58">
        <v>240.643</v>
      </c>
      <c r="E58">
        <v>138.67599999999999</v>
      </c>
      <c r="F58">
        <v>531</v>
      </c>
    </row>
    <row r="59" spans="1:6" x14ac:dyDescent="0.3">
      <c r="A59" t="s">
        <v>18</v>
      </c>
      <c r="B59">
        <v>100</v>
      </c>
      <c r="C59">
        <v>1</v>
      </c>
      <c r="D59">
        <v>239.249</v>
      </c>
      <c r="E59">
        <v>138.46299999999999</v>
      </c>
      <c r="F59">
        <v>524</v>
      </c>
    </row>
    <row r="60" spans="1:6" x14ac:dyDescent="0.3">
      <c r="A60" t="s">
        <v>18</v>
      </c>
      <c r="B60">
        <v>100</v>
      </c>
      <c r="C60">
        <v>1</v>
      </c>
      <c r="D60">
        <v>239.22900000000001</v>
      </c>
      <c r="E60">
        <v>138.60599999999999</v>
      </c>
      <c r="F60">
        <v>536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4.3140000000000001</v>
      </c>
      <c r="F61">
        <v>219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4.3209999999999997</v>
      </c>
      <c r="F62">
        <v>250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4.3129999999999997</v>
      </c>
      <c r="F63">
        <v>231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4.33</v>
      </c>
      <c r="F64">
        <v>209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4.319</v>
      </c>
      <c r="F65">
        <v>202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4.319</v>
      </c>
      <c r="F66">
        <v>256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4.319</v>
      </c>
      <c r="F67">
        <v>260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4.319</v>
      </c>
      <c r="F68">
        <v>205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4.3120000000000003</v>
      </c>
      <c r="F69">
        <v>193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4.3230000000000004</v>
      </c>
      <c r="F70">
        <v>200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13.24</v>
      </c>
      <c r="F71">
        <v>239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13.236000000000001</v>
      </c>
      <c r="F72">
        <v>229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13.189</v>
      </c>
      <c r="F73">
        <v>242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13.227</v>
      </c>
      <c r="F74">
        <v>241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13.189</v>
      </c>
      <c r="F75">
        <v>239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13.192</v>
      </c>
      <c r="F76">
        <v>230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13.215999999999999</v>
      </c>
      <c r="F77">
        <v>229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13.202999999999999</v>
      </c>
      <c r="F78">
        <v>237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13.207000000000001</v>
      </c>
      <c r="F79">
        <v>237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13.217000000000001</v>
      </c>
      <c r="F80">
        <v>245</v>
      </c>
    </row>
    <row r="81" spans="1:6" x14ac:dyDescent="0.3">
      <c r="A81" t="s">
        <v>19</v>
      </c>
      <c r="B81">
        <v>100</v>
      </c>
      <c r="C81">
        <v>1</v>
      </c>
      <c r="D81">
        <v>35272.953000000001</v>
      </c>
      <c r="E81">
        <v>54.857999999999997</v>
      </c>
      <c r="F81">
        <v>304</v>
      </c>
    </row>
    <row r="82" spans="1:6" x14ac:dyDescent="0.3">
      <c r="A82" t="s">
        <v>19</v>
      </c>
      <c r="B82">
        <v>100</v>
      </c>
      <c r="C82">
        <v>1</v>
      </c>
      <c r="D82">
        <v>35247.949000000001</v>
      </c>
      <c r="E82">
        <v>54.942999999999998</v>
      </c>
      <c r="F82">
        <v>266</v>
      </c>
    </row>
    <row r="83" spans="1:6" x14ac:dyDescent="0.3">
      <c r="A83" t="s">
        <v>19</v>
      </c>
      <c r="B83">
        <v>100</v>
      </c>
      <c r="C83">
        <v>1</v>
      </c>
      <c r="D83">
        <v>35218.18</v>
      </c>
      <c r="E83">
        <v>54.795000000000002</v>
      </c>
      <c r="F83">
        <v>258</v>
      </c>
    </row>
    <row r="84" spans="1:6" x14ac:dyDescent="0.3">
      <c r="A84" t="s">
        <v>19</v>
      </c>
      <c r="B84">
        <v>100</v>
      </c>
      <c r="C84">
        <v>1</v>
      </c>
      <c r="D84">
        <v>35240.857000000004</v>
      </c>
      <c r="E84">
        <v>54.936</v>
      </c>
      <c r="F84">
        <v>256</v>
      </c>
    </row>
    <row r="85" spans="1:6" x14ac:dyDescent="0.3">
      <c r="A85" t="s">
        <v>19</v>
      </c>
      <c r="B85">
        <v>100</v>
      </c>
      <c r="C85">
        <v>1</v>
      </c>
      <c r="D85">
        <v>35252.093000000001</v>
      </c>
      <c r="E85">
        <v>54.988</v>
      </c>
      <c r="F85">
        <v>258</v>
      </c>
    </row>
    <row r="86" spans="1:6" x14ac:dyDescent="0.3">
      <c r="A86" t="s">
        <v>19</v>
      </c>
      <c r="B86">
        <v>100</v>
      </c>
      <c r="C86">
        <v>1</v>
      </c>
      <c r="D86">
        <v>35237.362000000001</v>
      </c>
      <c r="E86">
        <v>54.917999999999999</v>
      </c>
      <c r="F86">
        <v>251</v>
      </c>
    </row>
    <row r="87" spans="1:6" x14ac:dyDescent="0.3">
      <c r="A87" t="s">
        <v>19</v>
      </c>
      <c r="B87">
        <v>100</v>
      </c>
      <c r="C87">
        <v>1</v>
      </c>
      <c r="D87">
        <v>35219.035000000003</v>
      </c>
      <c r="E87">
        <v>54.819000000000003</v>
      </c>
      <c r="F87">
        <v>258</v>
      </c>
    </row>
    <row r="88" spans="1:6" x14ac:dyDescent="0.3">
      <c r="A88" t="s">
        <v>19</v>
      </c>
      <c r="B88">
        <v>100</v>
      </c>
      <c r="C88">
        <v>1</v>
      </c>
      <c r="D88">
        <v>35246.622000000003</v>
      </c>
      <c r="E88">
        <v>54.811</v>
      </c>
      <c r="F88">
        <v>255</v>
      </c>
    </row>
    <row r="89" spans="1:6" x14ac:dyDescent="0.3">
      <c r="A89" t="s">
        <v>19</v>
      </c>
      <c r="B89">
        <v>100</v>
      </c>
      <c r="C89">
        <v>1</v>
      </c>
      <c r="D89">
        <v>35272.953000000001</v>
      </c>
      <c r="E89">
        <v>54.853999999999999</v>
      </c>
      <c r="F89">
        <v>257</v>
      </c>
    </row>
    <row r="90" spans="1:6" x14ac:dyDescent="0.3">
      <c r="A90" t="s">
        <v>19</v>
      </c>
      <c r="B90">
        <v>100</v>
      </c>
      <c r="C90">
        <v>1</v>
      </c>
      <c r="D90">
        <v>35273.173999999999</v>
      </c>
      <c r="E90">
        <v>54.970999999999997</v>
      </c>
      <c r="F90">
        <v>259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6.48</v>
      </c>
      <c r="F91">
        <v>222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6.476</v>
      </c>
      <c r="F92">
        <v>206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6.4669999999999996</v>
      </c>
      <c r="F93">
        <v>249</v>
      </c>
    </row>
    <row r="94" spans="1:6" x14ac:dyDescent="0.3">
      <c r="A94" t="s">
        <v>20</v>
      </c>
      <c r="B94">
        <v>30</v>
      </c>
      <c r="C94">
        <v>1</v>
      </c>
      <c r="D94">
        <v>657.35599999999999</v>
      </c>
      <c r="E94">
        <v>6.484</v>
      </c>
      <c r="F94">
        <v>216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6.4740000000000002</v>
      </c>
      <c r="F95">
        <v>217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6.4710000000000001</v>
      </c>
      <c r="F96">
        <v>233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6.4690000000000003</v>
      </c>
      <c r="F97">
        <v>233</v>
      </c>
    </row>
    <row r="98" spans="1:6" x14ac:dyDescent="0.3">
      <c r="A98" t="s">
        <v>20</v>
      </c>
      <c r="B98">
        <v>30</v>
      </c>
      <c r="C98">
        <v>1</v>
      </c>
      <c r="D98">
        <v>659.84500000000003</v>
      </c>
      <c r="E98">
        <v>6.4850000000000003</v>
      </c>
      <c r="F98">
        <v>198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6.4690000000000003</v>
      </c>
      <c r="F99">
        <v>240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6.4859999999999998</v>
      </c>
      <c r="F100">
        <v>271</v>
      </c>
    </row>
    <row r="101" spans="1:6" x14ac:dyDescent="0.3">
      <c r="A101" t="s">
        <v>20</v>
      </c>
      <c r="B101">
        <v>50</v>
      </c>
      <c r="C101">
        <v>1</v>
      </c>
      <c r="D101">
        <v>991.60599999999999</v>
      </c>
      <c r="E101">
        <v>14.742000000000001</v>
      </c>
      <c r="F101">
        <v>230</v>
      </c>
    </row>
    <row r="102" spans="1:6" x14ac:dyDescent="0.3">
      <c r="A102" t="s">
        <v>20</v>
      </c>
      <c r="B102">
        <v>50</v>
      </c>
      <c r="C102">
        <v>1</v>
      </c>
      <c r="D102">
        <v>993.678</v>
      </c>
      <c r="E102">
        <v>14.683</v>
      </c>
      <c r="F102">
        <v>231</v>
      </c>
    </row>
    <row r="103" spans="1:6" x14ac:dyDescent="0.3">
      <c r="A103" t="s">
        <v>20</v>
      </c>
      <c r="B103">
        <v>50</v>
      </c>
      <c r="C103">
        <v>1</v>
      </c>
      <c r="D103">
        <v>994.524</v>
      </c>
      <c r="E103">
        <v>14.695</v>
      </c>
      <c r="F103">
        <v>234</v>
      </c>
    </row>
    <row r="104" spans="1:6" x14ac:dyDescent="0.3">
      <c r="A104" t="s">
        <v>20</v>
      </c>
      <c r="B104">
        <v>50</v>
      </c>
      <c r="C104">
        <v>1</v>
      </c>
      <c r="D104">
        <v>993</v>
      </c>
      <c r="E104">
        <v>14.715999999999999</v>
      </c>
      <c r="F104">
        <v>235</v>
      </c>
    </row>
    <row r="105" spans="1:6" x14ac:dyDescent="0.3">
      <c r="A105" t="s">
        <v>20</v>
      </c>
      <c r="B105">
        <v>50</v>
      </c>
      <c r="C105">
        <v>1</v>
      </c>
      <c r="D105">
        <v>994.74599999999998</v>
      </c>
      <c r="E105">
        <v>14.737</v>
      </c>
      <c r="F105">
        <v>231</v>
      </c>
    </row>
    <row r="106" spans="1:6" x14ac:dyDescent="0.3">
      <c r="A106" t="s">
        <v>20</v>
      </c>
      <c r="B106">
        <v>50</v>
      </c>
      <c r="C106">
        <v>1</v>
      </c>
      <c r="D106">
        <v>993.86599999999999</v>
      </c>
      <c r="E106">
        <v>14.708</v>
      </c>
      <c r="F106">
        <v>229</v>
      </c>
    </row>
    <row r="107" spans="1:6" x14ac:dyDescent="0.3">
      <c r="A107" t="s">
        <v>20</v>
      </c>
      <c r="B107">
        <v>50</v>
      </c>
      <c r="C107">
        <v>1</v>
      </c>
      <c r="D107">
        <v>995.41499999999996</v>
      </c>
      <c r="E107">
        <v>14.712999999999999</v>
      </c>
      <c r="F107">
        <v>232</v>
      </c>
    </row>
    <row r="108" spans="1:6" x14ac:dyDescent="0.3">
      <c r="A108" t="s">
        <v>20</v>
      </c>
      <c r="B108">
        <v>50</v>
      </c>
      <c r="C108">
        <v>1</v>
      </c>
      <c r="D108">
        <v>994.74099999999999</v>
      </c>
      <c r="E108">
        <v>14.704000000000001</v>
      </c>
      <c r="F108">
        <v>226</v>
      </c>
    </row>
    <row r="109" spans="1:6" x14ac:dyDescent="0.3">
      <c r="A109" t="s">
        <v>20</v>
      </c>
      <c r="B109">
        <v>50</v>
      </c>
      <c r="C109">
        <v>1</v>
      </c>
      <c r="D109">
        <v>995.1</v>
      </c>
      <c r="E109">
        <v>14.74</v>
      </c>
      <c r="F109">
        <v>237</v>
      </c>
    </row>
    <row r="110" spans="1:6" x14ac:dyDescent="0.3">
      <c r="A110" t="s">
        <v>20</v>
      </c>
      <c r="B110">
        <v>50</v>
      </c>
      <c r="C110">
        <v>1</v>
      </c>
      <c r="D110">
        <v>996.16200000000003</v>
      </c>
      <c r="E110">
        <v>14.688000000000001</v>
      </c>
      <c r="F110">
        <v>236</v>
      </c>
    </row>
    <row r="111" spans="1:6" x14ac:dyDescent="0.3">
      <c r="A111" t="s">
        <v>20</v>
      </c>
      <c r="B111">
        <v>100</v>
      </c>
      <c r="C111">
        <v>1</v>
      </c>
      <c r="D111">
        <v>1758.633</v>
      </c>
      <c r="E111">
        <v>32.618000000000002</v>
      </c>
      <c r="F111">
        <v>170</v>
      </c>
    </row>
    <row r="112" spans="1:6" x14ac:dyDescent="0.3">
      <c r="A112" t="s">
        <v>20</v>
      </c>
      <c r="B112">
        <v>100</v>
      </c>
      <c r="C112">
        <v>1</v>
      </c>
      <c r="D112">
        <v>1758.71</v>
      </c>
      <c r="E112">
        <v>32.509</v>
      </c>
      <c r="F112">
        <v>168</v>
      </c>
    </row>
    <row r="113" spans="1:6" x14ac:dyDescent="0.3">
      <c r="A113" t="s">
        <v>20</v>
      </c>
      <c r="B113">
        <v>100</v>
      </c>
      <c r="C113">
        <v>1</v>
      </c>
      <c r="D113">
        <v>1755.577</v>
      </c>
      <c r="E113">
        <v>32.566000000000003</v>
      </c>
      <c r="F113">
        <v>168</v>
      </c>
    </row>
    <row r="114" spans="1:6" x14ac:dyDescent="0.3">
      <c r="A114" t="s">
        <v>20</v>
      </c>
      <c r="B114">
        <v>100</v>
      </c>
      <c r="C114">
        <v>1</v>
      </c>
      <c r="D114">
        <v>1754.1</v>
      </c>
      <c r="E114">
        <v>32.591999999999999</v>
      </c>
      <c r="F114">
        <v>169</v>
      </c>
    </row>
    <row r="115" spans="1:6" x14ac:dyDescent="0.3">
      <c r="A115" t="s">
        <v>20</v>
      </c>
      <c r="B115">
        <v>100</v>
      </c>
      <c r="C115">
        <v>1</v>
      </c>
      <c r="D115">
        <v>1756.2439999999999</v>
      </c>
      <c r="E115">
        <v>32.622</v>
      </c>
      <c r="F115">
        <v>168</v>
      </c>
    </row>
    <row r="116" spans="1:6" x14ac:dyDescent="0.3">
      <c r="A116" t="s">
        <v>20</v>
      </c>
      <c r="B116">
        <v>100</v>
      </c>
      <c r="C116">
        <v>1</v>
      </c>
      <c r="D116">
        <v>1756.0250000000001</v>
      </c>
      <c r="E116">
        <v>32.527999999999999</v>
      </c>
      <c r="F116">
        <v>166</v>
      </c>
    </row>
    <row r="117" spans="1:6" x14ac:dyDescent="0.3">
      <c r="A117" t="s">
        <v>20</v>
      </c>
      <c r="B117">
        <v>100</v>
      </c>
      <c r="C117">
        <v>1</v>
      </c>
      <c r="D117">
        <v>1756.394</v>
      </c>
      <c r="E117">
        <v>32.597000000000001</v>
      </c>
      <c r="F117">
        <v>168</v>
      </c>
    </row>
    <row r="118" spans="1:6" x14ac:dyDescent="0.3">
      <c r="A118" t="s">
        <v>20</v>
      </c>
      <c r="B118">
        <v>100</v>
      </c>
      <c r="C118">
        <v>1</v>
      </c>
      <c r="D118">
        <v>1758.923</v>
      </c>
      <c r="E118">
        <v>32.609000000000002</v>
      </c>
      <c r="F118">
        <v>170</v>
      </c>
    </row>
    <row r="119" spans="1:6" x14ac:dyDescent="0.3">
      <c r="A119" t="s">
        <v>20</v>
      </c>
      <c r="B119">
        <v>100</v>
      </c>
      <c r="C119">
        <v>1</v>
      </c>
      <c r="D119">
        <v>1757.421</v>
      </c>
      <c r="E119">
        <v>32.606999999999999</v>
      </c>
      <c r="F119">
        <v>171</v>
      </c>
    </row>
    <row r="120" spans="1:6" x14ac:dyDescent="0.3">
      <c r="A120" t="s">
        <v>20</v>
      </c>
      <c r="B120">
        <v>100</v>
      </c>
      <c r="C120">
        <v>1</v>
      </c>
      <c r="D120">
        <v>1757.2950000000001</v>
      </c>
      <c r="E120">
        <v>32.585999999999999</v>
      </c>
      <c r="F120">
        <v>196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1.395</v>
      </c>
      <c r="F121">
        <v>257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1.383</v>
      </c>
      <c r="F122">
        <v>304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1.3779999999999999</v>
      </c>
      <c r="F123">
        <v>69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1.3720000000000001</v>
      </c>
      <c r="F124">
        <v>69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1.3720000000000001</v>
      </c>
      <c r="F125">
        <v>160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1.3680000000000001</v>
      </c>
      <c r="F126">
        <v>91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1.387</v>
      </c>
      <c r="F127">
        <v>239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1.365</v>
      </c>
      <c r="F128">
        <v>302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1.3759999999999999</v>
      </c>
      <c r="F129">
        <v>276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1.3839999999999999</v>
      </c>
      <c r="F130">
        <v>78</v>
      </c>
    </row>
    <row r="131" spans="1:6" x14ac:dyDescent="0.3">
      <c r="A131" t="s">
        <v>33</v>
      </c>
      <c r="B131">
        <v>209</v>
      </c>
      <c r="C131">
        <v>1</v>
      </c>
      <c r="D131">
        <v>76.402000000000001</v>
      </c>
      <c r="E131">
        <v>181.4</v>
      </c>
      <c r="F131">
        <v>216</v>
      </c>
    </row>
    <row r="132" spans="1:6" x14ac:dyDescent="0.3">
      <c r="A132" t="s">
        <v>33</v>
      </c>
      <c r="B132">
        <v>209</v>
      </c>
      <c r="C132">
        <v>1</v>
      </c>
      <c r="D132">
        <v>76.534999999999997</v>
      </c>
      <c r="E132">
        <v>181.351</v>
      </c>
      <c r="F132">
        <v>213</v>
      </c>
    </row>
    <row r="133" spans="1:6" x14ac:dyDescent="0.3">
      <c r="A133" t="s">
        <v>33</v>
      </c>
      <c r="B133">
        <v>209</v>
      </c>
      <c r="C133">
        <v>1</v>
      </c>
      <c r="D133">
        <v>76.594999999999999</v>
      </c>
      <c r="E133">
        <v>180.89400000000001</v>
      </c>
      <c r="F133">
        <v>220</v>
      </c>
    </row>
    <row r="134" spans="1:6" x14ac:dyDescent="0.3">
      <c r="A134" t="s">
        <v>33</v>
      </c>
      <c r="B134">
        <v>209</v>
      </c>
      <c r="C134">
        <v>1</v>
      </c>
      <c r="D134">
        <v>76.408000000000001</v>
      </c>
      <c r="E134">
        <v>180.792</v>
      </c>
      <c r="F134">
        <v>220</v>
      </c>
    </row>
    <row r="135" spans="1:6" x14ac:dyDescent="0.3">
      <c r="A135" t="s">
        <v>33</v>
      </c>
      <c r="B135">
        <v>209</v>
      </c>
      <c r="C135">
        <v>1</v>
      </c>
      <c r="D135">
        <v>76.471000000000004</v>
      </c>
      <c r="E135">
        <v>181.13300000000001</v>
      </c>
      <c r="F135">
        <v>214</v>
      </c>
    </row>
    <row r="136" spans="1:6" x14ac:dyDescent="0.3">
      <c r="A136" t="s">
        <v>33</v>
      </c>
      <c r="B136">
        <v>209</v>
      </c>
      <c r="C136">
        <v>1</v>
      </c>
      <c r="D136">
        <v>76.555999999999997</v>
      </c>
      <c r="E136">
        <v>181.398</v>
      </c>
      <c r="F136">
        <v>214</v>
      </c>
    </row>
    <row r="137" spans="1:6" x14ac:dyDescent="0.3">
      <c r="A137" t="s">
        <v>33</v>
      </c>
      <c r="B137">
        <v>209</v>
      </c>
      <c r="C137">
        <v>1</v>
      </c>
      <c r="D137">
        <v>76.576999999999998</v>
      </c>
      <c r="E137">
        <v>180.892</v>
      </c>
      <c r="F137">
        <v>215</v>
      </c>
    </row>
    <row r="138" spans="1:6" x14ac:dyDescent="0.3">
      <c r="A138" t="s">
        <v>33</v>
      </c>
      <c r="B138">
        <v>209</v>
      </c>
      <c r="C138">
        <v>1</v>
      </c>
      <c r="D138">
        <v>76.382999999999996</v>
      </c>
      <c r="E138">
        <v>181.136</v>
      </c>
      <c r="F138">
        <v>215</v>
      </c>
    </row>
    <row r="139" spans="1:6" x14ac:dyDescent="0.3">
      <c r="A139" t="s">
        <v>33</v>
      </c>
      <c r="B139">
        <v>209</v>
      </c>
      <c r="C139">
        <v>1</v>
      </c>
      <c r="D139">
        <v>76.275000000000006</v>
      </c>
      <c r="E139">
        <v>181.226</v>
      </c>
      <c r="F139">
        <v>213</v>
      </c>
    </row>
    <row r="140" spans="1:6" x14ac:dyDescent="0.3">
      <c r="A140" t="s">
        <v>33</v>
      </c>
      <c r="B140">
        <v>209</v>
      </c>
      <c r="C140">
        <v>1</v>
      </c>
      <c r="D140">
        <v>76.91</v>
      </c>
      <c r="E140">
        <v>180.90899999999999</v>
      </c>
      <c r="F140">
        <v>209</v>
      </c>
    </row>
    <row r="141" spans="1:6" x14ac:dyDescent="0.3">
      <c r="A141" t="s">
        <v>33</v>
      </c>
      <c r="B141">
        <v>324</v>
      </c>
      <c r="C141">
        <v>1</v>
      </c>
      <c r="D141">
        <v>119.52500000000001</v>
      </c>
      <c r="E141">
        <v>420.84899999999999</v>
      </c>
      <c r="F141">
        <v>183</v>
      </c>
    </row>
    <row r="142" spans="1:6" x14ac:dyDescent="0.3">
      <c r="A142" t="s">
        <v>33</v>
      </c>
      <c r="B142">
        <v>324</v>
      </c>
      <c r="C142">
        <v>1</v>
      </c>
      <c r="D142">
        <v>119.08799999999999</v>
      </c>
      <c r="E142">
        <v>420.38400000000001</v>
      </c>
      <c r="F142">
        <v>187</v>
      </c>
    </row>
    <row r="143" spans="1:6" x14ac:dyDescent="0.3">
      <c r="A143" t="s">
        <v>33</v>
      </c>
      <c r="B143">
        <v>324</v>
      </c>
      <c r="C143">
        <v>1</v>
      </c>
      <c r="D143">
        <v>118.967</v>
      </c>
      <c r="E143">
        <v>419.42500000000001</v>
      </c>
      <c r="F143">
        <v>187</v>
      </c>
    </row>
    <row r="144" spans="1:6" x14ac:dyDescent="0.3">
      <c r="A144" t="s">
        <v>33</v>
      </c>
      <c r="B144">
        <v>324</v>
      </c>
      <c r="C144">
        <v>1</v>
      </c>
      <c r="D144">
        <v>118.977</v>
      </c>
      <c r="E144">
        <v>421.07499999999999</v>
      </c>
      <c r="F144">
        <v>184</v>
      </c>
    </row>
    <row r="145" spans="1:6" x14ac:dyDescent="0.3">
      <c r="A145" t="s">
        <v>33</v>
      </c>
      <c r="B145">
        <v>324</v>
      </c>
      <c r="C145">
        <v>1</v>
      </c>
      <c r="D145">
        <v>119.08</v>
      </c>
      <c r="E145">
        <v>420.50900000000001</v>
      </c>
      <c r="F145">
        <v>182</v>
      </c>
    </row>
    <row r="146" spans="1:6" x14ac:dyDescent="0.3">
      <c r="A146" t="s">
        <v>33</v>
      </c>
      <c r="B146">
        <v>324</v>
      </c>
      <c r="C146">
        <v>1</v>
      </c>
      <c r="D146">
        <v>119.246</v>
      </c>
      <c r="E146">
        <v>420.08100000000002</v>
      </c>
      <c r="F146">
        <v>185</v>
      </c>
    </row>
    <row r="147" spans="1:6" x14ac:dyDescent="0.3">
      <c r="A147" t="s">
        <v>33</v>
      </c>
      <c r="B147">
        <v>324</v>
      </c>
      <c r="C147">
        <v>1</v>
      </c>
      <c r="D147">
        <v>118.953</v>
      </c>
      <c r="E147">
        <v>420.32</v>
      </c>
      <c r="F147">
        <v>182</v>
      </c>
    </row>
    <row r="148" spans="1:6" x14ac:dyDescent="0.3">
      <c r="A148" t="s">
        <v>33</v>
      </c>
      <c r="B148">
        <v>324</v>
      </c>
      <c r="C148">
        <v>1</v>
      </c>
      <c r="D148">
        <v>119.441</v>
      </c>
      <c r="E148">
        <v>420.44299999999998</v>
      </c>
      <c r="F148">
        <v>182</v>
      </c>
    </row>
    <row r="149" spans="1:6" x14ac:dyDescent="0.3">
      <c r="A149" t="s">
        <v>33</v>
      </c>
      <c r="B149">
        <v>324</v>
      </c>
      <c r="C149">
        <v>1</v>
      </c>
      <c r="D149">
        <v>118.877</v>
      </c>
      <c r="E149">
        <v>421.029</v>
      </c>
      <c r="F149">
        <v>183</v>
      </c>
    </row>
    <row r="150" spans="1:6" x14ac:dyDescent="0.3">
      <c r="A150" t="s">
        <v>33</v>
      </c>
      <c r="B150">
        <v>324</v>
      </c>
      <c r="C150">
        <v>1</v>
      </c>
      <c r="D150">
        <v>118.947</v>
      </c>
      <c r="E150">
        <v>421.06099999999998</v>
      </c>
      <c r="F150">
        <v>182</v>
      </c>
    </row>
    <row r="151" spans="1:6" x14ac:dyDescent="0.3">
      <c r="A151" t="s">
        <v>34</v>
      </c>
      <c r="B151">
        <v>40</v>
      </c>
      <c r="C151">
        <v>1</v>
      </c>
      <c r="D151">
        <v>16.515000000000001</v>
      </c>
      <c r="E151">
        <v>11.637</v>
      </c>
      <c r="F151">
        <v>335</v>
      </c>
    </row>
    <row r="152" spans="1:6" x14ac:dyDescent="0.3">
      <c r="A152" t="s">
        <v>34</v>
      </c>
      <c r="B152">
        <v>40</v>
      </c>
      <c r="C152">
        <v>1</v>
      </c>
      <c r="D152">
        <v>16.539000000000001</v>
      </c>
      <c r="E152">
        <v>11.609</v>
      </c>
      <c r="F152">
        <v>329</v>
      </c>
    </row>
    <row r="153" spans="1:6" x14ac:dyDescent="0.3">
      <c r="A153" t="s">
        <v>34</v>
      </c>
      <c r="B153">
        <v>40</v>
      </c>
      <c r="C153">
        <v>1</v>
      </c>
      <c r="D153">
        <v>16.803999999999998</v>
      </c>
      <c r="E153">
        <v>11.635</v>
      </c>
      <c r="F153">
        <v>311</v>
      </c>
    </row>
    <row r="154" spans="1:6" x14ac:dyDescent="0.3">
      <c r="A154" t="s">
        <v>34</v>
      </c>
      <c r="B154">
        <v>40</v>
      </c>
      <c r="C154">
        <v>1</v>
      </c>
      <c r="D154">
        <v>16.75</v>
      </c>
      <c r="E154">
        <v>11.616</v>
      </c>
      <c r="F154">
        <v>330</v>
      </c>
    </row>
    <row r="155" spans="1:6" x14ac:dyDescent="0.3">
      <c r="A155" t="s">
        <v>34</v>
      </c>
      <c r="B155">
        <v>40</v>
      </c>
      <c r="C155">
        <v>1</v>
      </c>
      <c r="D155">
        <v>16.701000000000001</v>
      </c>
      <c r="E155">
        <v>11.64</v>
      </c>
      <c r="F155">
        <v>306</v>
      </c>
    </row>
    <row r="156" spans="1:6" x14ac:dyDescent="0.3">
      <c r="A156" t="s">
        <v>34</v>
      </c>
      <c r="B156">
        <v>40</v>
      </c>
      <c r="C156">
        <v>1</v>
      </c>
      <c r="D156">
        <v>16.75</v>
      </c>
      <c r="E156">
        <v>11.632</v>
      </c>
      <c r="F156">
        <v>360</v>
      </c>
    </row>
    <row r="157" spans="1:6" x14ac:dyDescent="0.3">
      <c r="A157" t="s">
        <v>34</v>
      </c>
      <c r="B157">
        <v>40</v>
      </c>
      <c r="C157">
        <v>1</v>
      </c>
      <c r="D157">
        <v>16.539000000000001</v>
      </c>
      <c r="E157">
        <v>11.616</v>
      </c>
      <c r="F157">
        <v>280</v>
      </c>
    </row>
    <row r="158" spans="1:6" x14ac:dyDescent="0.3">
      <c r="A158" t="s">
        <v>34</v>
      </c>
      <c r="B158">
        <v>40</v>
      </c>
      <c r="C158">
        <v>1</v>
      </c>
      <c r="D158">
        <v>16.716999999999999</v>
      </c>
      <c r="E158">
        <v>11.632999999999999</v>
      </c>
      <c r="F158">
        <v>246</v>
      </c>
    </row>
    <row r="159" spans="1:6" x14ac:dyDescent="0.3">
      <c r="A159" t="s">
        <v>34</v>
      </c>
      <c r="B159">
        <v>40</v>
      </c>
      <c r="C159">
        <v>1</v>
      </c>
      <c r="D159">
        <v>16.75</v>
      </c>
      <c r="E159">
        <v>11.615</v>
      </c>
      <c r="F159">
        <v>263</v>
      </c>
    </row>
    <row r="160" spans="1:6" x14ac:dyDescent="0.3">
      <c r="A160" t="s">
        <v>34</v>
      </c>
      <c r="B160">
        <v>40</v>
      </c>
      <c r="C160">
        <v>1</v>
      </c>
      <c r="D160">
        <v>16.763000000000002</v>
      </c>
      <c r="E160">
        <v>11.656000000000001</v>
      </c>
      <c r="F160">
        <v>263</v>
      </c>
    </row>
    <row r="161" spans="1:6" x14ac:dyDescent="0.3">
      <c r="A161" t="s">
        <v>34</v>
      </c>
      <c r="B161">
        <v>96</v>
      </c>
      <c r="C161">
        <v>1</v>
      </c>
      <c r="D161">
        <v>35.128999999999998</v>
      </c>
      <c r="E161">
        <v>51.296999999999997</v>
      </c>
      <c r="F161">
        <v>284</v>
      </c>
    </row>
    <row r="162" spans="1:6" x14ac:dyDescent="0.3">
      <c r="A162" t="s">
        <v>34</v>
      </c>
      <c r="B162">
        <v>96</v>
      </c>
      <c r="C162">
        <v>1</v>
      </c>
      <c r="D162">
        <v>35.167999999999999</v>
      </c>
      <c r="E162">
        <v>51.271999999999998</v>
      </c>
      <c r="F162">
        <v>288</v>
      </c>
    </row>
    <row r="163" spans="1:6" x14ac:dyDescent="0.3">
      <c r="A163" t="s">
        <v>34</v>
      </c>
      <c r="B163">
        <v>96</v>
      </c>
      <c r="C163">
        <v>1</v>
      </c>
      <c r="D163">
        <v>35.119</v>
      </c>
      <c r="E163">
        <v>51.417000000000002</v>
      </c>
      <c r="F163">
        <v>293</v>
      </c>
    </row>
    <row r="164" spans="1:6" x14ac:dyDescent="0.3">
      <c r="A164" t="s">
        <v>34</v>
      </c>
      <c r="B164">
        <v>96</v>
      </c>
      <c r="C164">
        <v>1</v>
      </c>
      <c r="D164">
        <v>35.142000000000003</v>
      </c>
      <c r="E164">
        <v>51.328000000000003</v>
      </c>
      <c r="F164">
        <v>277</v>
      </c>
    </row>
    <row r="165" spans="1:6" x14ac:dyDescent="0.3">
      <c r="A165" t="s">
        <v>34</v>
      </c>
      <c r="B165">
        <v>96</v>
      </c>
      <c r="C165">
        <v>1</v>
      </c>
      <c r="D165">
        <v>35.140999999999998</v>
      </c>
      <c r="E165">
        <v>51.408000000000001</v>
      </c>
      <c r="F165">
        <v>319</v>
      </c>
    </row>
    <row r="166" spans="1:6" x14ac:dyDescent="0.3">
      <c r="A166" t="s">
        <v>34</v>
      </c>
      <c r="B166">
        <v>96</v>
      </c>
      <c r="C166">
        <v>1</v>
      </c>
      <c r="D166">
        <v>35.137999999999998</v>
      </c>
      <c r="E166">
        <v>51.374000000000002</v>
      </c>
      <c r="F166">
        <v>281</v>
      </c>
    </row>
    <row r="167" spans="1:6" x14ac:dyDescent="0.3">
      <c r="A167" t="s">
        <v>34</v>
      </c>
      <c r="B167">
        <v>96</v>
      </c>
      <c r="C167">
        <v>1</v>
      </c>
      <c r="D167">
        <v>35.168999999999997</v>
      </c>
      <c r="E167">
        <v>51.43</v>
      </c>
      <c r="F167">
        <v>314</v>
      </c>
    </row>
    <row r="168" spans="1:6" x14ac:dyDescent="0.3">
      <c r="A168" t="s">
        <v>34</v>
      </c>
      <c r="B168">
        <v>96</v>
      </c>
      <c r="C168">
        <v>1</v>
      </c>
      <c r="D168">
        <v>35.161999999999999</v>
      </c>
      <c r="E168">
        <v>51.348999999999997</v>
      </c>
      <c r="F168">
        <v>271</v>
      </c>
    </row>
    <row r="169" spans="1:6" x14ac:dyDescent="0.3">
      <c r="A169" t="s">
        <v>34</v>
      </c>
      <c r="B169">
        <v>96</v>
      </c>
      <c r="C169">
        <v>1</v>
      </c>
      <c r="D169">
        <v>35.183999999999997</v>
      </c>
      <c r="E169">
        <v>51.351999999999997</v>
      </c>
      <c r="F169">
        <v>313</v>
      </c>
    </row>
    <row r="170" spans="1:6" x14ac:dyDescent="0.3">
      <c r="A170" t="s">
        <v>34</v>
      </c>
      <c r="B170">
        <v>96</v>
      </c>
      <c r="C170">
        <v>1</v>
      </c>
      <c r="D170">
        <v>35.195999999999998</v>
      </c>
      <c r="E170">
        <v>51.401000000000003</v>
      </c>
      <c r="F170">
        <v>284</v>
      </c>
    </row>
    <row r="171" spans="1:6" x14ac:dyDescent="0.3">
      <c r="A171" t="s">
        <v>34</v>
      </c>
      <c r="B171">
        <v>224</v>
      </c>
      <c r="C171">
        <v>1</v>
      </c>
      <c r="D171">
        <v>71.921000000000006</v>
      </c>
      <c r="E171">
        <v>255.64400000000001</v>
      </c>
      <c r="F171">
        <v>258</v>
      </c>
    </row>
    <row r="172" spans="1:6" x14ac:dyDescent="0.3">
      <c r="A172" t="s">
        <v>34</v>
      </c>
      <c r="B172">
        <v>224</v>
      </c>
      <c r="C172">
        <v>1</v>
      </c>
      <c r="D172">
        <v>71.926000000000002</v>
      </c>
      <c r="E172">
        <v>256.05399999999997</v>
      </c>
      <c r="F172">
        <v>251</v>
      </c>
    </row>
    <row r="173" spans="1:6" x14ac:dyDescent="0.3">
      <c r="A173" t="s">
        <v>34</v>
      </c>
      <c r="B173">
        <v>224</v>
      </c>
      <c r="C173">
        <v>1</v>
      </c>
      <c r="D173">
        <v>72.012</v>
      </c>
      <c r="E173">
        <v>255.96299999999999</v>
      </c>
      <c r="F173">
        <v>253</v>
      </c>
    </row>
    <row r="174" spans="1:6" x14ac:dyDescent="0.3">
      <c r="A174" t="s">
        <v>34</v>
      </c>
      <c r="B174">
        <v>224</v>
      </c>
      <c r="C174">
        <v>1</v>
      </c>
      <c r="D174">
        <v>72.013999999999996</v>
      </c>
      <c r="E174">
        <v>256.26</v>
      </c>
      <c r="F174">
        <v>254</v>
      </c>
    </row>
    <row r="175" spans="1:6" x14ac:dyDescent="0.3">
      <c r="A175" t="s">
        <v>34</v>
      </c>
      <c r="B175">
        <v>224</v>
      </c>
      <c r="C175">
        <v>1</v>
      </c>
      <c r="D175">
        <v>71.923000000000002</v>
      </c>
      <c r="E175">
        <v>255.68100000000001</v>
      </c>
      <c r="F175">
        <v>257</v>
      </c>
    </row>
    <row r="176" spans="1:6" x14ac:dyDescent="0.3">
      <c r="A176" t="s">
        <v>34</v>
      </c>
      <c r="B176">
        <v>224</v>
      </c>
      <c r="C176">
        <v>1</v>
      </c>
      <c r="D176">
        <v>71.938999999999993</v>
      </c>
      <c r="E176">
        <v>256.07499999999999</v>
      </c>
      <c r="F176">
        <v>255</v>
      </c>
    </row>
    <row r="177" spans="1:6" x14ac:dyDescent="0.3">
      <c r="A177" t="s">
        <v>34</v>
      </c>
      <c r="B177">
        <v>224</v>
      </c>
      <c r="C177">
        <v>1</v>
      </c>
      <c r="D177">
        <v>71.921999999999997</v>
      </c>
      <c r="E177">
        <v>255.84</v>
      </c>
      <c r="F177">
        <v>256</v>
      </c>
    </row>
    <row r="178" spans="1:6" x14ac:dyDescent="0.3">
      <c r="A178" t="s">
        <v>34</v>
      </c>
      <c r="B178">
        <v>224</v>
      </c>
      <c r="C178">
        <v>1</v>
      </c>
      <c r="D178">
        <v>71.914000000000001</v>
      </c>
      <c r="E178">
        <v>255.96700000000001</v>
      </c>
      <c r="F178">
        <v>257</v>
      </c>
    </row>
    <row r="179" spans="1:6" x14ac:dyDescent="0.3">
      <c r="A179" t="s">
        <v>34</v>
      </c>
      <c r="B179">
        <v>224</v>
      </c>
      <c r="C179">
        <v>1</v>
      </c>
      <c r="D179">
        <v>71.978999999999999</v>
      </c>
      <c r="E179">
        <v>255.78200000000001</v>
      </c>
      <c r="F179">
        <v>254</v>
      </c>
    </row>
    <row r="180" spans="1:6" x14ac:dyDescent="0.3">
      <c r="A180" t="s">
        <v>34</v>
      </c>
      <c r="B180">
        <v>224</v>
      </c>
      <c r="C180">
        <v>1</v>
      </c>
      <c r="D180">
        <v>71.972999999999999</v>
      </c>
      <c r="E180">
        <v>255.54</v>
      </c>
      <c r="F180">
        <v>253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08203125"/>
    <col min="2" max="2" width="4.33203125"/>
    <col min="3" max="3" width="2.58203125"/>
    <col min="4" max="4" width="10.5" bestFit="1" customWidth="1"/>
    <col min="5" max="5" width="7.25"/>
    <col min="6" max="6" width="5" customWidth="1"/>
    <col min="7" max="7" width="2.33203125"/>
    <col min="8" max="8" width="10.5"/>
    <col min="9" max="9" width="4.33203125"/>
    <col min="10" max="10" width="3.33203125"/>
    <col min="11" max="11" width="2.33203125"/>
    <col min="12" max="21" width="9.5"/>
    <col min="22" max="22" width="3.5"/>
    <col min="23" max="23" width="9.5"/>
    <col min="24" max="24" width="3.75"/>
    <col min="25" max="25" width="9.5"/>
    <col min="26" max="26" width="3"/>
    <col min="27" max="27" width="2.58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5.2939999999999996</v>
      </c>
      <c r="F1">
        <v>218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28.504000000000001</v>
      </c>
      <c r="E2">
        <v>5.298</v>
      </c>
      <c r="F2">
        <v>240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28.504000000000001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28.591999999999999</v>
      </c>
      <c r="U2" s="35">
        <f t="shared" ref="U2:U13" ca="1" si="9">INDIRECT("D"&amp;1+(ROW(M1)-1)*10+COLUMN(J1)-1)</f>
        <v>28.591999999999999</v>
      </c>
      <c r="W2" s="35">
        <f t="shared" ref="W2:W19" ca="1" si="10">AVERAGE(L2:U2)</f>
        <v>28.550999999999995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0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1.4734774066796953E-3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3.0872859949479868E-3</v>
      </c>
      <c r="AK2" s="35">
        <f t="shared" ref="AK2:AK19" ca="1" si="20">(U2-$Y2)/$Y2</f>
        <v>3.0872859949479868E-3</v>
      </c>
      <c r="AM2" s="35">
        <f t="shared" ref="AM2:AM19" ca="1" si="21">SUM(AB2:AK2)</f>
        <v>1.6488913836653841E-2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5.2809999999999997</v>
      </c>
      <c r="F3">
        <v>213</v>
      </c>
      <c r="H3" s="35" t="s">
        <v>17</v>
      </c>
      <c r="I3" s="35">
        <v>50</v>
      </c>
      <c r="J3" s="35">
        <v>1</v>
      </c>
      <c r="L3" s="35">
        <f t="shared" ca="1" si="0"/>
        <v>53.046999999999997</v>
      </c>
      <c r="M3" s="35">
        <f t="shared" ca="1" si="1"/>
        <v>53.058</v>
      </c>
      <c r="N3" s="35">
        <f t="shared" ca="1" si="2"/>
        <v>53.067</v>
      </c>
      <c r="O3" s="35">
        <f t="shared" ca="1" si="3"/>
        <v>52.972000000000001</v>
      </c>
      <c r="P3" s="35">
        <f t="shared" ca="1" si="4"/>
        <v>53.078000000000003</v>
      </c>
      <c r="Q3" s="35">
        <f t="shared" ca="1" si="5"/>
        <v>53.057000000000002</v>
      </c>
      <c r="R3" s="35">
        <f t="shared" ca="1" si="6"/>
        <v>52.957000000000001</v>
      </c>
      <c r="S3" s="35">
        <f t="shared" ca="1" si="7"/>
        <v>53.078000000000003</v>
      </c>
      <c r="T3" s="35">
        <f t="shared" ca="1" si="8"/>
        <v>53.097999999999999</v>
      </c>
      <c r="U3" s="35">
        <f t="shared" ca="1" si="9"/>
        <v>52.927</v>
      </c>
      <c r="W3" s="35">
        <f t="shared" ca="1" si="10"/>
        <v>53.033899999999996</v>
      </c>
      <c r="Y3" s="35">
        <f ca="1">Total!E3</f>
        <v>52.927</v>
      </c>
      <c r="AB3" s="35">
        <f t="shared" ca="1" si="11"/>
        <v>2.2672737922043084E-3</v>
      </c>
      <c r="AC3" s="35">
        <f t="shared" ca="1" si="12"/>
        <v>2.4751072231564272E-3</v>
      </c>
      <c r="AD3" s="35">
        <f t="shared" ca="1" si="13"/>
        <v>2.6451527575717605E-3</v>
      </c>
      <c r="AE3" s="35">
        <f t="shared" ca="1" si="14"/>
        <v>8.5022767207666608E-4</v>
      </c>
      <c r="AF3" s="35">
        <f t="shared" ca="1" si="15"/>
        <v>2.8529861885238793E-3</v>
      </c>
      <c r="AG3" s="35">
        <f t="shared" ca="1" si="16"/>
        <v>2.4562132748881015E-3</v>
      </c>
      <c r="AH3" s="35">
        <f t="shared" ca="1" si="17"/>
        <v>5.6681844805111072E-4</v>
      </c>
      <c r="AI3" s="35">
        <f t="shared" ca="1" si="18"/>
        <v>2.8529861885238793E-3</v>
      </c>
      <c r="AJ3" s="35">
        <f t="shared" ca="1" si="19"/>
        <v>3.230865153891197E-3</v>
      </c>
      <c r="AK3" s="35">
        <f t="shared" ca="1" si="20"/>
        <v>0</v>
      </c>
      <c r="AM3" s="35">
        <f t="shared" ca="1" si="21"/>
        <v>2.0197630698887328E-2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5.282</v>
      </c>
      <c r="F4">
        <v>213</v>
      </c>
      <c r="H4" s="35" t="s">
        <v>17</v>
      </c>
      <c r="I4" s="35">
        <v>100</v>
      </c>
      <c r="J4" s="35">
        <v>1</v>
      </c>
      <c r="L4" s="35">
        <f t="shared" ca="1" si="0"/>
        <v>103.113</v>
      </c>
      <c r="M4" s="35">
        <f t="shared" ca="1" si="1"/>
        <v>103.28400000000001</v>
      </c>
      <c r="N4" s="35">
        <f t="shared" ca="1" si="2"/>
        <v>103.262</v>
      </c>
      <c r="O4" s="35">
        <f t="shared" ca="1" si="3"/>
        <v>103.309</v>
      </c>
      <c r="P4" s="35">
        <f t="shared" ca="1" si="4"/>
        <v>103.267</v>
      </c>
      <c r="Q4" s="35">
        <f t="shared" ca="1" si="5"/>
        <v>103.282</v>
      </c>
      <c r="R4" s="35">
        <f t="shared" ca="1" si="6"/>
        <v>103.297</v>
      </c>
      <c r="S4" s="35">
        <f t="shared" ca="1" si="7"/>
        <v>103.211</v>
      </c>
      <c r="T4" s="35">
        <f t="shared" ca="1" si="8"/>
        <v>103.02500000000001</v>
      </c>
      <c r="U4" s="35">
        <f t="shared" ca="1" si="9"/>
        <v>103.253</v>
      </c>
      <c r="W4" s="35">
        <f t="shared" ca="1" si="10"/>
        <v>103.23029999999999</v>
      </c>
      <c r="Y4" s="35">
        <f ca="1">Total!E4</f>
        <v>102.80200000000001</v>
      </c>
      <c r="AB4" s="35">
        <f t="shared" ca="1" si="11"/>
        <v>3.0252329721210951E-3</v>
      </c>
      <c r="AC4" s="35">
        <f t="shared" ca="1" si="12"/>
        <v>4.6886247349273288E-3</v>
      </c>
      <c r="AD4" s="35">
        <f t="shared" ca="1" si="13"/>
        <v>4.4746211163206326E-3</v>
      </c>
      <c r="AE4" s="35">
        <f t="shared" ca="1" si="14"/>
        <v>4.9318106651620661E-3</v>
      </c>
      <c r="AF4" s="35">
        <f t="shared" ca="1" si="15"/>
        <v>4.5232583023675525E-3</v>
      </c>
      <c r="AG4" s="35">
        <f t="shared" ca="1" si="16"/>
        <v>4.6691698605084509E-3</v>
      </c>
      <c r="AH4" s="35">
        <f t="shared" ca="1" si="17"/>
        <v>4.8150814186493484E-3</v>
      </c>
      <c r="AI4" s="35">
        <f t="shared" ca="1" si="18"/>
        <v>3.9785218186415804E-3</v>
      </c>
      <c r="AJ4" s="35">
        <f t="shared" ca="1" si="19"/>
        <v>2.1692184976945875E-3</v>
      </c>
      <c r="AK4" s="35">
        <f t="shared" ca="1" si="20"/>
        <v>4.3870741814360948E-3</v>
      </c>
      <c r="AM4" s="35">
        <f t="shared" ca="1" si="21"/>
        <v>4.1662613567828737E-2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5.2750000000000004</v>
      </c>
      <c r="F5">
        <v>202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5.2869999999999999</v>
      </c>
      <c r="F6">
        <v>212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179.93799999999999</v>
      </c>
      <c r="N6" s="35">
        <f t="shared" ca="1" si="2"/>
        <v>179.93799999999999</v>
      </c>
      <c r="O6" s="35">
        <f t="shared" ca="1" si="3"/>
        <v>180.87100000000001</v>
      </c>
      <c r="P6" s="35">
        <f t="shared" ca="1" si="4"/>
        <v>180.15700000000001</v>
      </c>
      <c r="Q6" s="35">
        <f t="shared" ca="1" si="5"/>
        <v>179.93799999999999</v>
      </c>
      <c r="R6" s="35">
        <f t="shared" ca="1" si="6"/>
        <v>179.93799999999999</v>
      </c>
      <c r="S6" s="35">
        <f t="shared" ca="1" si="7"/>
        <v>179.93799999999999</v>
      </c>
      <c r="T6" s="35">
        <f t="shared" ca="1" si="8"/>
        <v>179.93799999999999</v>
      </c>
      <c r="U6" s="35">
        <f t="shared" ca="1" si="9"/>
        <v>180.87100000000001</v>
      </c>
      <c r="W6" s="35">
        <f t="shared" ca="1" si="10"/>
        <v>180.1465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1.4749016268442469E-3</v>
      </c>
      <c r="AD6" s="35">
        <f t="shared" ca="1" si="13"/>
        <v>1.4749016268442469E-3</v>
      </c>
      <c r="AE6" s="35">
        <f t="shared" ca="1" si="14"/>
        <v>6.667668486639659E-3</v>
      </c>
      <c r="AF6" s="35">
        <f t="shared" ca="1" si="15"/>
        <v>2.693782593934586E-3</v>
      </c>
      <c r="AG6" s="35">
        <f t="shared" ca="1" si="16"/>
        <v>1.4749016268442469E-3</v>
      </c>
      <c r="AH6" s="35">
        <f t="shared" ca="1" si="17"/>
        <v>1.4749016268442469E-3</v>
      </c>
      <c r="AI6" s="35">
        <f t="shared" ca="1" si="18"/>
        <v>1.4749016268442469E-3</v>
      </c>
      <c r="AJ6" s="35">
        <f t="shared" ca="1" si="19"/>
        <v>1.4749016268442469E-3</v>
      </c>
      <c r="AK6" s="35">
        <f t="shared" ca="1" si="20"/>
        <v>6.667668486639659E-3</v>
      </c>
      <c r="AM6" s="35">
        <f t="shared" ca="1" si="21"/>
        <v>2.635343095512363E-2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5.3040000000000003</v>
      </c>
      <c r="F7">
        <v>180</v>
      </c>
      <c r="H7" s="35" t="s">
        <v>18</v>
      </c>
      <c r="I7" s="35">
        <v>100</v>
      </c>
      <c r="J7" s="35">
        <v>1</v>
      </c>
      <c r="L7" s="35">
        <f t="shared" ca="1" si="0"/>
        <v>239.09</v>
      </c>
      <c r="M7" s="35">
        <f t="shared" ca="1" si="1"/>
        <v>239.828</v>
      </c>
      <c r="N7" s="35">
        <f t="shared" ca="1" si="2"/>
        <v>240.35</v>
      </c>
      <c r="O7" s="35">
        <f t="shared" ca="1" si="3"/>
        <v>239.273</v>
      </c>
      <c r="P7" s="35">
        <f t="shared" ca="1" si="4"/>
        <v>238.86699999999999</v>
      </c>
      <c r="Q7" s="35">
        <f t="shared" ca="1" si="5"/>
        <v>239.09700000000001</v>
      </c>
      <c r="R7" s="35">
        <f t="shared" ca="1" si="6"/>
        <v>239.31299999999999</v>
      </c>
      <c r="S7" s="35">
        <f t="shared" ca="1" si="7"/>
        <v>239.167</v>
      </c>
      <c r="T7" s="35">
        <f t="shared" ca="1" si="8"/>
        <v>239.21700000000001</v>
      </c>
      <c r="U7" s="35">
        <f t="shared" ca="1" si="9"/>
        <v>239.197</v>
      </c>
      <c r="W7" s="35">
        <f t="shared" ca="1" si="10"/>
        <v>239.33990000000003</v>
      </c>
      <c r="Y7" s="35">
        <f ca="1">Total!E7</f>
        <v>238.86699999999999</v>
      </c>
      <c r="AB7" s="35">
        <f t="shared" ca="1" si="11"/>
        <v>9.3357391351678212E-4</v>
      </c>
      <c r="AC7" s="35">
        <f t="shared" ca="1" si="12"/>
        <v>4.0231593313434372E-3</v>
      </c>
      <c r="AD7" s="35">
        <f t="shared" ca="1" si="13"/>
        <v>6.2084758463915243E-3</v>
      </c>
      <c r="AE7" s="35">
        <f t="shared" ca="1" si="14"/>
        <v>1.6996906228152317E-3</v>
      </c>
      <c r="AF7" s="35">
        <f t="shared" ca="1" si="15"/>
        <v>0</v>
      </c>
      <c r="AG7" s="35">
        <f t="shared" ca="1" si="16"/>
        <v>9.6287892425499634E-4</v>
      </c>
      <c r="AH7" s="35">
        <f t="shared" ca="1" si="17"/>
        <v>1.8671478270334452E-3</v>
      </c>
      <c r="AI7" s="35">
        <f t="shared" ca="1" si="18"/>
        <v>1.2559290316368999E-3</v>
      </c>
      <c r="AJ7" s="35">
        <f t="shared" ca="1" si="19"/>
        <v>1.4652505369097562E-3</v>
      </c>
      <c r="AK7" s="35">
        <f t="shared" ca="1" si="20"/>
        <v>1.3815219348005899E-3</v>
      </c>
      <c r="AM7" s="35">
        <f t="shared" ca="1" si="21"/>
        <v>1.9797627968702668E-2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5.2750000000000004</v>
      </c>
      <c r="F8">
        <v>201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28.591999999999999</v>
      </c>
      <c r="E9">
        <v>5.282</v>
      </c>
      <c r="F9">
        <v>192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28.591999999999999</v>
      </c>
      <c r="E10">
        <v>5.2770000000000001</v>
      </c>
      <c r="F10">
        <v>220</v>
      </c>
      <c r="H10" s="35" t="s">
        <v>19</v>
      </c>
      <c r="I10" s="35">
        <v>100</v>
      </c>
      <c r="J10" s="35">
        <v>1</v>
      </c>
      <c r="L10" s="35">
        <f t="shared" ca="1" si="0"/>
        <v>35251.957999999999</v>
      </c>
      <c r="M10" s="35">
        <f t="shared" ca="1" si="1"/>
        <v>35261.671000000002</v>
      </c>
      <c r="N10" s="35">
        <f t="shared" ca="1" si="2"/>
        <v>35223.150999999998</v>
      </c>
      <c r="O10" s="35">
        <f t="shared" ca="1" si="3"/>
        <v>35260.442999999999</v>
      </c>
      <c r="P10" s="35">
        <f t="shared" ca="1" si="4"/>
        <v>35211.201000000001</v>
      </c>
      <c r="Q10" s="35">
        <f t="shared" ca="1" si="5"/>
        <v>35321.517</v>
      </c>
      <c r="R10" s="35">
        <f t="shared" ca="1" si="6"/>
        <v>35259.243999999999</v>
      </c>
      <c r="S10" s="35">
        <f t="shared" ca="1" si="7"/>
        <v>35272.953000000001</v>
      </c>
      <c r="T10" s="35">
        <f t="shared" ca="1" si="8"/>
        <v>35236.553999999996</v>
      </c>
      <c r="U10" s="35">
        <f t="shared" ca="1" si="9"/>
        <v>35258.428</v>
      </c>
      <c r="W10" s="35">
        <f t="shared" ca="1" si="10"/>
        <v>35255.712</v>
      </c>
      <c r="Y10" s="35">
        <f ca="1">Total!E10</f>
        <v>35210.383000000002</v>
      </c>
      <c r="AB10" s="35">
        <f t="shared" ca="1" si="11"/>
        <v>1.1807596639888038E-3</v>
      </c>
      <c r="AC10" s="35">
        <f t="shared" ca="1" si="12"/>
        <v>1.4566157942672894E-3</v>
      </c>
      <c r="AD10" s="35">
        <f t="shared" ca="1" si="13"/>
        <v>3.6262031003742251E-4</v>
      </c>
      <c r="AE10" s="35">
        <f t="shared" ca="1" si="14"/>
        <v>1.4217397180825233E-3</v>
      </c>
      <c r="AF10" s="35">
        <f t="shared" ca="1" si="15"/>
        <v>2.323178364743438E-5</v>
      </c>
      <c r="AG10" s="35">
        <f t="shared" ca="1" si="16"/>
        <v>3.1562848947141015E-3</v>
      </c>
      <c r="AH10" s="35">
        <f t="shared" ca="1" si="17"/>
        <v>1.3876872625894795E-3</v>
      </c>
      <c r="AI10" s="35">
        <f t="shared" ca="1" si="18"/>
        <v>1.7770326440357013E-3</v>
      </c>
      <c r="AJ10" s="35">
        <f t="shared" ca="1" si="19"/>
        <v>7.4327507315086064E-4</v>
      </c>
      <c r="AK10" s="35">
        <f t="shared" ca="1" si="20"/>
        <v>1.3645122803690676E-3</v>
      </c>
      <c r="AM10" s="35">
        <f t="shared" ca="1" si="21"/>
        <v>1.2873759424882685E-2</v>
      </c>
    </row>
    <row r="11" spans="1:39" x14ac:dyDescent="0.3">
      <c r="A11" t="s">
        <v>17</v>
      </c>
      <c r="B11">
        <v>50</v>
      </c>
      <c r="C11">
        <v>1</v>
      </c>
      <c r="D11">
        <v>53.046999999999997</v>
      </c>
      <c r="E11">
        <v>19.603000000000002</v>
      </c>
      <c r="F11">
        <v>299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657.32399999999996</v>
      </c>
      <c r="N11" s="35">
        <f t="shared" ca="1" si="2"/>
        <v>657.35599999999999</v>
      </c>
      <c r="O11" s="35">
        <f t="shared" ca="1" si="3"/>
        <v>657.32399999999996</v>
      </c>
      <c r="P11" s="35">
        <f t="shared" ca="1" si="4"/>
        <v>657.35599999999999</v>
      </c>
      <c r="Q11" s="35">
        <f t="shared" ca="1" si="5"/>
        <v>659.84500000000003</v>
      </c>
      <c r="R11" s="35">
        <f t="shared" ca="1" si="6"/>
        <v>657.98</v>
      </c>
      <c r="S11" s="35">
        <f t="shared" ca="1" si="7"/>
        <v>658.23299999999995</v>
      </c>
      <c r="T11" s="35">
        <f t="shared" ca="1" si="8"/>
        <v>658.23299999999995</v>
      </c>
      <c r="U11" s="35">
        <f t="shared" ca="1" si="9"/>
        <v>658.23299999999995</v>
      </c>
      <c r="W11" s="35">
        <f t="shared" ca="1" si="10"/>
        <v>657.92399999999998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2.8361544857466434E-3</v>
      </c>
      <c r="AD11" s="35">
        <f t="shared" ca="1" si="13"/>
        <v>2.8849747888902728E-3</v>
      </c>
      <c r="AE11" s="35">
        <f t="shared" ca="1" si="14"/>
        <v>2.8361544857466434E-3</v>
      </c>
      <c r="AF11" s="35">
        <f t="shared" ca="1" si="15"/>
        <v>2.8849747888902728E-3</v>
      </c>
      <c r="AG11" s="35">
        <f t="shared" ca="1" si="16"/>
        <v>6.6822789927761138E-3</v>
      </c>
      <c r="AH11" s="35">
        <f t="shared" ca="1" si="17"/>
        <v>3.8369707001899207E-3</v>
      </c>
      <c r="AI11" s="35">
        <f t="shared" ca="1" si="18"/>
        <v>4.2229562219186613E-3</v>
      </c>
      <c r="AJ11" s="35">
        <f t="shared" ca="1" si="19"/>
        <v>4.2229562219186613E-3</v>
      </c>
      <c r="AK11" s="35">
        <f t="shared" ca="1" si="20"/>
        <v>4.2229562219186613E-3</v>
      </c>
      <c r="AM11" s="35">
        <f t="shared" ca="1" si="21"/>
        <v>3.7515351696886128E-2</v>
      </c>
    </row>
    <row r="12" spans="1:39" x14ac:dyDescent="0.3">
      <c r="A12" t="s">
        <v>17</v>
      </c>
      <c r="B12">
        <v>50</v>
      </c>
      <c r="C12">
        <v>1</v>
      </c>
      <c r="D12">
        <v>53.058</v>
      </c>
      <c r="E12">
        <v>19.55</v>
      </c>
      <c r="F12">
        <v>297</v>
      </c>
      <c r="H12" s="35" t="s">
        <v>20</v>
      </c>
      <c r="I12" s="35">
        <v>50</v>
      </c>
      <c r="J12" s="35">
        <v>1</v>
      </c>
      <c r="L12" s="35">
        <f t="shared" ca="1" si="0"/>
        <v>991.851</v>
      </c>
      <c r="M12" s="35">
        <f t="shared" ca="1" si="1"/>
        <v>995.053</v>
      </c>
      <c r="N12" s="35">
        <f t="shared" ca="1" si="2"/>
        <v>995.60500000000002</v>
      </c>
      <c r="O12" s="35">
        <f t="shared" ca="1" si="3"/>
        <v>996.14</v>
      </c>
      <c r="P12" s="35">
        <f t="shared" ca="1" si="4"/>
        <v>995.57600000000002</v>
      </c>
      <c r="Q12" s="35">
        <f t="shared" ca="1" si="5"/>
        <v>998.17499999999995</v>
      </c>
      <c r="R12" s="35">
        <f t="shared" ca="1" si="6"/>
        <v>995.95100000000002</v>
      </c>
      <c r="S12" s="35">
        <f t="shared" ca="1" si="7"/>
        <v>997.31899999999996</v>
      </c>
      <c r="T12" s="35">
        <f t="shared" ca="1" si="8"/>
        <v>992.88599999999997</v>
      </c>
      <c r="U12" s="35">
        <f t="shared" ca="1" si="9"/>
        <v>993.56100000000004</v>
      </c>
      <c r="W12" s="35">
        <f t="shared" ca="1" si="10"/>
        <v>995.21170000000006</v>
      </c>
      <c r="Y12" s="35">
        <f ca="1">Total!E12</f>
        <v>990.096</v>
      </c>
      <c r="AB12" s="35">
        <f t="shared" ca="1" si="11"/>
        <v>1.7725553885683766E-3</v>
      </c>
      <c r="AC12" s="35">
        <f t="shared" ca="1" si="12"/>
        <v>5.006585220019062E-3</v>
      </c>
      <c r="AD12" s="35">
        <f t="shared" ca="1" si="13"/>
        <v>5.5641069148850359E-3</v>
      </c>
      <c r="AE12" s="35">
        <f t="shared" ca="1" si="14"/>
        <v>6.1044585575539979E-3</v>
      </c>
      <c r="AF12" s="35">
        <f t="shared" ca="1" si="15"/>
        <v>5.5348168258431687E-3</v>
      </c>
      <c r="AG12" s="35">
        <f t="shared" ca="1" si="16"/>
        <v>8.1598148058369593E-3</v>
      </c>
      <c r="AH12" s="35">
        <f t="shared" ca="1" si="17"/>
        <v>5.9135679772466688E-3</v>
      </c>
      <c r="AI12" s="35">
        <f t="shared" ca="1" si="18"/>
        <v>7.2952521775665755E-3</v>
      </c>
      <c r="AJ12" s="35">
        <f t="shared" ca="1" si="19"/>
        <v>2.8179085664420053E-3</v>
      </c>
      <c r="AK12" s="35">
        <f t="shared" ca="1" si="20"/>
        <v>3.4996606389683747E-3</v>
      </c>
      <c r="AM12" s="35">
        <f t="shared" ca="1" si="21"/>
        <v>5.1668727072930222E-2</v>
      </c>
    </row>
    <row r="13" spans="1:39" x14ac:dyDescent="0.3">
      <c r="A13" t="s">
        <v>17</v>
      </c>
      <c r="B13">
        <v>50</v>
      </c>
      <c r="C13">
        <v>1</v>
      </c>
      <c r="D13">
        <v>53.067</v>
      </c>
      <c r="E13">
        <v>19.597999999999999</v>
      </c>
      <c r="F13">
        <v>288</v>
      </c>
      <c r="H13" s="35" t="s">
        <v>20</v>
      </c>
      <c r="I13" s="35">
        <v>100</v>
      </c>
      <c r="J13" s="35">
        <v>1</v>
      </c>
      <c r="L13" s="35">
        <f t="shared" ca="1" si="0"/>
        <v>1756.953</v>
      </c>
      <c r="M13" s="35">
        <f t="shared" ca="1" si="1"/>
        <v>1756.9449999999999</v>
      </c>
      <c r="N13" s="35">
        <f t="shared" ca="1" si="2"/>
        <v>1755.585</v>
      </c>
      <c r="O13" s="35">
        <f t="shared" ca="1" si="3"/>
        <v>1756.153</v>
      </c>
      <c r="P13" s="35">
        <f t="shared" ca="1" si="4"/>
        <v>1756.357</v>
      </c>
      <c r="Q13" s="35">
        <f t="shared" ca="1" si="5"/>
        <v>1758.616</v>
      </c>
      <c r="R13" s="35">
        <f t="shared" ca="1" si="6"/>
        <v>1757.17</v>
      </c>
      <c r="S13" s="35">
        <f t="shared" ca="1" si="7"/>
        <v>1758.8630000000001</v>
      </c>
      <c r="T13" s="35">
        <f t="shared" ca="1" si="8"/>
        <v>1756.0429999999999</v>
      </c>
      <c r="U13" s="35">
        <f t="shared" ca="1" si="9"/>
        <v>1759.0260000000001</v>
      </c>
      <c r="W13" s="35">
        <f t="shared" ca="1" si="10"/>
        <v>1757.1711</v>
      </c>
      <c r="Y13" s="35">
        <f ca="1">Total!E13</f>
        <v>1753.79</v>
      </c>
      <c r="AB13" s="35">
        <f t="shared" ca="1" si="11"/>
        <v>1.8035226566464691E-3</v>
      </c>
      <c r="AC13" s="35">
        <f t="shared" ca="1" si="12"/>
        <v>1.7989611070880623E-3</v>
      </c>
      <c r="AD13" s="35">
        <f t="shared" ca="1" si="13"/>
        <v>1.0234976821626722E-3</v>
      </c>
      <c r="AE13" s="35">
        <f t="shared" ca="1" si="14"/>
        <v>1.3473677008079966E-3</v>
      </c>
      <c r="AF13" s="35">
        <f t="shared" ca="1" si="15"/>
        <v>1.4636872145467857E-3</v>
      </c>
      <c r="AG13" s="35">
        <f t="shared" ca="1" si="16"/>
        <v>2.7517547710957536E-3</v>
      </c>
      <c r="AH13" s="35">
        <f t="shared" ca="1" si="17"/>
        <v>1.9272546884177178E-3</v>
      </c>
      <c r="AI13" s="35">
        <f t="shared" ca="1" si="18"/>
        <v>2.8925926137109304E-3</v>
      </c>
      <c r="AJ13" s="35">
        <f t="shared" ca="1" si="19"/>
        <v>1.2846463943801305E-3</v>
      </c>
      <c r="AK13" s="35">
        <f t="shared" ca="1" si="20"/>
        <v>2.9855341859630308E-3</v>
      </c>
      <c r="AM13" s="35">
        <f t="shared" ca="1" si="21"/>
        <v>1.9278819014819551E-2</v>
      </c>
    </row>
    <row r="14" spans="1:39" x14ac:dyDescent="0.3">
      <c r="A14" t="s">
        <v>17</v>
      </c>
      <c r="B14">
        <v>50</v>
      </c>
      <c r="C14">
        <v>1</v>
      </c>
      <c r="D14">
        <v>52.972000000000001</v>
      </c>
      <c r="E14">
        <v>19.556999999999999</v>
      </c>
      <c r="F14">
        <v>301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53.078000000000003</v>
      </c>
      <c r="E15">
        <v>19.547000000000001</v>
      </c>
      <c r="F15">
        <v>343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76.358000000000004</v>
      </c>
      <c r="M15" s="35">
        <f t="shared" ca="1" si="1"/>
        <v>76.644999999999996</v>
      </c>
      <c r="N15" s="35">
        <f t="shared" ca="1" si="1"/>
        <v>76.281000000000006</v>
      </c>
      <c r="O15" s="35">
        <f t="shared" ca="1" si="1"/>
        <v>76.402000000000001</v>
      </c>
      <c r="P15" s="35">
        <f t="shared" ca="1" si="1"/>
        <v>76.451999999999998</v>
      </c>
      <c r="Q15" s="35">
        <f t="shared" ca="1" si="1"/>
        <v>76.2</v>
      </c>
      <c r="R15" s="35">
        <f t="shared" ca="1" si="1"/>
        <v>76.86</v>
      </c>
      <c r="S15" s="35">
        <f t="shared" ca="1" si="1"/>
        <v>76.253</v>
      </c>
      <c r="T15" s="35">
        <f t="shared" ca="1" si="1"/>
        <v>76.274000000000001</v>
      </c>
      <c r="U15" s="35">
        <f t="shared" ca="1" si="1"/>
        <v>76.477000000000004</v>
      </c>
      <c r="W15" s="35">
        <f t="shared" ca="1" si="10"/>
        <v>76.420199999999994</v>
      </c>
      <c r="Y15" s="35">
        <f ca="1">Total!E15</f>
        <v>75.998000000000005</v>
      </c>
      <c r="AB15" s="35">
        <f t="shared" ca="1" si="11"/>
        <v>4.7369667622832101E-3</v>
      </c>
      <c r="AC15" s="35">
        <f t="shared" ca="1" si="12"/>
        <v>8.5133819311033355E-3</v>
      </c>
      <c r="AD15" s="35">
        <f t="shared" ca="1" si="13"/>
        <v>3.7237822047948791E-3</v>
      </c>
      <c r="AE15" s="35">
        <f t="shared" ca="1" si="14"/>
        <v>5.3159293665622298E-3</v>
      </c>
      <c r="AF15" s="35">
        <f t="shared" ca="1" si="15"/>
        <v>5.9738414168793059E-3</v>
      </c>
      <c r="AG15" s="35">
        <f t="shared" ca="1" si="16"/>
        <v>2.6579646832811149E-3</v>
      </c>
      <c r="AH15" s="35">
        <f t="shared" ca="1" si="17"/>
        <v>1.1342403747466969E-2</v>
      </c>
      <c r="AI15" s="35">
        <f t="shared" ca="1" si="18"/>
        <v>3.3553514566172192E-3</v>
      </c>
      <c r="AJ15" s="35">
        <f t="shared" ca="1" si="19"/>
        <v>3.6316745177504177E-3</v>
      </c>
      <c r="AK15" s="35">
        <f t="shared" ca="1" si="20"/>
        <v>6.3027974420379372E-3</v>
      </c>
      <c r="AM15" s="35">
        <f t="shared" ca="1" si="21"/>
        <v>5.5554093528776619E-2</v>
      </c>
    </row>
    <row r="16" spans="1:39" x14ac:dyDescent="0.3">
      <c r="A16" t="s">
        <v>17</v>
      </c>
      <c r="B16">
        <v>50</v>
      </c>
      <c r="C16">
        <v>1</v>
      </c>
      <c r="D16">
        <v>53.057000000000002</v>
      </c>
      <c r="E16">
        <v>19.581</v>
      </c>
      <c r="F16">
        <v>413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119.121</v>
      </c>
      <c r="M16" s="35">
        <f t="shared" ca="1" si="1"/>
        <v>118.735</v>
      </c>
      <c r="N16" s="35">
        <f t="shared" ca="1" si="1"/>
        <v>118.751</v>
      </c>
      <c r="O16" s="35">
        <f t="shared" ca="1" si="1"/>
        <v>118.789</v>
      </c>
      <c r="P16" s="35">
        <f t="shared" ca="1" si="1"/>
        <v>118.72499999999999</v>
      </c>
      <c r="Q16" s="35">
        <f t="shared" ca="1" si="1"/>
        <v>119.09099999999999</v>
      </c>
      <c r="R16" s="35">
        <f t="shared" ca="1" si="1"/>
        <v>119.011</v>
      </c>
      <c r="S16" s="35">
        <f t="shared" ca="1" si="1"/>
        <v>118.294</v>
      </c>
      <c r="T16" s="35">
        <f t="shared" ca="1" si="1"/>
        <v>118.651</v>
      </c>
      <c r="U16" s="35">
        <f t="shared" ca="1" si="1"/>
        <v>118.70099999999999</v>
      </c>
      <c r="W16" s="35">
        <f t="shared" ca="1" si="10"/>
        <v>118.78689999999999</v>
      </c>
      <c r="Y16" s="35">
        <f ca="1">Total!E16</f>
        <v>118.01</v>
      </c>
      <c r="AB16" s="35">
        <f t="shared" ca="1" si="11"/>
        <v>9.4144564019997459E-3</v>
      </c>
      <c r="AC16" s="35">
        <f t="shared" ca="1" si="12"/>
        <v>6.1435471570205433E-3</v>
      </c>
      <c r="AD16" s="35">
        <f t="shared" ca="1" si="13"/>
        <v>6.279128887382422E-3</v>
      </c>
      <c r="AE16" s="35">
        <f t="shared" ca="1" si="14"/>
        <v>6.6011354969917491E-3</v>
      </c>
      <c r="AF16" s="35">
        <f t="shared" ca="1" si="15"/>
        <v>6.0588085755443532E-3</v>
      </c>
      <c r="AG16" s="35">
        <f t="shared" ca="1" si="16"/>
        <v>9.1602406575712978E-3</v>
      </c>
      <c r="AH16" s="35">
        <f t="shared" ca="1" si="17"/>
        <v>8.4823320057621429E-3</v>
      </c>
      <c r="AI16" s="35">
        <f t="shared" ca="1" si="18"/>
        <v>2.4065757139224795E-3</v>
      </c>
      <c r="AJ16" s="35">
        <f t="shared" ca="1" si="19"/>
        <v>5.4317430726208886E-3</v>
      </c>
      <c r="AK16" s="35">
        <f t="shared" ca="1" si="20"/>
        <v>5.8554359800015955E-3</v>
      </c>
      <c r="AM16" s="35">
        <f t="shared" ca="1" si="21"/>
        <v>6.5833403948817218E-2</v>
      </c>
    </row>
    <row r="17" spans="1:39" x14ac:dyDescent="0.3">
      <c r="A17" t="s">
        <v>17</v>
      </c>
      <c r="B17">
        <v>50</v>
      </c>
      <c r="C17">
        <v>1</v>
      </c>
      <c r="D17">
        <v>52.957000000000001</v>
      </c>
      <c r="E17">
        <v>19.545000000000002</v>
      </c>
      <c r="F17">
        <v>411</v>
      </c>
      <c r="H17" s="35" t="s">
        <v>34</v>
      </c>
      <c r="I17" s="35">
        <v>40</v>
      </c>
      <c r="J17" s="35">
        <v>1</v>
      </c>
      <c r="L17" s="35">
        <f t="shared" ca="1" si="22"/>
        <v>16.704999999999998</v>
      </c>
      <c r="M17" s="35">
        <f t="shared" ca="1" si="1"/>
        <v>16.785</v>
      </c>
      <c r="N17" s="35">
        <f t="shared" ca="1" si="1"/>
        <v>16.75</v>
      </c>
      <c r="O17" s="35">
        <f t="shared" ca="1" si="1"/>
        <v>16.721</v>
      </c>
      <c r="P17" s="35">
        <f t="shared" ca="1" si="1"/>
        <v>16.803999999999998</v>
      </c>
      <c r="Q17" s="35">
        <f t="shared" ca="1" si="1"/>
        <v>16.803999999999998</v>
      </c>
      <c r="R17" s="35">
        <f t="shared" ca="1" si="1"/>
        <v>16.803999999999998</v>
      </c>
      <c r="S17" s="35">
        <f t="shared" ca="1" si="1"/>
        <v>16.68</v>
      </c>
      <c r="T17" s="35">
        <f t="shared" ca="1" si="1"/>
        <v>16.858000000000001</v>
      </c>
      <c r="U17" s="35">
        <f t="shared" ca="1" si="1"/>
        <v>16.905000000000001</v>
      </c>
      <c r="W17" s="35">
        <f t="shared" ca="1" si="10"/>
        <v>16.781600000000001</v>
      </c>
      <c r="Y17" s="35">
        <f ca="1">Total!E17</f>
        <v>16.481999999999999</v>
      </c>
      <c r="AB17" s="35">
        <f t="shared" ca="1" si="11"/>
        <v>1.3529911418517108E-2</v>
      </c>
      <c r="AC17" s="35">
        <f t="shared" ca="1" si="12"/>
        <v>1.8383691299599613E-2</v>
      </c>
      <c r="AD17" s="35">
        <f t="shared" ca="1" si="13"/>
        <v>1.626016260162606E-2</v>
      </c>
      <c r="AE17" s="35">
        <f t="shared" ca="1" si="14"/>
        <v>1.4500667394733695E-2</v>
      </c>
      <c r="AF17" s="35">
        <f t="shared" ca="1" si="15"/>
        <v>1.9536464021356583E-2</v>
      </c>
      <c r="AG17" s="35">
        <f t="shared" ca="1" si="16"/>
        <v>1.9536464021356583E-2</v>
      </c>
      <c r="AH17" s="35">
        <f t="shared" ca="1" si="17"/>
        <v>1.9536464021356583E-2</v>
      </c>
      <c r="AI17" s="35">
        <f t="shared" ca="1" si="18"/>
        <v>1.2013105205678947E-2</v>
      </c>
      <c r="AJ17" s="35">
        <f t="shared" ca="1" si="19"/>
        <v>2.2812765441087322E-2</v>
      </c>
      <c r="AK17" s="35">
        <f t="shared" ca="1" si="20"/>
        <v>2.5664361121223264E-2</v>
      </c>
      <c r="AM17" s="35">
        <f t="shared" ca="1" si="21"/>
        <v>0.18177405654653578</v>
      </c>
    </row>
    <row r="18" spans="1:39" x14ac:dyDescent="0.3">
      <c r="A18" t="s">
        <v>17</v>
      </c>
      <c r="B18">
        <v>50</v>
      </c>
      <c r="C18">
        <v>1</v>
      </c>
      <c r="D18">
        <v>53.078000000000003</v>
      </c>
      <c r="E18">
        <v>19.555</v>
      </c>
      <c r="F18">
        <v>319</v>
      </c>
      <c r="H18" s="35" t="s">
        <v>34</v>
      </c>
      <c r="I18" s="35">
        <v>96</v>
      </c>
      <c r="J18" s="35">
        <v>1</v>
      </c>
      <c r="L18" s="35">
        <f t="shared" ca="1" si="22"/>
        <v>35.165999999999997</v>
      </c>
      <c r="M18" s="35">
        <f t="shared" ca="1" si="22"/>
        <v>35.179000000000002</v>
      </c>
      <c r="N18" s="35">
        <f t="shared" ca="1" si="22"/>
        <v>35.203000000000003</v>
      </c>
      <c r="O18" s="35">
        <f t="shared" ca="1" si="22"/>
        <v>35.146000000000001</v>
      </c>
      <c r="P18" s="35">
        <f t="shared" ca="1" si="22"/>
        <v>35.168999999999997</v>
      </c>
      <c r="Q18" s="35">
        <f t="shared" ca="1" si="22"/>
        <v>35.156999999999996</v>
      </c>
      <c r="R18" s="35">
        <f t="shared" ca="1" si="22"/>
        <v>35.168999999999997</v>
      </c>
      <c r="S18" s="35">
        <f t="shared" ca="1" si="22"/>
        <v>35.204000000000001</v>
      </c>
      <c r="T18" s="35">
        <f t="shared" ca="1" si="22"/>
        <v>35.198999999999998</v>
      </c>
      <c r="U18" s="35">
        <f t="shared" ca="1" si="22"/>
        <v>35.206000000000003</v>
      </c>
      <c r="W18" s="35">
        <f t="shared" ca="1" si="10"/>
        <v>35.1798</v>
      </c>
      <c r="Y18" s="35">
        <f ca="1">Total!E18</f>
        <v>35.069000000000003</v>
      </c>
      <c r="AB18" s="35">
        <f t="shared" ca="1" si="11"/>
        <v>2.7659756480080469E-3</v>
      </c>
      <c r="AC18" s="35">
        <f t="shared" ca="1" si="12"/>
        <v>3.1366734152670286E-3</v>
      </c>
      <c r="AD18" s="35">
        <f t="shared" ca="1" si="13"/>
        <v>3.8210385240525914E-3</v>
      </c>
      <c r="AE18" s="35">
        <f t="shared" ca="1" si="14"/>
        <v>2.1956713906868793E-3</v>
      </c>
      <c r="AF18" s="35">
        <f t="shared" ca="1" si="15"/>
        <v>2.8515212866062423E-3</v>
      </c>
      <c r="AG18" s="35">
        <f t="shared" ca="1" si="16"/>
        <v>2.5093387322134607E-3</v>
      </c>
      <c r="AH18" s="35">
        <f t="shared" ca="1" si="17"/>
        <v>2.8515212866062423E-3</v>
      </c>
      <c r="AI18" s="35">
        <f t="shared" ca="1" si="18"/>
        <v>3.849553736918589E-3</v>
      </c>
      <c r="AJ18" s="35">
        <f t="shared" ca="1" si="19"/>
        <v>3.7069776725881958E-3</v>
      </c>
      <c r="AK18" s="35">
        <f t="shared" ca="1" si="20"/>
        <v>3.9065841626507872E-3</v>
      </c>
      <c r="AM18" s="35">
        <f t="shared" ca="1" si="21"/>
        <v>3.1594855855598063E-2</v>
      </c>
    </row>
    <row r="19" spans="1:39" x14ac:dyDescent="0.3">
      <c r="A19" t="s">
        <v>17</v>
      </c>
      <c r="B19">
        <v>50</v>
      </c>
      <c r="C19">
        <v>1</v>
      </c>
      <c r="D19">
        <v>53.097999999999999</v>
      </c>
      <c r="E19">
        <v>19.602</v>
      </c>
      <c r="F19">
        <v>299</v>
      </c>
      <c r="H19" s="35" t="s">
        <v>34</v>
      </c>
      <c r="I19" s="35">
        <v>224</v>
      </c>
      <c r="J19" s="35">
        <v>1</v>
      </c>
      <c r="L19" s="35">
        <f t="shared" ca="1" si="22"/>
        <v>72.010000000000005</v>
      </c>
      <c r="M19" s="35">
        <f t="shared" ca="1" si="22"/>
        <v>72.034999999999997</v>
      </c>
      <c r="N19" s="35">
        <f t="shared" ca="1" si="22"/>
        <v>71.935000000000002</v>
      </c>
      <c r="O19" s="35">
        <f t="shared" ca="1" si="22"/>
        <v>71.930000000000007</v>
      </c>
      <c r="P19" s="35">
        <f t="shared" ca="1" si="22"/>
        <v>71.944999999999993</v>
      </c>
      <c r="Q19" s="35">
        <f t="shared" ca="1" si="22"/>
        <v>71.933999999999997</v>
      </c>
      <c r="R19" s="35">
        <f t="shared" ca="1" si="22"/>
        <v>71.933999999999997</v>
      </c>
      <c r="S19" s="35">
        <f t="shared" ca="1" si="22"/>
        <v>71.983999999999995</v>
      </c>
      <c r="T19" s="35">
        <f t="shared" ca="1" si="22"/>
        <v>71.974000000000004</v>
      </c>
      <c r="U19" s="35">
        <f t="shared" ca="1" si="22"/>
        <v>71.927999999999997</v>
      </c>
      <c r="W19" s="35">
        <f t="shared" ca="1" si="10"/>
        <v>71.960900000000009</v>
      </c>
      <c r="Y19" s="35">
        <f ca="1">Total!E19</f>
        <v>71.908000000000001</v>
      </c>
      <c r="AB19" s="35">
        <f t="shared" ca="1" si="11"/>
        <v>1.4184791678256087E-3</v>
      </c>
      <c r="AC19" s="35">
        <f t="shared" ca="1" si="12"/>
        <v>1.766145630527832E-3</v>
      </c>
      <c r="AD19" s="35">
        <f t="shared" ca="1" si="13"/>
        <v>3.7547977971854343E-4</v>
      </c>
      <c r="AE19" s="35">
        <f t="shared" ca="1" si="14"/>
        <v>3.059464871781383E-4</v>
      </c>
      <c r="AF19" s="35">
        <f t="shared" ca="1" si="15"/>
        <v>5.1454636479935376E-4</v>
      </c>
      <c r="AG19" s="35">
        <f t="shared" ca="1" si="16"/>
        <v>3.6157312121038338E-4</v>
      </c>
      <c r="AH19" s="35">
        <f t="shared" ca="1" si="17"/>
        <v>3.6157312121038338E-4</v>
      </c>
      <c r="AI19" s="35">
        <f t="shared" ca="1" si="18"/>
        <v>1.0569060466150276E-3</v>
      </c>
      <c r="AJ19" s="35">
        <f t="shared" ca="1" si="19"/>
        <v>9.1783946153421736E-4</v>
      </c>
      <c r="AK19" s="35">
        <f t="shared" ca="1" si="20"/>
        <v>2.7813317016181819E-4</v>
      </c>
      <c r="AM19" s="35">
        <f t="shared" ca="1" si="21"/>
        <v>7.3566223507813061E-3</v>
      </c>
    </row>
    <row r="20" spans="1:39" x14ac:dyDescent="0.3">
      <c r="A20" t="s">
        <v>17</v>
      </c>
      <c r="B20">
        <v>50</v>
      </c>
      <c r="C20">
        <v>1</v>
      </c>
      <c r="D20">
        <v>52.927</v>
      </c>
      <c r="E20">
        <v>19.593</v>
      </c>
      <c r="F20">
        <v>292</v>
      </c>
    </row>
    <row r="21" spans="1:39" x14ac:dyDescent="0.3">
      <c r="A21" t="s">
        <v>17</v>
      </c>
      <c r="B21">
        <v>100</v>
      </c>
      <c r="C21">
        <v>1</v>
      </c>
      <c r="D21">
        <v>103.113</v>
      </c>
      <c r="E21">
        <v>102.09699999999999</v>
      </c>
      <c r="F21">
        <v>456</v>
      </c>
    </row>
    <row r="22" spans="1:39" x14ac:dyDescent="0.3">
      <c r="A22" t="s">
        <v>17</v>
      </c>
      <c r="B22">
        <v>100</v>
      </c>
      <c r="C22">
        <v>1</v>
      </c>
      <c r="D22">
        <v>103.28400000000001</v>
      </c>
      <c r="E22">
        <v>102.19499999999999</v>
      </c>
      <c r="F22">
        <v>458</v>
      </c>
    </row>
    <row r="23" spans="1:39" x14ac:dyDescent="0.3">
      <c r="A23" t="s">
        <v>17</v>
      </c>
      <c r="B23">
        <v>100</v>
      </c>
      <c r="C23">
        <v>1</v>
      </c>
      <c r="D23">
        <v>103.262</v>
      </c>
      <c r="E23">
        <v>102.143</v>
      </c>
      <c r="F23">
        <v>459</v>
      </c>
    </row>
    <row r="24" spans="1:39" x14ac:dyDescent="0.3">
      <c r="A24" t="s">
        <v>17</v>
      </c>
      <c r="B24">
        <v>100</v>
      </c>
      <c r="C24">
        <v>1</v>
      </c>
      <c r="D24">
        <v>103.309</v>
      </c>
      <c r="E24">
        <v>102.07599999999999</v>
      </c>
      <c r="F24">
        <v>532</v>
      </c>
    </row>
    <row r="25" spans="1:39" x14ac:dyDescent="0.3">
      <c r="A25" t="s">
        <v>17</v>
      </c>
      <c r="B25">
        <v>100</v>
      </c>
      <c r="C25">
        <v>1</v>
      </c>
      <c r="D25">
        <v>103.267</v>
      </c>
      <c r="E25">
        <v>102.026</v>
      </c>
      <c r="F25">
        <v>534</v>
      </c>
    </row>
    <row r="26" spans="1:39" x14ac:dyDescent="0.3">
      <c r="A26" t="s">
        <v>17</v>
      </c>
      <c r="B26">
        <v>100</v>
      </c>
      <c r="C26">
        <v>1</v>
      </c>
      <c r="D26">
        <v>103.282</v>
      </c>
      <c r="E26">
        <v>102.18300000000001</v>
      </c>
      <c r="F26">
        <v>502</v>
      </c>
    </row>
    <row r="27" spans="1:39" x14ac:dyDescent="0.3">
      <c r="A27" t="s">
        <v>17</v>
      </c>
      <c r="B27">
        <v>100</v>
      </c>
      <c r="C27">
        <v>1</v>
      </c>
      <c r="D27">
        <v>103.297</v>
      </c>
      <c r="E27">
        <v>102.13500000000001</v>
      </c>
      <c r="F27">
        <v>465</v>
      </c>
    </row>
    <row r="28" spans="1:39" x14ac:dyDescent="0.3">
      <c r="A28" t="s">
        <v>17</v>
      </c>
      <c r="B28">
        <v>100</v>
      </c>
      <c r="C28">
        <v>1</v>
      </c>
      <c r="D28">
        <v>103.211</v>
      </c>
      <c r="E28">
        <v>102.13</v>
      </c>
      <c r="F28">
        <v>463</v>
      </c>
    </row>
    <row r="29" spans="1:39" x14ac:dyDescent="0.3">
      <c r="A29" t="s">
        <v>17</v>
      </c>
      <c r="B29">
        <v>100</v>
      </c>
      <c r="C29">
        <v>1</v>
      </c>
      <c r="D29">
        <v>103.02500000000001</v>
      </c>
      <c r="E29">
        <v>102.14100000000001</v>
      </c>
      <c r="F29">
        <v>467</v>
      </c>
    </row>
    <row r="30" spans="1:39" x14ac:dyDescent="0.3">
      <c r="A30" t="s">
        <v>17</v>
      </c>
      <c r="B30">
        <v>100</v>
      </c>
      <c r="C30">
        <v>1</v>
      </c>
      <c r="D30">
        <v>103.253</v>
      </c>
      <c r="E30">
        <v>102.06</v>
      </c>
      <c r="F30">
        <v>454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8.0050000000000008</v>
      </c>
      <c r="F31">
        <v>249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8.0269999999999992</v>
      </c>
      <c r="F32">
        <v>252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8.0150000000000006</v>
      </c>
      <c r="F33">
        <v>249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8.0350000000000001</v>
      </c>
      <c r="F34">
        <v>287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8.0139999999999993</v>
      </c>
      <c r="F35">
        <v>209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8.0220000000000002</v>
      </c>
      <c r="F36">
        <v>205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8.0220000000000002</v>
      </c>
      <c r="F37">
        <v>247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8.0229999999999997</v>
      </c>
      <c r="F38">
        <v>260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8.0030000000000001</v>
      </c>
      <c r="F39">
        <v>262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8.0129999999999999</v>
      </c>
      <c r="F40">
        <v>246</v>
      </c>
    </row>
    <row r="41" spans="1:6" x14ac:dyDescent="0.3">
      <c r="A41" t="s">
        <v>18</v>
      </c>
      <c r="B41">
        <v>50</v>
      </c>
      <c r="C41">
        <v>1</v>
      </c>
      <c r="D41">
        <v>179.93799999999999</v>
      </c>
      <c r="E41">
        <v>22.43</v>
      </c>
      <c r="F41">
        <v>408</v>
      </c>
    </row>
    <row r="42" spans="1:6" x14ac:dyDescent="0.3">
      <c r="A42" t="s">
        <v>18</v>
      </c>
      <c r="B42">
        <v>50</v>
      </c>
      <c r="C42">
        <v>1</v>
      </c>
      <c r="D42">
        <v>179.93799999999999</v>
      </c>
      <c r="E42">
        <v>22.436</v>
      </c>
      <c r="F42">
        <v>415</v>
      </c>
    </row>
    <row r="43" spans="1:6" x14ac:dyDescent="0.3">
      <c r="A43" t="s">
        <v>18</v>
      </c>
      <c r="B43">
        <v>50</v>
      </c>
      <c r="C43">
        <v>1</v>
      </c>
      <c r="D43">
        <v>179.93799999999999</v>
      </c>
      <c r="E43">
        <v>22.407</v>
      </c>
      <c r="F43">
        <v>420</v>
      </c>
    </row>
    <row r="44" spans="1:6" x14ac:dyDescent="0.3">
      <c r="A44" t="s">
        <v>18</v>
      </c>
      <c r="B44">
        <v>50</v>
      </c>
      <c r="C44">
        <v>1</v>
      </c>
      <c r="D44">
        <v>180.87100000000001</v>
      </c>
      <c r="E44">
        <v>22.408999999999999</v>
      </c>
      <c r="F44">
        <v>318</v>
      </c>
    </row>
    <row r="45" spans="1:6" x14ac:dyDescent="0.3">
      <c r="A45" t="s">
        <v>18</v>
      </c>
      <c r="B45">
        <v>50</v>
      </c>
      <c r="C45">
        <v>1</v>
      </c>
      <c r="D45">
        <v>180.15700000000001</v>
      </c>
      <c r="E45">
        <v>22.434999999999999</v>
      </c>
      <c r="F45">
        <v>299</v>
      </c>
    </row>
    <row r="46" spans="1:6" x14ac:dyDescent="0.3">
      <c r="A46" t="s">
        <v>18</v>
      </c>
      <c r="B46">
        <v>50</v>
      </c>
      <c r="C46">
        <v>1</v>
      </c>
      <c r="D46">
        <v>179.93799999999999</v>
      </c>
      <c r="E46">
        <v>22.422000000000001</v>
      </c>
      <c r="F46">
        <v>299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22.408000000000001</v>
      </c>
      <c r="F47">
        <v>301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22.42</v>
      </c>
      <c r="F48">
        <v>300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22.401</v>
      </c>
      <c r="F49">
        <v>298</v>
      </c>
    </row>
    <row r="50" spans="1:6" x14ac:dyDescent="0.3">
      <c r="A50" t="s">
        <v>18</v>
      </c>
      <c r="B50">
        <v>50</v>
      </c>
      <c r="C50">
        <v>1</v>
      </c>
      <c r="D50">
        <v>180.87100000000001</v>
      </c>
      <c r="E50">
        <v>22.456</v>
      </c>
      <c r="F50">
        <v>296</v>
      </c>
    </row>
    <row r="51" spans="1:6" x14ac:dyDescent="0.3">
      <c r="A51" t="s">
        <v>18</v>
      </c>
      <c r="B51">
        <v>100</v>
      </c>
      <c r="C51">
        <v>1</v>
      </c>
      <c r="D51">
        <v>239.09</v>
      </c>
      <c r="E51">
        <v>138.57499999999999</v>
      </c>
      <c r="F51">
        <v>583</v>
      </c>
    </row>
    <row r="52" spans="1:6" x14ac:dyDescent="0.3">
      <c r="A52" t="s">
        <v>18</v>
      </c>
      <c r="B52">
        <v>100</v>
      </c>
      <c r="C52">
        <v>1</v>
      </c>
      <c r="D52">
        <v>239.828</v>
      </c>
      <c r="E52">
        <v>138.47800000000001</v>
      </c>
      <c r="F52">
        <v>584</v>
      </c>
    </row>
    <row r="53" spans="1:6" x14ac:dyDescent="0.3">
      <c r="A53" t="s">
        <v>18</v>
      </c>
      <c r="B53">
        <v>100</v>
      </c>
      <c r="C53">
        <v>1</v>
      </c>
      <c r="D53">
        <v>240.35</v>
      </c>
      <c r="E53">
        <v>138.518</v>
      </c>
      <c r="F53">
        <v>529</v>
      </c>
    </row>
    <row r="54" spans="1:6" x14ac:dyDescent="0.3">
      <c r="A54" t="s">
        <v>18</v>
      </c>
      <c r="B54">
        <v>100</v>
      </c>
      <c r="C54">
        <v>1</v>
      </c>
      <c r="D54">
        <v>239.273</v>
      </c>
      <c r="E54">
        <v>138.464</v>
      </c>
      <c r="F54">
        <v>532</v>
      </c>
    </row>
    <row r="55" spans="1:6" x14ac:dyDescent="0.3">
      <c r="A55" t="s">
        <v>18</v>
      </c>
      <c r="B55">
        <v>100</v>
      </c>
      <c r="C55">
        <v>1</v>
      </c>
      <c r="D55">
        <v>238.86699999999999</v>
      </c>
      <c r="E55">
        <v>138.501</v>
      </c>
      <c r="F55">
        <v>531</v>
      </c>
    </row>
    <row r="56" spans="1:6" x14ac:dyDescent="0.3">
      <c r="A56" t="s">
        <v>18</v>
      </c>
      <c r="B56">
        <v>100</v>
      </c>
      <c r="C56">
        <v>1</v>
      </c>
      <c r="D56">
        <v>239.09700000000001</v>
      </c>
      <c r="E56">
        <v>138.495</v>
      </c>
      <c r="F56">
        <v>526</v>
      </c>
    </row>
    <row r="57" spans="1:6" x14ac:dyDescent="0.3">
      <c r="A57" t="s">
        <v>18</v>
      </c>
      <c r="B57">
        <v>100</v>
      </c>
      <c r="C57">
        <v>1</v>
      </c>
      <c r="D57">
        <v>239.31299999999999</v>
      </c>
      <c r="E57">
        <v>138.58699999999999</v>
      </c>
      <c r="F57">
        <v>571</v>
      </c>
    </row>
    <row r="58" spans="1:6" x14ac:dyDescent="0.3">
      <c r="A58" t="s">
        <v>18</v>
      </c>
      <c r="B58">
        <v>100</v>
      </c>
      <c r="C58">
        <v>1</v>
      </c>
      <c r="D58">
        <v>239.167</v>
      </c>
      <c r="E58">
        <v>138.589</v>
      </c>
      <c r="F58">
        <v>602</v>
      </c>
    </row>
    <row r="59" spans="1:6" x14ac:dyDescent="0.3">
      <c r="A59" t="s">
        <v>18</v>
      </c>
      <c r="B59">
        <v>100</v>
      </c>
      <c r="C59">
        <v>1</v>
      </c>
      <c r="D59">
        <v>239.21700000000001</v>
      </c>
      <c r="E59">
        <v>138.49600000000001</v>
      </c>
      <c r="F59">
        <v>559</v>
      </c>
    </row>
    <row r="60" spans="1:6" x14ac:dyDescent="0.3">
      <c r="A60" t="s">
        <v>18</v>
      </c>
      <c r="B60">
        <v>100</v>
      </c>
      <c r="C60">
        <v>1</v>
      </c>
      <c r="D60">
        <v>239.197</v>
      </c>
      <c r="E60">
        <v>138.53</v>
      </c>
      <c r="F60">
        <v>534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4.32</v>
      </c>
      <c r="F61">
        <v>187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4.335</v>
      </c>
      <c r="F62">
        <v>191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4.3140000000000001</v>
      </c>
      <c r="F63">
        <v>193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4.32</v>
      </c>
      <c r="F64">
        <v>240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4.3170000000000002</v>
      </c>
      <c r="F65">
        <v>167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4.3310000000000004</v>
      </c>
      <c r="F66">
        <v>197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4.3239999999999998</v>
      </c>
      <c r="F67">
        <v>214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4.3310000000000004</v>
      </c>
      <c r="F68">
        <v>168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4.3369999999999997</v>
      </c>
      <c r="F69">
        <v>192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4.3220000000000001</v>
      </c>
      <c r="F70">
        <v>199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13.218999999999999</v>
      </c>
      <c r="F71">
        <v>237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13.215</v>
      </c>
      <c r="F72">
        <v>236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13.24</v>
      </c>
      <c r="F73">
        <v>222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13.208</v>
      </c>
      <c r="F74">
        <v>236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</v>
      </c>
      <c r="F75">
        <v>239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13.227</v>
      </c>
      <c r="F76">
        <v>226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13.231999999999999</v>
      </c>
      <c r="F77">
        <v>230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13.227</v>
      </c>
      <c r="F78">
        <v>233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13.241</v>
      </c>
      <c r="F79">
        <v>226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13.191000000000001</v>
      </c>
      <c r="F80">
        <v>225</v>
      </c>
    </row>
    <row r="81" spans="1:6" x14ac:dyDescent="0.3">
      <c r="A81" t="s">
        <v>19</v>
      </c>
      <c r="B81">
        <v>100</v>
      </c>
      <c r="C81">
        <v>1</v>
      </c>
      <c r="D81">
        <v>35251.957999999999</v>
      </c>
      <c r="E81">
        <v>54.832000000000001</v>
      </c>
      <c r="F81">
        <v>257</v>
      </c>
    </row>
    <row r="82" spans="1:6" x14ac:dyDescent="0.3">
      <c r="A82" t="s">
        <v>19</v>
      </c>
      <c r="B82">
        <v>100</v>
      </c>
      <c r="C82">
        <v>1</v>
      </c>
      <c r="D82">
        <v>35261.671000000002</v>
      </c>
      <c r="E82">
        <v>54.914000000000001</v>
      </c>
      <c r="F82">
        <v>256</v>
      </c>
    </row>
    <row r="83" spans="1:6" x14ac:dyDescent="0.3">
      <c r="A83" t="s">
        <v>19</v>
      </c>
      <c r="B83">
        <v>100</v>
      </c>
      <c r="C83">
        <v>1</v>
      </c>
      <c r="D83">
        <v>35223.150999999998</v>
      </c>
      <c r="E83">
        <v>54.936999999999998</v>
      </c>
      <c r="F83">
        <v>275</v>
      </c>
    </row>
    <row r="84" spans="1:6" x14ac:dyDescent="0.3">
      <c r="A84" t="s">
        <v>19</v>
      </c>
      <c r="B84">
        <v>100</v>
      </c>
      <c r="C84">
        <v>1</v>
      </c>
      <c r="D84">
        <v>35260.442999999999</v>
      </c>
      <c r="E84">
        <v>54.822000000000003</v>
      </c>
      <c r="F84">
        <v>298</v>
      </c>
    </row>
    <row r="85" spans="1:6" x14ac:dyDescent="0.3">
      <c r="A85" t="s">
        <v>19</v>
      </c>
      <c r="B85">
        <v>100</v>
      </c>
      <c r="C85">
        <v>1</v>
      </c>
      <c r="D85">
        <v>35211.201000000001</v>
      </c>
      <c r="E85">
        <v>54.898000000000003</v>
      </c>
      <c r="F85">
        <v>299</v>
      </c>
    </row>
    <row r="86" spans="1:6" x14ac:dyDescent="0.3">
      <c r="A86" t="s">
        <v>19</v>
      </c>
      <c r="B86">
        <v>100</v>
      </c>
      <c r="C86">
        <v>1</v>
      </c>
      <c r="D86">
        <v>35321.517</v>
      </c>
      <c r="E86">
        <v>54.941000000000003</v>
      </c>
      <c r="F86">
        <v>299</v>
      </c>
    </row>
    <row r="87" spans="1:6" x14ac:dyDescent="0.3">
      <c r="A87" t="s">
        <v>19</v>
      </c>
      <c r="B87">
        <v>100</v>
      </c>
      <c r="C87">
        <v>1</v>
      </c>
      <c r="D87">
        <v>35259.243999999999</v>
      </c>
      <c r="E87">
        <v>54.920999999999999</v>
      </c>
      <c r="F87">
        <v>296</v>
      </c>
    </row>
    <row r="88" spans="1:6" x14ac:dyDescent="0.3">
      <c r="A88" t="s">
        <v>19</v>
      </c>
      <c r="B88">
        <v>100</v>
      </c>
      <c r="C88">
        <v>1</v>
      </c>
      <c r="D88">
        <v>35272.953000000001</v>
      </c>
      <c r="E88">
        <v>54.792999999999999</v>
      </c>
      <c r="F88">
        <v>288</v>
      </c>
    </row>
    <row r="89" spans="1:6" x14ac:dyDescent="0.3">
      <c r="A89" t="s">
        <v>19</v>
      </c>
      <c r="B89">
        <v>100</v>
      </c>
      <c r="C89">
        <v>1</v>
      </c>
      <c r="D89">
        <v>35236.553999999996</v>
      </c>
      <c r="E89">
        <v>54.926000000000002</v>
      </c>
      <c r="F89">
        <v>251</v>
      </c>
    </row>
    <row r="90" spans="1:6" x14ac:dyDescent="0.3">
      <c r="A90" t="s">
        <v>19</v>
      </c>
      <c r="B90">
        <v>100</v>
      </c>
      <c r="C90">
        <v>1</v>
      </c>
      <c r="D90">
        <v>35258.428</v>
      </c>
      <c r="E90">
        <v>54.9</v>
      </c>
      <c r="F90">
        <v>252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6.48</v>
      </c>
      <c r="F91">
        <v>246</v>
      </c>
    </row>
    <row r="92" spans="1:6" x14ac:dyDescent="0.3">
      <c r="A92" t="s">
        <v>20</v>
      </c>
      <c r="B92">
        <v>30</v>
      </c>
      <c r="C92">
        <v>1</v>
      </c>
      <c r="D92">
        <v>657.32399999999996</v>
      </c>
      <c r="E92">
        <v>6.4720000000000004</v>
      </c>
      <c r="F92">
        <v>231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6.4720000000000004</v>
      </c>
      <c r="F93">
        <v>299</v>
      </c>
    </row>
    <row r="94" spans="1:6" x14ac:dyDescent="0.3">
      <c r="A94" t="s">
        <v>20</v>
      </c>
      <c r="B94">
        <v>30</v>
      </c>
      <c r="C94">
        <v>1</v>
      </c>
      <c r="D94">
        <v>657.32399999999996</v>
      </c>
      <c r="E94">
        <v>6.4779999999999998</v>
      </c>
      <c r="F94">
        <v>300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6.4720000000000004</v>
      </c>
      <c r="F95">
        <v>286</v>
      </c>
    </row>
    <row r="96" spans="1:6" x14ac:dyDescent="0.3">
      <c r="A96" t="s">
        <v>20</v>
      </c>
      <c r="B96">
        <v>30</v>
      </c>
      <c r="C96">
        <v>1</v>
      </c>
      <c r="D96">
        <v>659.84500000000003</v>
      </c>
      <c r="E96">
        <v>6.4779999999999998</v>
      </c>
      <c r="F96">
        <v>311</v>
      </c>
    </row>
    <row r="97" spans="1:6" x14ac:dyDescent="0.3">
      <c r="A97" t="s">
        <v>20</v>
      </c>
      <c r="B97">
        <v>30</v>
      </c>
      <c r="C97">
        <v>1</v>
      </c>
      <c r="D97">
        <v>657.98</v>
      </c>
      <c r="E97">
        <v>6.4660000000000002</v>
      </c>
      <c r="F97">
        <v>310</v>
      </c>
    </row>
    <row r="98" spans="1:6" x14ac:dyDescent="0.3">
      <c r="A98" t="s">
        <v>20</v>
      </c>
      <c r="B98">
        <v>30</v>
      </c>
      <c r="C98">
        <v>1</v>
      </c>
      <c r="D98">
        <v>658.23299999999995</v>
      </c>
      <c r="E98">
        <v>6.4660000000000002</v>
      </c>
      <c r="F98">
        <v>302</v>
      </c>
    </row>
    <row r="99" spans="1:6" x14ac:dyDescent="0.3">
      <c r="A99" t="s">
        <v>20</v>
      </c>
      <c r="B99">
        <v>30</v>
      </c>
      <c r="C99">
        <v>1</v>
      </c>
      <c r="D99">
        <v>658.23299999999995</v>
      </c>
      <c r="E99">
        <v>6.47</v>
      </c>
      <c r="F99">
        <v>295</v>
      </c>
    </row>
    <row r="100" spans="1:6" x14ac:dyDescent="0.3">
      <c r="A100" t="s">
        <v>20</v>
      </c>
      <c r="B100">
        <v>30</v>
      </c>
      <c r="C100">
        <v>1</v>
      </c>
      <c r="D100">
        <v>658.23299999999995</v>
      </c>
      <c r="E100">
        <v>6.4809999999999999</v>
      </c>
      <c r="F100">
        <v>228</v>
      </c>
    </row>
    <row r="101" spans="1:6" x14ac:dyDescent="0.3">
      <c r="A101" t="s">
        <v>20</v>
      </c>
      <c r="B101">
        <v>50</v>
      </c>
      <c r="C101">
        <v>1</v>
      </c>
      <c r="D101">
        <v>991.851</v>
      </c>
      <c r="E101">
        <v>14.683</v>
      </c>
      <c r="F101">
        <v>231</v>
      </c>
    </row>
    <row r="102" spans="1:6" x14ac:dyDescent="0.3">
      <c r="A102" t="s">
        <v>20</v>
      </c>
      <c r="B102">
        <v>50</v>
      </c>
      <c r="C102">
        <v>1</v>
      </c>
      <c r="D102">
        <v>995.053</v>
      </c>
      <c r="E102">
        <v>14.696</v>
      </c>
      <c r="F102">
        <v>237</v>
      </c>
    </row>
    <row r="103" spans="1:6" x14ac:dyDescent="0.3">
      <c r="A103" t="s">
        <v>20</v>
      </c>
      <c r="B103">
        <v>50</v>
      </c>
      <c r="C103">
        <v>1</v>
      </c>
      <c r="D103">
        <v>995.60500000000002</v>
      </c>
      <c r="E103">
        <v>14.722</v>
      </c>
      <c r="F103">
        <v>234</v>
      </c>
    </row>
    <row r="104" spans="1:6" x14ac:dyDescent="0.3">
      <c r="A104" t="s">
        <v>20</v>
      </c>
      <c r="B104">
        <v>50</v>
      </c>
      <c r="C104">
        <v>1</v>
      </c>
      <c r="D104">
        <v>996.14</v>
      </c>
      <c r="E104">
        <v>14.702</v>
      </c>
      <c r="F104">
        <v>239</v>
      </c>
    </row>
    <row r="105" spans="1:6" x14ac:dyDescent="0.3">
      <c r="A105" t="s">
        <v>20</v>
      </c>
      <c r="B105">
        <v>50</v>
      </c>
      <c r="C105">
        <v>1</v>
      </c>
      <c r="D105">
        <v>995.57600000000002</v>
      </c>
      <c r="E105">
        <v>14.685</v>
      </c>
      <c r="F105">
        <v>232</v>
      </c>
    </row>
    <row r="106" spans="1:6" x14ac:dyDescent="0.3">
      <c r="A106" t="s">
        <v>20</v>
      </c>
      <c r="B106">
        <v>50</v>
      </c>
      <c r="C106">
        <v>1</v>
      </c>
      <c r="D106">
        <v>998.17499999999995</v>
      </c>
      <c r="E106">
        <v>14.736000000000001</v>
      </c>
      <c r="F106">
        <v>230</v>
      </c>
    </row>
    <row r="107" spans="1:6" x14ac:dyDescent="0.3">
      <c r="A107" t="s">
        <v>20</v>
      </c>
      <c r="B107">
        <v>50</v>
      </c>
      <c r="C107">
        <v>1</v>
      </c>
      <c r="D107">
        <v>995.95100000000002</v>
      </c>
      <c r="E107">
        <v>14.724</v>
      </c>
      <c r="F107">
        <v>239</v>
      </c>
    </row>
    <row r="108" spans="1:6" x14ac:dyDescent="0.3">
      <c r="A108" t="s">
        <v>20</v>
      </c>
      <c r="B108">
        <v>50</v>
      </c>
      <c r="C108">
        <v>1</v>
      </c>
      <c r="D108">
        <v>997.31899999999996</v>
      </c>
      <c r="E108">
        <v>14.698</v>
      </c>
      <c r="F108">
        <v>238</v>
      </c>
    </row>
    <row r="109" spans="1:6" x14ac:dyDescent="0.3">
      <c r="A109" t="s">
        <v>20</v>
      </c>
      <c r="B109">
        <v>50</v>
      </c>
      <c r="C109">
        <v>1</v>
      </c>
      <c r="D109">
        <v>992.88599999999997</v>
      </c>
      <c r="E109">
        <v>14.72</v>
      </c>
      <c r="F109">
        <v>238</v>
      </c>
    </row>
    <row r="110" spans="1:6" x14ac:dyDescent="0.3">
      <c r="A110" t="s">
        <v>20</v>
      </c>
      <c r="B110">
        <v>50</v>
      </c>
      <c r="C110">
        <v>1</v>
      </c>
      <c r="D110">
        <v>993.56100000000004</v>
      </c>
      <c r="E110">
        <v>14.717000000000001</v>
      </c>
      <c r="F110">
        <v>238</v>
      </c>
    </row>
    <row r="111" spans="1:6" x14ac:dyDescent="0.3">
      <c r="A111" t="s">
        <v>20</v>
      </c>
      <c r="B111">
        <v>100</v>
      </c>
      <c r="C111">
        <v>1</v>
      </c>
      <c r="D111">
        <v>1756.953</v>
      </c>
      <c r="E111">
        <v>32.554000000000002</v>
      </c>
      <c r="F111">
        <v>200</v>
      </c>
    </row>
    <row r="112" spans="1:6" x14ac:dyDescent="0.3">
      <c r="A112" t="s">
        <v>20</v>
      </c>
      <c r="B112">
        <v>100</v>
      </c>
      <c r="C112">
        <v>1</v>
      </c>
      <c r="D112">
        <v>1756.9449999999999</v>
      </c>
      <c r="E112">
        <v>32.503</v>
      </c>
      <c r="F112">
        <v>206</v>
      </c>
    </row>
    <row r="113" spans="1:6" x14ac:dyDescent="0.3">
      <c r="A113" t="s">
        <v>20</v>
      </c>
      <c r="B113">
        <v>100</v>
      </c>
      <c r="C113">
        <v>1</v>
      </c>
      <c r="D113">
        <v>1755.585</v>
      </c>
      <c r="E113">
        <v>32.512999999999998</v>
      </c>
      <c r="F113">
        <v>200</v>
      </c>
    </row>
    <row r="114" spans="1:6" x14ac:dyDescent="0.3">
      <c r="A114" t="s">
        <v>20</v>
      </c>
      <c r="B114">
        <v>100</v>
      </c>
      <c r="C114">
        <v>1</v>
      </c>
      <c r="D114">
        <v>1756.153</v>
      </c>
      <c r="E114">
        <v>32.564</v>
      </c>
      <c r="F114">
        <v>202</v>
      </c>
    </row>
    <row r="115" spans="1:6" x14ac:dyDescent="0.3">
      <c r="A115" t="s">
        <v>20</v>
      </c>
      <c r="B115">
        <v>100</v>
      </c>
      <c r="C115">
        <v>1</v>
      </c>
      <c r="D115">
        <v>1756.357</v>
      </c>
      <c r="E115">
        <v>32.572000000000003</v>
      </c>
      <c r="F115">
        <v>199</v>
      </c>
    </row>
    <row r="116" spans="1:6" x14ac:dyDescent="0.3">
      <c r="A116" t="s">
        <v>20</v>
      </c>
      <c r="B116">
        <v>100</v>
      </c>
      <c r="C116">
        <v>1</v>
      </c>
      <c r="D116">
        <v>1758.616</v>
      </c>
      <c r="E116">
        <v>32.563000000000002</v>
      </c>
      <c r="F116">
        <v>203</v>
      </c>
    </row>
    <row r="117" spans="1:6" x14ac:dyDescent="0.3">
      <c r="A117" t="s">
        <v>20</v>
      </c>
      <c r="B117">
        <v>100</v>
      </c>
      <c r="C117">
        <v>1</v>
      </c>
      <c r="D117">
        <v>1757.17</v>
      </c>
      <c r="E117">
        <v>32.456000000000003</v>
      </c>
      <c r="F117">
        <v>202</v>
      </c>
    </row>
    <row r="118" spans="1:6" x14ac:dyDescent="0.3">
      <c r="A118" t="s">
        <v>20</v>
      </c>
      <c r="B118">
        <v>100</v>
      </c>
      <c r="C118">
        <v>1</v>
      </c>
      <c r="D118">
        <v>1758.8630000000001</v>
      </c>
      <c r="E118">
        <v>32.526000000000003</v>
      </c>
      <c r="F118">
        <v>195</v>
      </c>
    </row>
    <row r="119" spans="1:6" x14ac:dyDescent="0.3">
      <c r="A119" t="s">
        <v>20</v>
      </c>
      <c r="B119">
        <v>100</v>
      </c>
      <c r="C119">
        <v>1</v>
      </c>
      <c r="D119">
        <v>1756.0429999999999</v>
      </c>
      <c r="E119">
        <v>32.520000000000003</v>
      </c>
      <c r="F119">
        <v>169</v>
      </c>
    </row>
    <row r="120" spans="1:6" x14ac:dyDescent="0.3">
      <c r="A120" t="s">
        <v>20</v>
      </c>
      <c r="B120">
        <v>100</v>
      </c>
      <c r="C120">
        <v>1</v>
      </c>
      <c r="D120">
        <v>1759.0260000000001</v>
      </c>
      <c r="E120">
        <v>32.5</v>
      </c>
      <c r="F120">
        <v>167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1.3720000000000001</v>
      </c>
      <c r="F121">
        <v>89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1.369</v>
      </c>
      <c r="F122">
        <v>78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1.365</v>
      </c>
      <c r="F123">
        <v>217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1.365</v>
      </c>
      <c r="F124">
        <v>98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1.3680000000000001</v>
      </c>
      <c r="F125">
        <v>148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1.385</v>
      </c>
      <c r="F126">
        <v>181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1.3839999999999999</v>
      </c>
      <c r="F127">
        <v>109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1.3660000000000001</v>
      </c>
      <c r="F128">
        <v>71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1.375</v>
      </c>
      <c r="F129">
        <v>159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1.37</v>
      </c>
      <c r="F130">
        <v>66</v>
      </c>
    </row>
    <row r="131" spans="1:6" x14ac:dyDescent="0.3">
      <c r="A131" t="s">
        <v>33</v>
      </c>
      <c r="B131">
        <v>209</v>
      </c>
      <c r="C131">
        <v>1</v>
      </c>
      <c r="D131">
        <v>76.358000000000004</v>
      </c>
      <c r="E131">
        <v>181.309</v>
      </c>
      <c r="F131">
        <v>214</v>
      </c>
    </row>
    <row r="132" spans="1:6" x14ac:dyDescent="0.3">
      <c r="A132" t="s">
        <v>33</v>
      </c>
      <c r="B132">
        <v>209</v>
      </c>
      <c r="C132">
        <v>1</v>
      </c>
      <c r="D132">
        <v>76.644999999999996</v>
      </c>
      <c r="E132">
        <v>181.215</v>
      </c>
      <c r="F132">
        <v>216</v>
      </c>
    </row>
    <row r="133" spans="1:6" x14ac:dyDescent="0.3">
      <c r="A133" t="s">
        <v>33</v>
      </c>
      <c r="B133">
        <v>209</v>
      </c>
      <c r="C133">
        <v>1</v>
      </c>
      <c r="D133">
        <v>76.281000000000006</v>
      </c>
      <c r="E133">
        <v>181.155</v>
      </c>
      <c r="F133">
        <v>212</v>
      </c>
    </row>
    <row r="134" spans="1:6" x14ac:dyDescent="0.3">
      <c r="A134" t="s">
        <v>33</v>
      </c>
      <c r="B134">
        <v>209</v>
      </c>
      <c r="C134">
        <v>1</v>
      </c>
      <c r="D134">
        <v>76.402000000000001</v>
      </c>
      <c r="E134">
        <v>181.381</v>
      </c>
      <c r="F134">
        <v>210</v>
      </c>
    </row>
    <row r="135" spans="1:6" x14ac:dyDescent="0.3">
      <c r="A135" t="s">
        <v>33</v>
      </c>
      <c r="B135">
        <v>209</v>
      </c>
      <c r="C135">
        <v>1</v>
      </c>
      <c r="D135">
        <v>76.451999999999998</v>
      </c>
      <c r="E135">
        <v>180.71100000000001</v>
      </c>
      <c r="F135">
        <v>216</v>
      </c>
    </row>
    <row r="136" spans="1:6" x14ac:dyDescent="0.3">
      <c r="A136" t="s">
        <v>33</v>
      </c>
      <c r="B136">
        <v>209</v>
      </c>
      <c r="C136">
        <v>1</v>
      </c>
      <c r="D136">
        <v>76.2</v>
      </c>
      <c r="E136">
        <v>180.81</v>
      </c>
      <c r="F136">
        <v>210</v>
      </c>
    </row>
    <row r="137" spans="1:6" x14ac:dyDescent="0.3">
      <c r="A137" t="s">
        <v>33</v>
      </c>
      <c r="B137">
        <v>209</v>
      </c>
      <c r="C137">
        <v>1</v>
      </c>
      <c r="D137">
        <v>76.86</v>
      </c>
      <c r="E137">
        <v>180.84399999999999</v>
      </c>
      <c r="F137">
        <v>213</v>
      </c>
    </row>
    <row r="138" spans="1:6" x14ac:dyDescent="0.3">
      <c r="A138" t="s">
        <v>33</v>
      </c>
      <c r="B138">
        <v>209</v>
      </c>
      <c r="C138">
        <v>1</v>
      </c>
      <c r="D138">
        <v>76.253</v>
      </c>
      <c r="E138">
        <v>180.81399999999999</v>
      </c>
      <c r="F138">
        <v>210</v>
      </c>
    </row>
    <row r="139" spans="1:6" x14ac:dyDescent="0.3">
      <c r="A139" t="s">
        <v>33</v>
      </c>
      <c r="B139">
        <v>209</v>
      </c>
      <c r="C139">
        <v>1</v>
      </c>
      <c r="D139">
        <v>76.274000000000001</v>
      </c>
      <c r="E139">
        <v>181.33099999999999</v>
      </c>
      <c r="F139">
        <v>217</v>
      </c>
    </row>
    <row r="140" spans="1:6" x14ac:dyDescent="0.3">
      <c r="A140" t="s">
        <v>33</v>
      </c>
      <c r="B140">
        <v>209</v>
      </c>
      <c r="C140">
        <v>1</v>
      </c>
      <c r="D140">
        <v>76.477000000000004</v>
      </c>
      <c r="E140">
        <v>181.03899999999999</v>
      </c>
      <c r="F140">
        <v>218</v>
      </c>
    </row>
    <row r="141" spans="1:6" x14ac:dyDescent="0.3">
      <c r="A141" t="s">
        <v>33</v>
      </c>
      <c r="B141">
        <v>324</v>
      </c>
      <c r="C141">
        <v>1</v>
      </c>
      <c r="D141">
        <v>119.121</v>
      </c>
      <c r="E141">
        <v>420.23</v>
      </c>
      <c r="F141">
        <v>181</v>
      </c>
    </row>
    <row r="142" spans="1:6" x14ac:dyDescent="0.3">
      <c r="A142" t="s">
        <v>33</v>
      </c>
      <c r="B142">
        <v>324</v>
      </c>
      <c r="C142">
        <v>1</v>
      </c>
      <c r="D142">
        <v>118.735</v>
      </c>
      <c r="E142">
        <v>420.50400000000002</v>
      </c>
      <c r="F142">
        <v>189</v>
      </c>
    </row>
    <row r="143" spans="1:6" x14ac:dyDescent="0.3">
      <c r="A143" t="s">
        <v>33</v>
      </c>
      <c r="B143">
        <v>324</v>
      </c>
      <c r="C143">
        <v>1</v>
      </c>
      <c r="D143">
        <v>118.751</v>
      </c>
      <c r="E143">
        <v>419.74799999999999</v>
      </c>
      <c r="F143">
        <v>182</v>
      </c>
    </row>
    <row r="144" spans="1:6" x14ac:dyDescent="0.3">
      <c r="A144" t="s">
        <v>33</v>
      </c>
      <c r="B144">
        <v>324</v>
      </c>
      <c r="C144">
        <v>1</v>
      </c>
      <c r="D144">
        <v>118.789</v>
      </c>
      <c r="E144">
        <v>420.66800000000001</v>
      </c>
      <c r="F144">
        <v>184</v>
      </c>
    </row>
    <row r="145" spans="1:6" x14ac:dyDescent="0.3">
      <c r="A145" t="s">
        <v>33</v>
      </c>
      <c r="B145">
        <v>324</v>
      </c>
      <c r="C145">
        <v>1</v>
      </c>
      <c r="D145">
        <v>118.72499999999999</v>
      </c>
      <c r="E145">
        <v>420.18299999999999</v>
      </c>
      <c r="F145">
        <v>185</v>
      </c>
    </row>
    <row r="146" spans="1:6" x14ac:dyDescent="0.3">
      <c r="A146" t="s">
        <v>33</v>
      </c>
      <c r="B146">
        <v>324</v>
      </c>
      <c r="C146">
        <v>1</v>
      </c>
      <c r="D146">
        <v>119.09099999999999</v>
      </c>
      <c r="E146">
        <v>421.15199999999999</v>
      </c>
      <c r="F146">
        <v>183</v>
      </c>
    </row>
    <row r="147" spans="1:6" x14ac:dyDescent="0.3">
      <c r="A147" t="s">
        <v>33</v>
      </c>
      <c r="B147">
        <v>324</v>
      </c>
      <c r="C147">
        <v>1</v>
      </c>
      <c r="D147">
        <v>119.011</v>
      </c>
      <c r="E147">
        <v>419.67899999999997</v>
      </c>
      <c r="F147">
        <v>181</v>
      </c>
    </row>
    <row r="148" spans="1:6" x14ac:dyDescent="0.3">
      <c r="A148" t="s">
        <v>33</v>
      </c>
      <c r="B148">
        <v>324</v>
      </c>
      <c r="C148">
        <v>1</v>
      </c>
      <c r="D148">
        <v>118.294</v>
      </c>
      <c r="E148">
        <v>419.923</v>
      </c>
      <c r="F148">
        <v>185</v>
      </c>
    </row>
    <row r="149" spans="1:6" x14ac:dyDescent="0.3">
      <c r="A149" t="s">
        <v>33</v>
      </c>
      <c r="B149">
        <v>324</v>
      </c>
      <c r="C149">
        <v>1</v>
      </c>
      <c r="D149">
        <v>118.651</v>
      </c>
      <c r="E149">
        <v>419.39600000000002</v>
      </c>
      <c r="F149">
        <v>183</v>
      </c>
    </row>
    <row r="150" spans="1:6" x14ac:dyDescent="0.3">
      <c r="A150" t="s">
        <v>33</v>
      </c>
      <c r="B150">
        <v>324</v>
      </c>
      <c r="C150">
        <v>1</v>
      </c>
      <c r="D150">
        <v>118.70099999999999</v>
      </c>
      <c r="E150">
        <v>420.59100000000001</v>
      </c>
      <c r="F150">
        <v>179</v>
      </c>
    </row>
    <row r="151" spans="1:6" x14ac:dyDescent="0.3">
      <c r="A151" t="s">
        <v>34</v>
      </c>
      <c r="B151">
        <v>40</v>
      </c>
      <c r="C151">
        <v>1</v>
      </c>
      <c r="D151">
        <v>16.704999999999998</v>
      </c>
      <c r="E151">
        <v>11.643000000000001</v>
      </c>
      <c r="F151">
        <v>239</v>
      </c>
    </row>
    <row r="152" spans="1:6" x14ac:dyDescent="0.3">
      <c r="A152" t="s">
        <v>34</v>
      </c>
      <c r="B152">
        <v>40</v>
      </c>
      <c r="C152">
        <v>1</v>
      </c>
      <c r="D152">
        <v>16.785</v>
      </c>
      <c r="E152">
        <v>11.628</v>
      </c>
      <c r="F152">
        <v>256</v>
      </c>
    </row>
    <row r="153" spans="1:6" x14ac:dyDescent="0.3">
      <c r="A153" t="s">
        <v>34</v>
      </c>
      <c r="B153">
        <v>40</v>
      </c>
      <c r="C153">
        <v>1</v>
      </c>
      <c r="D153">
        <v>16.75</v>
      </c>
      <c r="E153">
        <v>11.635999999999999</v>
      </c>
      <c r="F153">
        <v>248</v>
      </c>
    </row>
    <row r="154" spans="1:6" x14ac:dyDescent="0.3">
      <c r="A154" t="s">
        <v>34</v>
      </c>
      <c r="B154">
        <v>40</v>
      </c>
      <c r="C154">
        <v>1</v>
      </c>
      <c r="D154">
        <v>16.721</v>
      </c>
      <c r="E154">
        <v>11.624000000000001</v>
      </c>
      <c r="F154">
        <v>263</v>
      </c>
    </row>
    <row r="155" spans="1:6" x14ac:dyDescent="0.3">
      <c r="A155" t="s">
        <v>34</v>
      </c>
      <c r="B155">
        <v>40</v>
      </c>
      <c r="C155">
        <v>1</v>
      </c>
      <c r="D155">
        <v>16.803999999999998</v>
      </c>
      <c r="E155">
        <v>11.637</v>
      </c>
      <c r="F155">
        <v>239</v>
      </c>
    </row>
    <row r="156" spans="1:6" x14ac:dyDescent="0.3">
      <c r="A156" t="s">
        <v>34</v>
      </c>
      <c r="B156">
        <v>40</v>
      </c>
      <c r="C156">
        <v>1</v>
      </c>
      <c r="D156">
        <v>16.803999999999998</v>
      </c>
      <c r="E156">
        <v>11.638</v>
      </c>
      <c r="F156">
        <v>252</v>
      </c>
    </row>
    <row r="157" spans="1:6" x14ac:dyDescent="0.3">
      <c r="A157" t="s">
        <v>34</v>
      </c>
      <c r="B157">
        <v>40</v>
      </c>
      <c r="C157">
        <v>1</v>
      </c>
      <c r="D157">
        <v>16.803999999999998</v>
      </c>
      <c r="E157">
        <v>11.651</v>
      </c>
      <c r="F157">
        <v>261</v>
      </c>
    </row>
    <row r="158" spans="1:6" x14ac:dyDescent="0.3">
      <c r="A158" t="s">
        <v>34</v>
      </c>
      <c r="B158">
        <v>40</v>
      </c>
      <c r="C158">
        <v>1</v>
      </c>
      <c r="D158">
        <v>16.68</v>
      </c>
      <c r="E158">
        <v>11.628</v>
      </c>
      <c r="F158">
        <v>251</v>
      </c>
    </row>
    <row r="159" spans="1:6" x14ac:dyDescent="0.3">
      <c r="A159" t="s">
        <v>34</v>
      </c>
      <c r="B159">
        <v>40</v>
      </c>
      <c r="C159">
        <v>1</v>
      </c>
      <c r="D159">
        <v>16.858000000000001</v>
      </c>
      <c r="E159">
        <v>11.62</v>
      </c>
      <c r="F159">
        <v>236</v>
      </c>
    </row>
    <row r="160" spans="1:6" x14ac:dyDescent="0.3">
      <c r="A160" t="s">
        <v>34</v>
      </c>
      <c r="B160">
        <v>40</v>
      </c>
      <c r="C160">
        <v>1</v>
      </c>
      <c r="D160">
        <v>16.905000000000001</v>
      </c>
      <c r="E160">
        <v>11.635</v>
      </c>
      <c r="F160">
        <v>249</v>
      </c>
    </row>
    <row r="161" spans="1:6" x14ac:dyDescent="0.3">
      <c r="A161" t="s">
        <v>34</v>
      </c>
      <c r="B161">
        <v>96</v>
      </c>
      <c r="C161">
        <v>1</v>
      </c>
      <c r="D161">
        <v>35.165999999999997</v>
      </c>
      <c r="E161">
        <v>51.341000000000001</v>
      </c>
      <c r="F161">
        <v>282</v>
      </c>
    </row>
    <row r="162" spans="1:6" x14ac:dyDescent="0.3">
      <c r="A162" t="s">
        <v>34</v>
      </c>
      <c r="B162">
        <v>96</v>
      </c>
      <c r="C162">
        <v>1</v>
      </c>
      <c r="D162">
        <v>35.179000000000002</v>
      </c>
      <c r="E162">
        <v>51.347999999999999</v>
      </c>
      <c r="F162">
        <v>294</v>
      </c>
    </row>
    <row r="163" spans="1:6" x14ac:dyDescent="0.3">
      <c r="A163" t="s">
        <v>34</v>
      </c>
      <c r="B163">
        <v>96</v>
      </c>
      <c r="C163">
        <v>1</v>
      </c>
      <c r="D163">
        <v>35.203000000000003</v>
      </c>
      <c r="E163">
        <v>51.402000000000001</v>
      </c>
      <c r="F163">
        <v>274</v>
      </c>
    </row>
    <row r="164" spans="1:6" x14ac:dyDescent="0.3">
      <c r="A164" t="s">
        <v>34</v>
      </c>
      <c r="B164">
        <v>96</v>
      </c>
      <c r="C164">
        <v>1</v>
      </c>
      <c r="D164">
        <v>35.146000000000001</v>
      </c>
      <c r="E164">
        <v>51.326999999999998</v>
      </c>
      <c r="F164">
        <v>304</v>
      </c>
    </row>
    <row r="165" spans="1:6" x14ac:dyDescent="0.3">
      <c r="A165" t="s">
        <v>34</v>
      </c>
      <c r="B165">
        <v>96</v>
      </c>
      <c r="C165">
        <v>1</v>
      </c>
      <c r="D165">
        <v>35.168999999999997</v>
      </c>
      <c r="E165">
        <v>51.387999999999998</v>
      </c>
      <c r="F165">
        <v>276</v>
      </c>
    </row>
    <row r="166" spans="1:6" x14ac:dyDescent="0.3">
      <c r="A166" t="s">
        <v>34</v>
      </c>
      <c r="B166">
        <v>96</v>
      </c>
      <c r="C166">
        <v>1</v>
      </c>
      <c r="D166">
        <v>35.156999999999996</v>
      </c>
      <c r="E166">
        <v>51.433</v>
      </c>
      <c r="F166">
        <v>308</v>
      </c>
    </row>
    <row r="167" spans="1:6" x14ac:dyDescent="0.3">
      <c r="A167" t="s">
        <v>34</v>
      </c>
      <c r="B167">
        <v>96</v>
      </c>
      <c r="C167">
        <v>1</v>
      </c>
      <c r="D167">
        <v>35.168999999999997</v>
      </c>
      <c r="E167">
        <v>51.344999999999999</v>
      </c>
      <c r="F167">
        <v>276</v>
      </c>
    </row>
    <row r="168" spans="1:6" x14ac:dyDescent="0.3">
      <c r="A168" t="s">
        <v>34</v>
      </c>
      <c r="B168">
        <v>96</v>
      </c>
      <c r="C168">
        <v>1</v>
      </c>
      <c r="D168">
        <v>35.204000000000001</v>
      </c>
      <c r="E168">
        <v>51.320999999999998</v>
      </c>
      <c r="F168">
        <v>306</v>
      </c>
    </row>
    <row r="169" spans="1:6" x14ac:dyDescent="0.3">
      <c r="A169" t="s">
        <v>34</v>
      </c>
      <c r="B169">
        <v>96</v>
      </c>
      <c r="C169">
        <v>1</v>
      </c>
      <c r="D169">
        <v>35.198999999999998</v>
      </c>
      <c r="E169">
        <v>51.408999999999999</v>
      </c>
      <c r="F169">
        <v>296</v>
      </c>
    </row>
    <row r="170" spans="1:6" x14ac:dyDescent="0.3">
      <c r="A170" t="s">
        <v>34</v>
      </c>
      <c r="B170">
        <v>96</v>
      </c>
      <c r="C170">
        <v>1</v>
      </c>
      <c r="D170">
        <v>35.206000000000003</v>
      </c>
      <c r="E170">
        <v>51.381</v>
      </c>
      <c r="F170">
        <v>279</v>
      </c>
    </row>
    <row r="171" spans="1:6" x14ac:dyDescent="0.3">
      <c r="A171" t="s">
        <v>34</v>
      </c>
      <c r="B171">
        <v>224</v>
      </c>
      <c r="C171">
        <v>1</v>
      </c>
      <c r="D171">
        <v>72.010000000000005</v>
      </c>
      <c r="E171">
        <v>255.48099999999999</v>
      </c>
      <c r="F171">
        <v>246</v>
      </c>
    </row>
    <row r="172" spans="1:6" x14ac:dyDescent="0.3">
      <c r="A172" t="s">
        <v>34</v>
      </c>
      <c r="B172">
        <v>224</v>
      </c>
      <c r="C172">
        <v>1</v>
      </c>
      <c r="D172">
        <v>72.034999999999997</v>
      </c>
      <c r="E172">
        <v>255.749</v>
      </c>
      <c r="F172">
        <v>252</v>
      </c>
    </row>
    <row r="173" spans="1:6" x14ac:dyDescent="0.3">
      <c r="A173" t="s">
        <v>34</v>
      </c>
      <c r="B173">
        <v>224</v>
      </c>
      <c r="C173">
        <v>1</v>
      </c>
      <c r="D173">
        <v>71.935000000000002</v>
      </c>
      <c r="E173">
        <v>256.13799999999998</v>
      </c>
      <c r="F173">
        <v>243</v>
      </c>
    </row>
    <row r="174" spans="1:6" x14ac:dyDescent="0.3">
      <c r="A174" t="s">
        <v>34</v>
      </c>
      <c r="B174">
        <v>224</v>
      </c>
      <c r="C174">
        <v>1</v>
      </c>
      <c r="D174">
        <v>71.930000000000007</v>
      </c>
      <c r="E174">
        <v>256.262</v>
      </c>
      <c r="F174">
        <v>252</v>
      </c>
    </row>
    <row r="175" spans="1:6" x14ac:dyDescent="0.3">
      <c r="A175" t="s">
        <v>34</v>
      </c>
      <c r="B175">
        <v>224</v>
      </c>
      <c r="C175">
        <v>1</v>
      </c>
      <c r="D175">
        <v>71.944999999999993</v>
      </c>
      <c r="E175">
        <v>255.499</v>
      </c>
      <c r="F175">
        <v>249</v>
      </c>
    </row>
    <row r="176" spans="1:6" x14ac:dyDescent="0.3">
      <c r="A176" t="s">
        <v>34</v>
      </c>
      <c r="B176">
        <v>224</v>
      </c>
      <c r="C176">
        <v>1</v>
      </c>
      <c r="D176">
        <v>71.933999999999997</v>
      </c>
      <c r="E176">
        <v>255.90799999999999</v>
      </c>
      <c r="F176">
        <v>250</v>
      </c>
    </row>
    <row r="177" spans="1:6" x14ac:dyDescent="0.3">
      <c r="A177" t="s">
        <v>34</v>
      </c>
      <c r="B177">
        <v>224</v>
      </c>
      <c r="C177">
        <v>1</v>
      </c>
      <c r="D177">
        <v>71.933999999999997</v>
      </c>
      <c r="E177">
        <v>256.12900000000002</v>
      </c>
      <c r="F177">
        <v>254</v>
      </c>
    </row>
    <row r="178" spans="1:6" x14ac:dyDescent="0.3">
      <c r="A178" t="s">
        <v>34</v>
      </c>
      <c r="B178">
        <v>224</v>
      </c>
      <c r="C178">
        <v>1</v>
      </c>
      <c r="D178">
        <v>71.983999999999995</v>
      </c>
      <c r="E178">
        <v>256.07</v>
      </c>
      <c r="F178">
        <v>251</v>
      </c>
    </row>
    <row r="179" spans="1:6" x14ac:dyDescent="0.3">
      <c r="A179" t="s">
        <v>34</v>
      </c>
      <c r="B179">
        <v>224</v>
      </c>
      <c r="C179">
        <v>1</v>
      </c>
      <c r="D179">
        <v>71.974000000000004</v>
      </c>
      <c r="E179">
        <v>256.19400000000002</v>
      </c>
      <c r="F179">
        <v>248</v>
      </c>
    </row>
    <row r="180" spans="1:6" x14ac:dyDescent="0.3">
      <c r="A180" t="s">
        <v>34</v>
      </c>
      <c r="B180">
        <v>224</v>
      </c>
      <c r="C180">
        <v>1</v>
      </c>
      <c r="D180">
        <v>71.927999999999997</v>
      </c>
      <c r="E180">
        <v>255.54400000000001</v>
      </c>
      <c r="F180">
        <v>253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5"/>
    <col min="2" max="2" width="4.33203125"/>
    <col min="3" max="3" width="2.58203125"/>
    <col min="4" max="4" width="10.83203125"/>
    <col min="5" max="5" width="7.25"/>
    <col min="6" max="6" width="5.58203125" customWidth="1"/>
    <col min="7" max="7" width="2.5"/>
    <col min="8" max="8" width="10.5"/>
    <col min="9" max="9" width="4.33203125"/>
    <col min="10" max="10" width="3.33203125"/>
    <col min="11" max="11" width="2.08203125"/>
    <col min="12" max="21" width="9.5"/>
    <col min="22" max="22" width="2.33203125"/>
    <col min="23" max="23" width="9.5"/>
    <col min="24" max="24" width="2.58203125"/>
    <col min="25" max="25" width="9.5"/>
    <col min="26" max="26" width="2.33203125"/>
    <col min="27" max="27" width="2.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28.504000000000001</v>
      </c>
      <c r="E1">
        <v>5.2809999999999997</v>
      </c>
      <c r="F1">
        <v>239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28.504000000000001</v>
      </c>
      <c r="E2">
        <v>5.2960000000000003</v>
      </c>
      <c r="F2">
        <v>273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28.504000000000001</v>
      </c>
      <c r="M2" s="35">
        <f t="shared" ref="M2:U17" ca="1" si="1">INDIRECT("D"&amp;1+(ROW(E1)-1)*10+COLUMN(B1)-1)</f>
        <v>28.504000000000001</v>
      </c>
      <c r="N2" s="35">
        <f t="shared" ref="N2:N13" ca="1" si="2">INDIRECT("D"&amp;1+(ROW(F1)-1)*10+COLUMN(C1)-1)</f>
        <v>28.591999999999999</v>
      </c>
      <c r="O2" s="35">
        <f t="shared" ref="O2:O13" ca="1" si="3">INDIRECT("D"&amp;1+(ROW(G1)-1)*10+COLUMN(D1)-1)</f>
        <v>28.504000000000001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28.504000000000001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28.533799999999996</v>
      </c>
      <c r="Y2" s="35">
        <f ca="1">Total!E2</f>
        <v>28.504000000000001</v>
      </c>
      <c r="AB2" s="35">
        <f t="shared" ref="AB2:AB19" ca="1" si="11">(L2-$Y2)/$Y2</f>
        <v>0</v>
      </c>
      <c r="AC2" s="35">
        <f t="shared" ref="AC2:AC19" ca="1" si="12">(M2-$Y2)/$Y2</f>
        <v>0</v>
      </c>
      <c r="AD2" s="35">
        <f t="shared" ref="AD2:AD19" ca="1" si="13">(N2-$Y2)/$Y2</f>
        <v>3.0872859949479868E-3</v>
      </c>
      <c r="AE2" s="35">
        <f t="shared" ref="AE2:AE19" ca="1" si="14">(O2-$Y2)/$Y2</f>
        <v>0</v>
      </c>
      <c r="AF2" s="35">
        <f t="shared" ref="AF2:AF19" ca="1" si="15">(P2-$Y2)/$Y2</f>
        <v>1.4734774066796953E-3</v>
      </c>
      <c r="AG2" s="35">
        <f t="shared" ref="AG2:AG19" ca="1" si="16">(Q2-$Y2)/$Y2</f>
        <v>1.4734774066796953E-3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0</v>
      </c>
      <c r="AK2" s="35">
        <f t="shared" ref="AK2:AK19" ca="1" si="20">(U2-$Y2)/$Y2</f>
        <v>1.4734774066796953E-3</v>
      </c>
      <c r="AM2" s="35">
        <f t="shared" ref="AM2:AM19" ca="1" si="21">SUM(AB2:AK2)</f>
        <v>1.0454673028346463E-2</v>
      </c>
    </row>
    <row r="3" spans="1:39" x14ac:dyDescent="0.3">
      <c r="A3" t="s">
        <v>17</v>
      </c>
      <c r="B3">
        <v>25</v>
      </c>
      <c r="C3">
        <v>1</v>
      </c>
      <c r="D3">
        <v>28.591999999999999</v>
      </c>
      <c r="E3">
        <v>5.2750000000000004</v>
      </c>
      <c r="F3">
        <v>209</v>
      </c>
      <c r="H3" s="35" t="s">
        <v>17</v>
      </c>
      <c r="I3" s="35">
        <v>50</v>
      </c>
      <c r="J3" s="35">
        <v>1</v>
      </c>
      <c r="L3" s="35">
        <f t="shared" ca="1" si="0"/>
        <v>52.987000000000002</v>
      </c>
      <c r="M3" s="35">
        <f t="shared" ca="1" si="1"/>
        <v>52.987000000000002</v>
      </c>
      <c r="N3" s="35">
        <f t="shared" ca="1" si="2"/>
        <v>53.036999999999999</v>
      </c>
      <c r="O3" s="35">
        <f t="shared" ca="1" si="3"/>
        <v>52.957000000000001</v>
      </c>
      <c r="P3" s="35">
        <f t="shared" ca="1" si="4"/>
        <v>52.927999999999997</v>
      </c>
      <c r="Q3" s="35">
        <f t="shared" ca="1" si="5"/>
        <v>52.957000000000001</v>
      </c>
      <c r="R3" s="35">
        <f t="shared" ca="1" si="6"/>
        <v>53.067</v>
      </c>
      <c r="S3" s="35">
        <f t="shared" ca="1" si="7"/>
        <v>52.978000000000002</v>
      </c>
      <c r="T3" s="35">
        <f t="shared" ca="1" si="8"/>
        <v>53.127000000000002</v>
      </c>
      <c r="U3" s="35">
        <f t="shared" ca="1" si="9"/>
        <v>53.097000000000001</v>
      </c>
      <c r="W3" s="35">
        <f t="shared" ca="1" si="10"/>
        <v>53.012199999999993</v>
      </c>
      <c r="Y3" s="35">
        <f ca="1">Total!E3</f>
        <v>52.927</v>
      </c>
      <c r="AB3" s="35">
        <f t="shared" ca="1" si="11"/>
        <v>1.1336368961022214E-3</v>
      </c>
      <c r="AC3" s="35">
        <f t="shared" ca="1" si="12"/>
        <v>1.1336368961022214E-3</v>
      </c>
      <c r="AD3" s="35">
        <f t="shared" ca="1" si="13"/>
        <v>2.0783343095206498E-3</v>
      </c>
      <c r="AE3" s="35">
        <f t="shared" ca="1" si="14"/>
        <v>5.6681844805111072E-4</v>
      </c>
      <c r="AF3" s="35">
        <f t="shared" ca="1" si="15"/>
        <v>1.8893948268325608E-5</v>
      </c>
      <c r="AG3" s="35">
        <f t="shared" ca="1" si="16"/>
        <v>5.6681844805111072E-4</v>
      </c>
      <c r="AH3" s="35">
        <f t="shared" ca="1" si="17"/>
        <v>2.6451527575717605E-3</v>
      </c>
      <c r="AI3" s="35">
        <f t="shared" ca="1" si="18"/>
        <v>9.635913616868882E-4</v>
      </c>
      <c r="AJ3" s="35">
        <f t="shared" ca="1" si="19"/>
        <v>3.778789653673982E-3</v>
      </c>
      <c r="AK3" s="35">
        <f t="shared" ca="1" si="20"/>
        <v>3.2119712056228713E-3</v>
      </c>
      <c r="AM3" s="35">
        <f t="shared" ca="1" si="21"/>
        <v>1.6097643924651142E-2</v>
      </c>
    </row>
    <row r="4" spans="1:39" x14ac:dyDescent="0.3">
      <c r="A4" t="s">
        <v>17</v>
      </c>
      <c r="B4">
        <v>25</v>
      </c>
      <c r="C4">
        <v>1</v>
      </c>
      <c r="D4">
        <v>28.504000000000001</v>
      </c>
      <c r="E4">
        <v>5.2939999999999996</v>
      </c>
      <c r="F4">
        <v>227</v>
      </c>
      <c r="H4" s="35" t="s">
        <v>17</v>
      </c>
      <c r="I4" s="35">
        <v>100</v>
      </c>
      <c r="J4" s="35">
        <v>1</v>
      </c>
      <c r="L4" s="35">
        <f t="shared" ca="1" si="0"/>
        <v>103.265</v>
      </c>
      <c r="M4" s="35">
        <f t="shared" ca="1" si="1"/>
        <v>103.232</v>
      </c>
      <c r="N4" s="35">
        <f t="shared" ca="1" si="2"/>
        <v>103.256</v>
      </c>
      <c r="O4" s="35">
        <f t="shared" ca="1" si="3"/>
        <v>103.241</v>
      </c>
      <c r="P4" s="35">
        <f t="shared" ca="1" si="4"/>
        <v>103.29600000000001</v>
      </c>
      <c r="Q4" s="35">
        <f t="shared" ca="1" si="5"/>
        <v>103.325</v>
      </c>
      <c r="R4" s="35">
        <f t="shared" ca="1" si="6"/>
        <v>103.092</v>
      </c>
      <c r="S4" s="35">
        <f t="shared" ca="1" si="7"/>
        <v>103.256</v>
      </c>
      <c r="T4" s="35">
        <f t="shared" ca="1" si="8"/>
        <v>103.30200000000001</v>
      </c>
      <c r="U4" s="35">
        <f t="shared" ca="1" si="9"/>
        <v>103.239</v>
      </c>
      <c r="W4" s="35">
        <f t="shared" ca="1" si="10"/>
        <v>103.25040000000001</v>
      </c>
      <c r="Y4" s="35">
        <f ca="1">Total!E4</f>
        <v>102.80200000000001</v>
      </c>
      <c r="AB4" s="35">
        <f t="shared" ca="1" si="11"/>
        <v>4.5038034279488125E-3</v>
      </c>
      <c r="AC4" s="35">
        <f t="shared" ca="1" si="12"/>
        <v>4.1827980000388376E-3</v>
      </c>
      <c r="AD4" s="35">
        <f t="shared" ca="1" si="13"/>
        <v>4.4162564930642738E-3</v>
      </c>
      <c r="AE4" s="35">
        <f t="shared" ca="1" si="14"/>
        <v>4.2703449349233763E-3</v>
      </c>
      <c r="AF4" s="35">
        <f t="shared" ca="1" si="15"/>
        <v>4.8053539814400473E-3</v>
      </c>
      <c r="AG4" s="35">
        <f t="shared" ca="1" si="16"/>
        <v>5.0874496605124034E-3</v>
      </c>
      <c r="AH4" s="35">
        <f t="shared" ca="1" si="17"/>
        <v>2.8209567907238383E-3</v>
      </c>
      <c r="AI4" s="35">
        <f t="shared" ca="1" si="18"/>
        <v>4.4162564930642738E-3</v>
      </c>
      <c r="AJ4" s="35">
        <f t="shared" ca="1" si="19"/>
        <v>4.8637186046964062E-3</v>
      </c>
      <c r="AK4" s="35">
        <f t="shared" ca="1" si="20"/>
        <v>4.2508900605046362E-3</v>
      </c>
      <c r="AM4" s="35">
        <f t="shared" ca="1" si="21"/>
        <v>4.3617828446916904E-2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5.2889999999999997</v>
      </c>
      <c r="F5">
        <v>238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5.2859999999999996</v>
      </c>
      <c r="F6">
        <v>239</v>
      </c>
      <c r="H6" s="35" t="s">
        <v>18</v>
      </c>
      <c r="I6" s="35">
        <v>50</v>
      </c>
      <c r="J6" s="35">
        <v>1</v>
      </c>
      <c r="L6" s="35">
        <f t="shared" ca="1" si="0"/>
        <v>180.685</v>
      </c>
      <c r="M6" s="35">
        <f t="shared" ca="1" si="1"/>
        <v>179.93799999999999</v>
      </c>
      <c r="N6" s="35">
        <f t="shared" ca="1" si="2"/>
        <v>179.673</v>
      </c>
      <c r="O6" s="35">
        <f t="shared" ca="1" si="3"/>
        <v>179.953</v>
      </c>
      <c r="P6" s="35">
        <f t="shared" ca="1" si="4"/>
        <v>179.93799999999999</v>
      </c>
      <c r="Q6" s="35">
        <f t="shared" ca="1" si="5"/>
        <v>181.40799999999999</v>
      </c>
      <c r="R6" s="35">
        <f t="shared" ca="1" si="6"/>
        <v>179.93799999999999</v>
      </c>
      <c r="S6" s="35">
        <f t="shared" ca="1" si="7"/>
        <v>181.48400000000001</v>
      </c>
      <c r="T6" s="35">
        <f t="shared" ca="1" si="8"/>
        <v>179.93799999999999</v>
      </c>
      <c r="U6" s="35">
        <f t="shared" ca="1" si="9"/>
        <v>180.87100000000001</v>
      </c>
      <c r="W6" s="35">
        <f t="shared" ca="1" si="10"/>
        <v>180.3826</v>
      </c>
      <c r="Y6" s="35">
        <f ca="1">Total!E6</f>
        <v>179.673</v>
      </c>
      <c r="AB6" s="35">
        <f t="shared" ca="1" si="11"/>
        <v>5.6324545145903975E-3</v>
      </c>
      <c r="AC6" s="35">
        <f t="shared" ca="1" si="12"/>
        <v>1.4749016268442469E-3</v>
      </c>
      <c r="AD6" s="35">
        <f t="shared" ca="1" si="13"/>
        <v>0</v>
      </c>
      <c r="AE6" s="35">
        <f t="shared" ca="1" si="14"/>
        <v>1.5583866245902341E-3</v>
      </c>
      <c r="AF6" s="35">
        <f t="shared" ca="1" si="15"/>
        <v>1.4749016268442469E-3</v>
      </c>
      <c r="AG6" s="35">
        <f t="shared" ca="1" si="16"/>
        <v>9.6564314059429356E-3</v>
      </c>
      <c r="AH6" s="35">
        <f t="shared" ca="1" si="17"/>
        <v>1.4749016268442469E-3</v>
      </c>
      <c r="AI6" s="35">
        <f t="shared" ca="1" si="18"/>
        <v>1.0079422061188977E-2</v>
      </c>
      <c r="AJ6" s="35">
        <f t="shared" ca="1" si="19"/>
        <v>1.4749016268442469E-3</v>
      </c>
      <c r="AK6" s="35">
        <f t="shared" ca="1" si="20"/>
        <v>6.667668486639659E-3</v>
      </c>
      <c r="AM6" s="35">
        <f t="shared" ca="1" si="21"/>
        <v>3.9493969600329193E-2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5.3029999999999999</v>
      </c>
      <c r="F7">
        <v>239</v>
      </c>
      <c r="H7" s="35" t="s">
        <v>18</v>
      </c>
      <c r="I7" s="35">
        <v>100</v>
      </c>
      <c r="J7" s="35">
        <v>1</v>
      </c>
      <c r="L7" s="35">
        <f t="shared" ca="1" si="0"/>
        <v>239.19300000000001</v>
      </c>
      <c r="M7" s="35">
        <f t="shared" ca="1" si="1"/>
        <v>239.24</v>
      </c>
      <c r="N7" s="35">
        <f t="shared" ca="1" si="2"/>
        <v>239.273</v>
      </c>
      <c r="O7" s="35">
        <f t="shared" ca="1" si="3"/>
        <v>239.13900000000001</v>
      </c>
      <c r="P7" s="35">
        <f t="shared" ca="1" si="4"/>
        <v>239.03700000000001</v>
      </c>
      <c r="Q7" s="35">
        <f t="shared" ca="1" si="5"/>
        <v>239.184</v>
      </c>
      <c r="R7" s="35">
        <f t="shared" ca="1" si="6"/>
        <v>239.654</v>
      </c>
      <c r="S7" s="35">
        <f t="shared" ca="1" si="7"/>
        <v>239.24299999999999</v>
      </c>
      <c r="T7" s="35">
        <f t="shared" ca="1" si="8"/>
        <v>239.2</v>
      </c>
      <c r="U7" s="35">
        <f t="shared" ca="1" si="9"/>
        <v>239.50299999999999</v>
      </c>
      <c r="W7" s="35">
        <f t="shared" ca="1" si="10"/>
        <v>239.26660000000001</v>
      </c>
      <c r="Y7" s="35">
        <f ca="1">Total!E7</f>
        <v>238.86699999999999</v>
      </c>
      <c r="AB7" s="35">
        <f t="shared" ca="1" si="11"/>
        <v>1.3647762143788043E-3</v>
      </c>
      <c r="AC7" s="35">
        <f t="shared" ca="1" si="12"/>
        <v>1.5615384293352322E-3</v>
      </c>
      <c r="AD7" s="35">
        <f t="shared" ca="1" si="13"/>
        <v>1.6996906228152317E-3</v>
      </c>
      <c r="AE7" s="35">
        <f t="shared" ca="1" si="14"/>
        <v>1.1387089886841623E-3</v>
      </c>
      <c r="AF7" s="35">
        <f t="shared" ca="1" si="15"/>
        <v>7.1169311792761635E-4</v>
      </c>
      <c r="AG7" s="35">
        <f t="shared" ca="1" si="16"/>
        <v>1.3270983434296379E-3</v>
      </c>
      <c r="AH7" s="35">
        <f t="shared" ca="1" si="17"/>
        <v>3.294720492994035E-3</v>
      </c>
      <c r="AI7" s="35">
        <f t="shared" ca="1" si="18"/>
        <v>1.5740977196515417E-3</v>
      </c>
      <c r="AJ7" s="35">
        <f t="shared" ca="1" si="19"/>
        <v>1.3940812251168994E-3</v>
      </c>
      <c r="AK7" s="35">
        <f t="shared" ca="1" si="20"/>
        <v>2.6625695470701089E-3</v>
      </c>
      <c r="AM7" s="35">
        <f t="shared" ca="1" si="21"/>
        <v>1.6728974701403269E-2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5.282</v>
      </c>
      <c r="F8">
        <v>237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28.504000000000001</v>
      </c>
      <c r="E9">
        <v>5.29</v>
      </c>
      <c r="F9">
        <v>195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5.274</v>
      </c>
      <c r="F10">
        <v>190</v>
      </c>
      <c r="H10" s="35" t="s">
        <v>19</v>
      </c>
      <c r="I10" s="35">
        <v>100</v>
      </c>
      <c r="J10" s="35">
        <v>1</v>
      </c>
      <c r="L10" s="35">
        <f t="shared" ca="1" si="0"/>
        <v>35217.79</v>
      </c>
      <c r="M10" s="35">
        <f t="shared" ca="1" si="1"/>
        <v>35272.862000000001</v>
      </c>
      <c r="N10" s="35">
        <f t="shared" ca="1" si="2"/>
        <v>35280.442000000003</v>
      </c>
      <c r="O10" s="35">
        <f t="shared" ca="1" si="3"/>
        <v>35243.050999999999</v>
      </c>
      <c r="P10" s="35">
        <f t="shared" ca="1" si="4"/>
        <v>35242.976000000002</v>
      </c>
      <c r="Q10" s="35">
        <f t="shared" ca="1" si="5"/>
        <v>35234.324000000001</v>
      </c>
      <c r="R10" s="35">
        <f t="shared" ca="1" si="6"/>
        <v>35219.68</v>
      </c>
      <c r="S10" s="35">
        <f t="shared" ca="1" si="7"/>
        <v>35225.974999999999</v>
      </c>
      <c r="T10" s="35">
        <f t="shared" ca="1" si="8"/>
        <v>35272.862000000001</v>
      </c>
      <c r="U10" s="35">
        <f t="shared" ca="1" si="9"/>
        <v>35231.224999999999</v>
      </c>
      <c r="W10" s="35">
        <f t="shared" ca="1" si="10"/>
        <v>35244.118699999999</v>
      </c>
      <c r="Y10" s="35">
        <f ca="1">Total!E10</f>
        <v>35210.383000000002</v>
      </c>
      <c r="AB10" s="35">
        <f t="shared" ca="1" si="11"/>
        <v>2.1036408493481151E-4</v>
      </c>
      <c r="AC10" s="35">
        <f t="shared" ca="1" si="12"/>
        <v>1.7744481791066957E-3</v>
      </c>
      <c r="AD10" s="35">
        <f t="shared" ca="1" si="13"/>
        <v>1.9897255874780206E-3</v>
      </c>
      <c r="AE10" s="35">
        <f t="shared" ca="1" si="14"/>
        <v>9.2779450879582439E-4</v>
      </c>
      <c r="AF10" s="35">
        <f t="shared" ca="1" si="15"/>
        <v>9.2566445528299867E-4</v>
      </c>
      <c r="AG10" s="35">
        <f t="shared" ca="1" si="16"/>
        <v>6.7994148203383341E-4</v>
      </c>
      <c r="AH10" s="35">
        <f t="shared" ca="1" si="17"/>
        <v>2.6404143346008652E-4</v>
      </c>
      <c r="AI10" s="35">
        <f t="shared" ca="1" si="18"/>
        <v>4.4282392497681477E-4</v>
      </c>
      <c r="AJ10" s="35">
        <f t="shared" ca="1" si="19"/>
        <v>1.7744481791066957E-3</v>
      </c>
      <c r="AK10" s="35">
        <f t="shared" ca="1" si="20"/>
        <v>5.9192767088040235E-4</v>
      </c>
      <c r="AM10" s="35">
        <f t="shared" ca="1" si="21"/>
        <v>9.5811795060561835E-3</v>
      </c>
    </row>
    <row r="11" spans="1:39" x14ac:dyDescent="0.3">
      <c r="A11" t="s">
        <v>17</v>
      </c>
      <c r="B11">
        <v>50</v>
      </c>
      <c r="C11">
        <v>1</v>
      </c>
      <c r="D11">
        <v>52.987000000000002</v>
      </c>
      <c r="E11">
        <v>19.571999999999999</v>
      </c>
      <c r="F11">
        <v>292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657.35599999999999</v>
      </c>
      <c r="N11" s="35">
        <f t="shared" ca="1" si="2"/>
        <v>658.14499999999998</v>
      </c>
      <c r="O11" s="35">
        <f t="shared" ca="1" si="3"/>
        <v>657.33</v>
      </c>
      <c r="P11" s="35">
        <f t="shared" ca="1" si="4"/>
        <v>658.23299999999995</v>
      </c>
      <c r="Q11" s="35">
        <f t="shared" ca="1" si="5"/>
        <v>658.005</v>
      </c>
      <c r="R11" s="35">
        <f t="shared" ca="1" si="6"/>
        <v>657.35599999999999</v>
      </c>
      <c r="S11" s="35">
        <f t="shared" ca="1" si="7"/>
        <v>657.98</v>
      </c>
      <c r="T11" s="35">
        <f t="shared" ca="1" si="8"/>
        <v>658.23299999999995</v>
      </c>
      <c r="U11" s="35">
        <f t="shared" ca="1" si="9"/>
        <v>658.005</v>
      </c>
      <c r="W11" s="35">
        <f t="shared" ca="1" si="10"/>
        <v>657.79990000000009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2.8849747888902728E-3</v>
      </c>
      <c r="AD11" s="35">
        <f t="shared" ca="1" si="13"/>
        <v>4.0887003882738972E-3</v>
      </c>
      <c r="AE11" s="35">
        <f t="shared" ca="1" si="14"/>
        <v>2.8453082925861931E-3</v>
      </c>
      <c r="AF11" s="35">
        <f t="shared" ca="1" si="15"/>
        <v>4.2229562219186613E-3</v>
      </c>
      <c r="AG11" s="35">
        <f t="shared" ca="1" si="16"/>
        <v>3.8751115620207998E-3</v>
      </c>
      <c r="AH11" s="35">
        <f t="shared" ca="1" si="17"/>
        <v>2.8849747888902728E-3</v>
      </c>
      <c r="AI11" s="35">
        <f t="shared" ca="1" si="18"/>
        <v>3.8369707001899207E-3</v>
      </c>
      <c r="AJ11" s="35">
        <f t="shared" ca="1" si="19"/>
        <v>4.2229562219186613E-3</v>
      </c>
      <c r="AK11" s="35">
        <f t="shared" ca="1" si="20"/>
        <v>3.8751115620207998E-3</v>
      </c>
      <c r="AM11" s="35">
        <f t="shared" ca="1" si="21"/>
        <v>3.5622039315599749E-2</v>
      </c>
    </row>
    <row r="12" spans="1:39" x14ac:dyDescent="0.3">
      <c r="A12" t="s">
        <v>17</v>
      </c>
      <c r="B12">
        <v>50</v>
      </c>
      <c r="C12">
        <v>1</v>
      </c>
      <c r="D12">
        <v>52.987000000000002</v>
      </c>
      <c r="E12">
        <v>19.582999999999998</v>
      </c>
      <c r="F12">
        <v>297</v>
      </c>
      <c r="H12" s="35" t="s">
        <v>20</v>
      </c>
      <c r="I12" s="35">
        <v>50</v>
      </c>
      <c r="J12" s="35">
        <v>1</v>
      </c>
      <c r="L12" s="35">
        <f t="shared" ca="1" si="0"/>
        <v>992.47500000000002</v>
      </c>
      <c r="M12" s="35">
        <f t="shared" ca="1" si="1"/>
        <v>997.678</v>
      </c>
      <c r="N12" s="35">
        <f t="shared" ca="1" si="2"/>
        <v>994.54600000000005</v>
      </c>
      <c r="O12" s="35">
        <f t="shared" ca="1" si="3"/>
        <v>996.28700000000003</v>
      </c>
      <c r="P12" s="35">
        <f t="shared" ca="1" si="4"/>
        <v>992.17100000000005</v>
      </c>
      <c r="Q12" s="35">
        <f t="shared" ca="1" si="5"/>
        <v>994.68499999999995</v>
      </c>
      <c r="R12" s="35">
        <f t="shared" ca="1" si="6"/>
        <v>993.00800000000004</v>
      </c>
      <c r="S12" s="35">
        <f t="shared" ca="1" si="7"/>
        <v>996.32299999999998</v>
      </c>
      <c r="T12" s="35">
        <f t="shared" ca="1" si="8"/>
        <v>992.90800000000002</v>
      </c>
      <c r="U12" s="35">
        <f t="shared" ca="1" si="9"/>
        <v>992.33</v>
      </c>
      <c r="W12" s="35">
        <f t="shared" ca="1" si="10"/>
        <v>994.24109999999996</v>
      </c>
      <c r="Y12" s="35">
        <f ca="1">Total!E12</f>
        <v>990.096</v>
      </c>
      <c r="AB12" s="35">
        <f t="shared" ca="1" si="11"/>
        <v>2.4027973045038249E-3</v>
      </c>
      <c r="AC12" s="35">
        <f t="shared" ca="1" si="12"/>
        <v>7.6578432798435642E-3</v>
      </c>
      <c r="AD12" s="35">
        <f t="shared" ca="1" si="13"/>
        <v>4.494513663321582E-3</v>
      </c>
      <c r="AE12" s="35">
        <f t="shared" ca="1" si="14"/>
        <v>6.2529290089042185E-3</v>
      </c>
      <c r="AF12" s="35">
        <f t="shared" ca="1" si="15"/>
        <v>2.0957563710994141E-3</v>
      </c>
      <c r="AG12" s="35">
        <f t="shared" ca="1" si="16"/>
        <v>4.6349040901083752E-3</v>
      </c>
      <c r="AH12" s="35">
        <f t="shared" ca="1" si="17"/>
        <v>2.9411289410320157E-3</v>
      </c>
      <c r="AI12" s="35">
        <f t="shared" ca="1" si="18"/>
        <v>6.289289119438898E-3</v>
      </c>
      <c r="AJ12" s="35">
        <f t="shared" ca="1" si="19"/>
        <v>2.8401286339910592E-3</v>
      </c>
      <c r="AK12" s="35">
        <f t="shared" ca="1" si="20"/>
        <v>2.2563468592944899E-3</v>
      </c>
      <c r="AM12" s="35">
        <f t="shared" ca="1" si="21"/>
        <v>4.1865637271537443E-2</v>
      </c>
    </row>
    <row r="13" spans="1:39" x14ac:dyDescent="0.3">
      <c r="A13" t="s">
        <v>17</v>
      </c>
      <c r="B13">
        <v>50</v>
      </c>
      <c r="C13">
        <v>1</v>
      </c>
      <c r="D13">
        <v>53.036999999999999</v>
      </c>
      <c r="E13">
        <v>19.550999999999998</v>
      </c>
      <c r="F13">
        <v>300</v>
      </c>
      <c r="H13" s="35" t="s">
        <v>20</v>
      </c>
      <c r="I13" s="35">
        <v>100</v>
      </c>
      <c r="J13" s="35">
        <v>1</v>
      </c>
      <c r="L13" s="35">
        <f t="shared" ca="1" si="0"/>
        <v>1757.03</v>
      </c>
      <c r="M13" s="35">
        <f t="shared" ca="1" si="1"/>
        <v>1756.3969999999999</v>
      </c>
      <c r="N13" s="35">
        <f t="shared" ca="1" si="2"/>
        <v>1759.04</v>
      </c>
      <c r="O13" s="35">
        <f t="shared" ca="1" si="3"/>
        <v>1759.125</v>
      </c>
      <c r="P13" s="35">
        <f t="shared" ca="1" si="4"/>
        <v>1759.875</v>
      </c>
      <c r="Q13" s="35">
        <f t="shared" ca="1" si="5"/>
        <v>1759.1869999999999</v>
      </c>
      <c r="R13" s="35">
        <f t="shared" ca="1" si="6"/>
        <v>1756.0450000000001</v>
      </c>
      <c r="S13" s="35">
        <f t="shared" ca="1" si="7"/>
        <v>1756.8030000000001</v>
      </c>
      <c r="T13" s="35">
        <f t="shared" ca="1" si="8"/>
        <v>1756.74</v>
      </c>
      <c r="U13" s="35">
        <f t="shared" ca="1" si="9"/>
        <v>1755.4949999999999</v>
      </c>
      <c r="W13" s="35">
        <f t="shared" ca="1" si="10"/>
        <v>1757.5737000000001</v>
      </c>
      <c r="Y13" s="35">
        <f ca="1">Total!E13</f>
        <v>1753.79</v>
      </c>
      <c r="AB13" s="35">
        <f t="shared" ca="1" si="11"/>
        <v>1.8474275711459235E-3</v>
      </c>
      <c r="AC13" s="35">
        <f t="shared" ca="1" si="12"/>
        <v>1.48649496233869E-3</v>
      </c>
      <c r="AD13" s="35">
        <f t="shared" ca="1" si="13"/>
        <v>2.9935168976901452E-3</v>
      </c>
      <c r="AE13" s="35">
        <f t="shared" ca="1" si="14"/>
        <v>3.0419833617480064E-3</v>
      </c>
      <c r="AF13" s="35">
        <f t="shared" ca="1" si="15"/>
        <v>3.4696286328465987E-3</v>
      </c>
      <c r="AG13" s="35">
        <f t="shared" ca="1" si="16"/>
        <v>3.077335370825432E-3</v>
      </c>
      <c r="AH13" s="35">
        <f t="shared" ca="1" si="17"/>
        <v>1.2857867817698293E-3</v>
      </c>
      <c r="AI13" s="35">
        <f t="shared" ca="1" si="18"/>
        <v>1.7179936024268284E-3</v>
      </c>
      <c r="AJ13" s="35">
        <f t="shared" ca="1" si="19"/>
        <v>1.6820713996544886E-3</v>
      </c>
      <c r="AK13" s="35">
        <f t="shared" ca="1" si="20"/>
        <v>9.7218024963075813E-4</v>
      </c>
      <c r="AM13" s="35">
        <f t="shared" ca="1" si="21"/>
        <v>2.15744188300767E-2</v>
      </c>
    </row>
    <row r="14" spans="1:39" x14ac:dyDescent="0.3">
      <c r="A14" t="s">
        <v>17</v>
      </c>
      <c r="B14">
        <v>50</v>
      </c>
      <c r="C14">
        <v>1</v>
      </c>
      <c r="D14">
        <v>52.957000000000001</v>
      </c>
      <c r="E14">
        <v>19.562000000000001</v>
      </c>
      <c r="F14">
        <v>281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52.927999999999997</v>
      </c>
      <c r="E15">
        <v>19.581</v>
      </c>
      <c r="F15">
        <v>317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76.933000000000007</v>
      </c>
      <c r="M15" s="35">
        <f t="shared" ca="1" si="1"/>
        <v>76.462999999999994</v>
      </c>
      <c r="N15" s="35">
        <f t="shared" ca="1" si="1"/>
        <v>76.55</v>
      </c>
      <c r="O15" s="35">
        <f t="shared" ca="1" si="1"/>
        <v>76.326999999999998</v>
      </c>
      <c r="P15" s="35">
        <f t="shared" ca="1" si="1"/>
        <v>76.260000000000005</v>
      </c>
      <c r="Q15" s="35">
        <f t="shared" ca="1" si="1"/>
        <v>76.771000000000001</v>
      </c>
      <c r="R15" s="35">
        <f t="shared" ca="1" si="1"/>
        <v>76.293000000000006</v>
      </c>
      <c r="S15" s="35">
        <f t="shared" ca="1" si="1"/>
        <v>76.599999999999994</v>
      </c>
      <c r="T15" s="35">
        <f t="shared" ca="1" si="1"/>
        <v>76.635999999999996</v>
      </c>
      <c r="U15" s="35">
        <f t="shared" ca="1" si="1"/>
        <v>76.739999999999995</v>
      </c>
      <c r="W15" s="35">
        <f t="shared" ca="1" si="10"/>
        <v>76.557299999999998</v>
      </c>
      <c r="Y15" s="35">
        <f ca="1">Total!E15</f>
        <v>75.998000000000005</v>
      </c>
      <c r="AB15" s="35">
        <f t="shared" ca="1" si="11"/>
        <v>1.2302955340930054E-2</v>
      </c>
      <c r="AC15" s="35">
        <f t="shared" ca="1" si="12"/>
        <v>6.1185820679490145E-3</v>
      </c>
      <c r="AD15" s="35">
        <f t="shared" ca="1" si="13"/>
        <v>7.2633490355008355E-3</v>
      </c>
      <c r="AE15" s="35">
        <f t="shared" ca="1" si="14"/>
        <v>4.3290612910865224E-3</v>
      </c>
      <c r="AF15" s="35">
        <f t="shared" ca="1" si="15"/>
        <v>3.447459143661681E-3</v>
      </c>
      <c r="AG15" s="35">
        <f t="shared" ca="1" si="16"/>
        <v>1.0171320297902525E-2</v>
      </c>
      <c r="AH15" s="35">
        <f t="shared" ca="1" si="17"/>
        <v>3.8816810968709927E-3</v>
      </c>
      <c r="AI15" s="35">
        <f t="shared" ca="1" si="18"/>
        <v>7.9212610858179107E-3</v>
      </c>
      <c r="AJ15" s="35">
        <f t="shared" ca="1" si="19"/>
        <v>8.3949577620462505E-3</v>
      </c>
      <c r="AK15" s="35">
        <f t="shared" ca="1" si="20"/>
        <v>9.7634148267058372E-3</v>
      </c>
      <c r="AM15" s="35">
        <f t="shared" ca="1" si="21"/>
        <v>7.3594041948471633E-2</v>
      </c>
    </row>
    <row r="16" spans="1:39" x14ac:dyDescent="0.3">
      <c r="A16" t="s">
        <v>17</v>
      </c>
      <c r="B16">
        <v>50</v>
      </c>
      <c r="C16">
        <v>1</v>
      </c>
      <c r="D16">
        <v>52.957000000000001</v>
      </c>
      <c r="E16">
        <v>19.593</v>
      </c>
      <c r="F16">
        <v>366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119.194</v>
      </c>
      <c r="M16" s="35">
        <f t="shared" ca="1" si="1"/>
        <v>118.708</v>
      </c>
      <c r="N16" s="35">
        <f t="shared" ca="1" si="1"/>
        <v>119.321</v>
      </c>
      <c r="O16" s="35">
        <f t="shared" ca="1" si="1"/>
        <v>119.137</v>
      </c>
      <c r="P16" s="35">
        <f t="shared" ca="1" si="1"/>
        <v>119.01900000000001</v>
      </c>
      <c r="Q16" s="35">
        <f t="shared" ca="1" si="1"/>
        <v>118.809</v>
      </c>
      <c r="R16" s="35">
        <f t="shared" ca="1" si="1"/>
        <v>118.739</v>
      </c>
      <c r="S16" s="35">
        <f t="shared" ca="1" si="1"/>
        <v>119.30200000000001</v>
      </c>
      <c r="T16" s="35">
        <f t="shared" ca="1" si="1"/>
        <v>119.4</v>
      </c>
      <c r="U16" s="35">
        <f t="shared" ca="1" si="1"/>
        <v>119.229</v>
      </c>
      <c r="W16" s="35">
        <f t="shared" ca="1" si="10"/>
        <v>119.08579999999999</v>
      </c>
      <c r="Y16" s="35">
        <f ca="1">Total!E16</f>
        <v>118.01</v>
      </c>
      <c r="AB16" s="35">
        <f t="shared" ca="1" si="11"/>
        <v>1.0033048046775675E-2</v>
      </c>
      <c r="AC16" s="35">
        <f t="shared" ca="1" si="12"/>
        <v>5.9147529870349396E-3</v>
      </c>
      <c r="AD16" s="35">
        <f t="shared" ca="1" si="13"/>
        <v>1.1109228031522691E-2</v>
      </c>
      <c r="AE16" s="35">
        <f t="shared" ca="1" si="14"/>
        <v>9.5500381323616237E-3</v>
      </c>
      <c r="AF16" s="35">
        <f t="shared" ca="1" si="15"/>
        <v>8.5501228709431425E-3</v>
      </c>
      <c r="AG16" s="35">
        <f t="shared" ca="1" si="16"/>
        <v>6.7706126599440079E-3</v>
      </c>
      <c r="AH16" s="35">
        <f t="shared" ca="1" si="17"/>
        <v>6.1774425896110432E-3</v>
      </c>
      <c r="AI16" s="35">
        <f t="shared" ca="1" si="18"/>
        <v>1.0948224726718088E-2</v>
      </c>
      <c r="AJ16" s="35">
        <f t="shared" ca="1" si="19"/>
        <v>1.177866282518431E-2</v>
      </c>
      <c r="AK16" s="35">
        <f t="shared" ca="1" si="20"/>
        <v>1.0329633081942157E-2</v>
      </c>
      <c r="AM16" s="35">
        <f t="shared" ca="1" si="21"/>
        <v>9.1161765952037677E-2</v>
      </c>
    </row>
    <row r="17" spans="1:39" x14ac:dyDescent="0.3">
      <c r="A17" t="s">
        <v>17</v>
      </c>
      <c r="B17">
        <v>50</v>
      </c>
      <c r="C17">
        <v>1</v>
      </c>
      <c r="D17">
        <v>53.067</v>
      </c>
      <c r="E17">
        <v>19.571000000000002</v>
      </c>
      <c r="F17">
        <v>378</v>
      </c>
      <c r="H17" s="35" t="s">
        <v>34</v>
      </c>
      <c r="I17" s="35">
        <v>40</v>
      </c>
      <c r="J17" s="35">
        <v>1</v>
      </c>
      <c r="L17" s="35">
        <f t="shared" ca="1" si="22"/>
        <v>16.704000000000001</v>
      </c>
      <c r="M17" s="35">
        <f t="shared" ca="1" si="1"/>
        <v>16.78</v>
      </c>
      <c r="N17" s="35">
        <f t="shared" ca="1" si="1"/>
        <v>16.771000000000001</v>
      </c>
      <c r="O17" s="35">
        <f t="shared" ca="1" si="1"/>
        <v>16.786999999999999</v>
      </c>
      <c r="P17" s="35">
        <f t="shared" ca="1" si="1"/>
        <v>16.577999999999999</v>
      </c>
      <c r="Q17" s="35">
        <f t="shared" ca="1" si="1"/>
        <v>16.713000000000001</v>
      </c>
      <c r="R17" s="35">
        <f t="shared" ca="1" si="1"/>
        <v>16.616</v>
      </c>
      <c r="S17" s="35">
        <f t="shared" ca="1" si="1"/>
        <v>16.693999999999999</v>
      </c>
      <c r="T17" s="35">
        <f t="shared" ca="1" si="1"/>
        <v>16.515000000000001</v>
      </c>
      <c r="U17" s="35">
        <f t="shared" ca="1" si="1"/>
        <v>16.664000000000001</v>
      </c>
      <c r="W17" s="35">
        <f t="shared" ca="1" si="10"/>
        <v>16.682200000000002</v>
      </c>
      <c r="Y17" s="35">
        <f ca="1">Total!E17</f>
        <v>16.481999999999999</v>
      </c>
      <c r="AB17" s="35">
        <f t="shared" ca="1" si="11"/>
        <v>1.346923917000372E-2</v>
      </c>
      <c r="AC17" s="35">
        <f t="shared" ca="1" si="12"/>
        <v>1.8080330057032024E-2</v>
      </c>
      <c r="AD17" s="35">
        <f t="shared" ca="1" si="13"/>
        <v>1.7534279820410236E-2</v>
      </c>
      <c r="AE17" s="35">
        <f t="shared" ca="1" si="14"/>
        <v>1.8505035796626608E-2</v>
      </c>
      <c r="AF17" s="35">
        <f t="shared" ca="1" si="15"/>
        <v>5.8245358572988773E-3</v>
      </c>
      <c r="AG17" s="35">
        <f t="shared" ca="1" si="16"/>
        <v>1.401528940662551E-2</v>
      </c>
      <c r="AH17" s="35">
        <f t="shared" ca="1" si="17"/>
        <v>8.1300813008130298E-3</v>
      </c>
      <c r="AI17" s="35">
        <f t="shared" ca="1" si="18"/>
        <v>1.2862516684868326E-2</v>
      </c>
      <c r="AJ17" s="35">
        <f t="shared" ca="1" si="19"/>
        <v>2.0021842009465629E-3</v>
      </c>
      <c r="AK17" s="35">
        <f t="shared" ca="1" si="20"/>
        <v>1.1042349229462576E-2</v>
      </c>
      <c r="AM17" s="35">
        <f t="shared" ca="1" si="21"/>
        <v>0.12146584152408746</v>
      </c>
    </row>
    <row r="18" spans="1:39" x14ac:dyDescent="0.3">
      <c r="A18" t="s">
        <v>17</v>
      </c>
      <c r="B18">
        <v>50</v>
      </c>
      <c r="C18">
        <v>1</v>
      </c>
      <c r="D18">
        <v>52.978000000000002</v>
      </c>
      <c r="E18">
        <v>19.573</v>
      </c>
      <c r="F18">
        <v>355</v>
      </c>
      <c r="H18" s="35" t="s">
        <v>34</v>
      </c>
      <c r="I18" s="35">
        <v>96</v>
      </c>
      <c r="J18" s="35">
        <v>1</v>
      </c>
      <c r="L18" s="35">
        <f t="shared" ca="1" si="22"/>
        <v>35.189</v>
      </c>
      <c r="M18" s="35">
        <f t="shared" ca="1" si="22"/>
        <v>35.186999999999998</v>
      </c>
      <c r="N18" s="35">
        <f t="shared" ca="1" si="22"/>
        <v>35.192999999999998</v>
      </c>
      <c r="O18" s="35">
        <f t="shared" ca="1" si="22"/>
        <v>35.124000000000002</v>
      </c>
      <c r="P18" s="35">
        <f t="shared" ca="1" si="22"/>
        <v>35.216999999999999</v>
      </c>
      <c r="Q18" s="35">
        <f t="shared" ca="1" si="22"/>
        <v>35.103000000000002</v>
      </c>
      <c r="R18" s="35">
        <f t="shared" ca="1" si="22"/>
        <v>35.078000000000003</v>
      </c>
      <c r="S18" s="35">
        <f t="shared" ca="1" si="22"/>
        <v>35.18</v>
      </c>
      <c r="T18" s="35">
        <f t="shared" ca="1" si="22"/>
        <v>35.194000000000003</v>
      </c>
      <c r="U18" s="35">
        <f t="shared" ca="1" si="22"/>
        <v>35.183</v>
      </c>
      <c r="W18" s="35">
        <f t="shared" ca="1" si="10"/>
        <v>35.1648</v>
      </c>
      <c r="Y18" s="35">
        <f ca="1">Total!E18</f>
        <v>35.069000000000003</v>
      </c>
      <c r="AB18" s="35">
        <f t="shared" ca="1" si="11"/>
        <v>3.421825543927612E-3</v>
      </c>
      <c r="AC18" s="35">
        <f t="shared" ca="1" si="12"/>
        <v>3.3647951181954142E-3</v>
      </c>
      <c r="AD18" s="35">
        <f t="shared" ca="1" si="13"/>
        <v>3.535886395391805E-3</v>
      </c>
      <c r="AE18" s="35">
        <f t="shared" ca="1" si="14"/>
        <v>1.5683367076335143E-3</v>
      </c>
      <c r="AF18" s="35">
        <f t="shared" ca="1" si="15"/>
        <v>4.2202515041773678E-3</v>
      </c>
      <c r="AG18" s="35">
        <f t="shared" ca="1" si="16"/>
        <v>9.6951723744614666E-4</v>
      </c>
      <c r="AH18" s="35">
        <f t="shared" ca="1" si="17"/>
        <v>2.5663691579458613E-4</v>
      </c>
      <c r="AI18" s="35">
        <f t="shared" ca="1" si="18"/>
        <v>3.1651886281330263E-3</v>
      </c>
      <c r="AJ18" s="35">
        <f t="shared" ca="1" si="19"/>
        <v>3.5644016082580052E-3</v>
      </c>
      <c r="AK18" s="35">
        <f t="shared" ca="1" si="20"/>
        <v>3.2507342667312217E-3</v>
      </c>
      <c r="AM18" s="35">
        <f t="shared" ca="1" si="21"/>
        <v>2.7317573925688701E-2</v>
      </c>
    </row>
    <row r="19" spans="1:39" x14ac:dyDescent="0.3">
      <c r="A19" t="s">
        <v>17</v>
      </c>
      <c r="B19">
        <v>50</v>
      </c>
      <c r="C19">
        <v>1</v>
      </c>
      <c r="D19">
        <v>53.127000000000002</v>
      </c>
      <c r="E19">
        <v>19.588999999999999</v>
      </c>
      <c r="F19">
        <v>282</v>
      </c>
      <c r="H19" s="35" t="s">
        <v>34</v>
      </c>
      <c r="I19" s="35">
        <v>224</v>
      </c>
      <c r="J19" s="35">
        <v>1</v>
      </c>
      <c r="L19" s="35">
        <f t="shared" ca="1" si="22"/>
        <v>71.921999999999997</v>
      </c>
      <c r="M19" s="35">
        <f t="shared" ca="1" si="22"/>
        <v>71.923000000000002</v>
      </c>
      <c r="N19" s="35">
        <f t="shared" ca="1" si="22"/>
        <v>71.936000000000007</v>
      </c>
      <c r="O19" s="35">
        <f t="shared" ca="1" si="22"/>
        <v>71.954999999999998</v>
      </c>
      <c r="P19" s="35">
        <f t="shared" ca="1" si="22"/>
        <v>71.995000000000005</v>
      </c>
      <c r="Q19" s="35">
        <f t="shared" ca="1" si="22"/>
        <v>71.935000000000002</v>
      </c>
      <c r="R19" s="35">
        <f t="shared" ca="1" si="22"/>
        <v>71.936999999999998</v>
      </c>
      <c r="S19" s="35">
        <f t="shared" ca="1" si="22"/>
        <v>71.929000000000002</v>
      </c>
      <c r="T19" s="35">
        <f t="shared" ca="1" si="22"/>
        <v>71.918999999999997</v>
      </c>
      <c r="U19" s="35">
        <f t="shared" ca="1" si="22"/>
        <v>72.016000000000005</v>
      </c>
      <c r="W19" s="35">
        <f t="shared" ca="1" si="10"/>
        <v>71.946699999999993</v>
      </c>
      <c r="Y19" s="35">
        <f ca="1">Total!E19</f>
        <v>71.908000000000001</v>
      </c>
      <c r="AB19" s="35">
        <f t="shared" ca="1" si="11"/>
        <v>1.9469321911325295E-4</v>
      </c>
      <c r="AC19" s="35">
        <f t="shared" ca="1" si="12"/>
        <v>2.0859987762141303E-4</v>
      </c>
      <c r="AD19" s="35">
        <f t="shared" ca="1" si="13"/>
        <v>3.8938643822670354E-4</v>
      </c>
      <c r="AE19" s="35">
        <f t="shared" ca="1" si="14"/>
        <v>6.5361294988036157E-4</v>
      </c>
      <c r="AF19" s="35">
        <f t="shared" ca="1" si="15"/>
        <v>1.2098792902041956E-3</v>
      </c>
      <c r="AG19" s="35">
        <f t="shared" ca="1" si="16"/>
        <v>3.7547977971854343E-4</v>
      </c>
      <c r="AH19" s="35">
        <f t="shared" ca="1" si="17"/>
        <v>4.03293096734666E-4</v>
      </c>
      <c r="AI19" s="35">
        <f t="shared" ca="1" si="18"/>
        <v>2.9203982866997825E-4</v>
      </c>
      <c r="AJ19" s="35">
        <f t="shared" ca="1" si="19"/>
        <v>1.5297324358897035E-4</v>
      </c>
      <c r="AK19" s="35">
        <f t="shared" ca="1" si="20"/>
        <v>1.5019191188741737E-3</v>
      </c>
      <c r="AM19" s="35">
        <f t="shared" ca="1" si="21"/>
        <v>5.3818768426322581E-3</v>
      </c>
    </row>
    <row r="20" spans="1:39" x14ac:dyDescent="0.3">
      <c r="A20" t="s">
        <v>17</v>
      </c>
      <c r="B20">
        <v>50</v>
      </c>
      <c r="C20">
        <v>1</v>
      </c>
      <c r="D20">
        <v>53.097000000000001</v>
      </c>
      <c r="E20">
        <v>19.55</v>
      </c>
      <c r="F20">
        <v>293</v>
      </c>
    </row>
    <row r="21" spans="1:39" x14ac:dyDescent="0.3">
      <c r="A21" t="s">
        <v>17</v>
      </c>
      <c r="B21">
        <v>100</v>
      </c>
      <c r="C21">
        <v>1</v>
      </c>
      <c r="D21">
        <v>103.265</v>
      </c>
      <c r="E21">
        <v>102.16</v>
      </c>
      <c r="F21">
        <v>456</v>
      </c>
    </row>
    <row r="22" spans="1:39" x14ac:dyDescent="0.3">
      <c r="A22" t="s">
        <v>17</v>
      </c>
      <c r="B22">
        <v>100</v>
      </c>
      <c r="C22">
        <v>1</v>
      </c>
      <c r="D22">
        <v>103.232</v>
      </c>
      <c r="E22">
        <v>102.047</v>
      </c>
      <c r="F22">
        <v>460</v>
      </c>
    </row>
    <row r="23" spans="1:39" x14ac:dyDescent="0.3">
      <c r="A23" t="s">
        <v>17</v>
      </c>
      <c r="B23">
        <v>100</v>
      </c>
      <c r="C23">
        <v>1</v>
      </c>
      <c r="D23">
        <v>103.256</v>
      </c>
      <c r="E23">
        <v>102.095</v>
      </c>
      <c r="F23">
        <v>536</v>
      </c>
    </row>
    <row r="24" spans="1:39" x14ac:dyDescent="0.3">
      <c r="A24" t="s">
        <v>17</v>
      </c>
      <c r="B24">
        <v>100</v>
      </c>
      <c r="C24">
        <v>1</v>
      </c>
      <c r="D24">
        <v>103.241</v>
      </c>
      <c r="E24">
        <v>102.125</v>
      </c>
      <c r="F24">
        <v>520</v>
      </c>
    </row>
    <row r="25" spans="1:39" x14ac:dyDescent="0.3">
      <c r="A25" t="s">
        <v>17</v>
      </c>
      <c r="B25">
        <v>100</v>
      </c>
      <c r="C25">
        <v>1</v>
      </c>
      <c r="D25">
        <v>103.29600000000001</v>
      </c>
      <c r="E25">
        <v>102.01900000000001</v>
      </c>
      <c r="F25">
        <v>491</v>
      </c>
    </row>
    <row r="26" spans="1:39" x14ac:dyDescent="0.3">
      <c r="A26" t="s">
        <v>17</v>
      </c>
      <c r="B26">
        <v>100</v>
      </c>
      <c r="C26">
        <v>1</v>
      </c>
      <c r="D26">
        <v>103.325</v>
      </c>
      <c r="E26">
        <v>102.1</v>
      </c>
      <c r="F26">
        <v>461</v>
      </c>
    </row>
    <row r="27" spans="1:39" x14ac:dyDescent="0.3">
      <c r="A27" t="s">
        <v>17</v>
      </c>
      <c r="B27">
        <v>100</v>
      </c>
      <c r="C27">
        <v>1</v>
      </c>
      <c r="D27">
        <v>103.092</v>
      </c>
      <c r="E27">
        <v>102.032</v>
      </c>
      <c r="F27">
        <v>458</v>
      </c>
    </row>
    <row r="28" spans="1:39" x14ac:dyDescent="0.3">
      <c r="A28" t="s">
        <v>17</v>
      </c>
      <c r="B28">
        <v>100</v>
      </c>
      <c r="C28">
        <v>1</v>
      </c>
      <c r="D28">
        <v>103.256</v>
      </c>
      <c r="E28">
        <v>102.16</v>
      </c>
      <c r="F28">
        <v>451</v>
      </c>
    </row>
    <row r="29" spans="1:39" x14ac:dyDescent="0.3">
      <c r="A29" t="s">
        <v>17</v>
      </c>
      <c r="B29">
        <v>100</v>
      </c>
      <c r="C29">
        <v>1</v>
      </c>
      <c r="D29">
        <v>103.30200000000001</v>
      </c>
      <c r="E29">
        <v>102.158</v>
      </c>
      <c r="F29">
        <v>454</v>
      </c>
    </row>
    <row r="30" spans="1:39" x14ac:dyDescent="0.3">
      <c r="A30" t="s">
        <v>17</v>
      </c>
      <c r="B30">
        <v>100</v>
      </c>
      <c r="C30">
        <v>1</v>
      </c>
      <c r="D30">
        <v>103.239</v>
      </c>
      <c r="E30">
        <v>102.012</v>
      </c>
      <c r="F30">
        <v>458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8.016</v>
      </c>
      <c r="F31">
        <v>270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8.0090000000000003</v>
      </c>
      <c r="F32">
        <v>243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7.9980000000000002</v>
      </c>
      <c r="F33">
        <v>233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8.02</v>
      </c>
      <c r="F34">
        <v>264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8.0399999999999991</v>
      </c>
      <c r="F35">
        <v>269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8.0129999999999999</v>
      </c>
      <c r="F36">
        <v>234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8.016</v>
      </c>
      <c r="F37">
        <v>244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</v>
      </c>
      <c r="F38">
        <v>253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8.0139999999999993</v>
      </c>
      <c r="F39">
        <v>234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8.0069999999999997</v>
      </c>
      <c r="F40">
        <v>227</v>
      </c>
    </row>
    <row r="41" spans="1:6" x14ac:dyDescent="0.3">
      <c r="A41" t="s">
        <v>18</v>
      </c>
      <c r="B41">
        <v>50</v>
      </c>
      <c r="C41">
        <v>1</v>
      </c>
      <c r="D41">
        <v>180.685</v>
      </c>
      <c r="E41">
        <v>22.45</v>
      </c>
      <c r="F41">
        <v>291</v>
      </c>
    </row>
    <row r="42" spans="1:6" x14ac:dyDescent="0.3">
      <c r="A42" t="s">
        <v>18</v>
      </c>
      <c r="B42">
        <v>50</v>
      </c>
      <c r="C42">
        <v>1</v>
      </c>
      <c r="D42">
        <v>179.93799999999999</v>
      </c>
      <c r="E42">
        <v>22.463000000000001</v>
      </c>
      <c r="F42">
        <v>300</v>
      </c>
    </row>
    <row r="43" spans="1:6" x14ac:dyDescent="0.3">
      <c r="A43" t="s">
        <v>18</v>
      </c>
      <c r="B43">
        <v>50</v>
      </c>
      <c r="C43">
        <v>1</v>
      </c>
      <c r="D43">
        <v>179.673</v>
      </c>
      <c r="E43">
        <v>22.436</v>
      </c>
      <c r="F43">
        <v>297</v>
      </c>
    </row>
    <row r="44" spans="1:6" x14ac:dyDescent="0.3">
      <c r="A44" t="s">
        <v>18</v>
      </c>
      <c r="B44">
        <v>50</v>
      </c>
      <c r="C44">
        <v>1</v>
      </c>
      <c r="D44">
        <v>179.953</v>
      </c>
      <c r="E44">
        <v>22.443000000000001</v>
      </c>
      <c r="F44">
        <v>291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22.422999999999998</v>
      </c>
      <c r="F45">
        <v>294</v>
      </c>
    </row>
    <row r="46" spans="1:6" x14ac:dyDescent="0.3">
      <c r="A46" t="s">
        <v>18</v>
      </c>
      <c r="B46">
        <v>50</v>
      </c>
      <c r="C46">
        <v>1</v>
      </c>
      <c r="D46">
        <v>181.40799999999999</v>
      </c>
      <c r="E46">
        <v>22.43</v>
      </c>
      <c r="F46">
        <v>291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22.422999999999998</v>
      </c>
      <c r="F47">
        <v>294</v>
      </c>
    </row>
    <row r="48" spans="1:6" x14ac:dyDescent="0.3">
      <c r="A48" t="s">
        <v>18</v>
      </c>
      <c r="B48">
        <v>50</v>
      </c>
      <c r="C48">
        <v>1</v>
      </c>
      <c r="D48">
        <v>181.48400000000001</v>
      </c>
      <c r="E48">
        <v>22.451000000000001</v>
      </c>
      <c r="F48">
        <v>295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22.408999999999999</v>
      </c>
      <c r="F49">
        <v>295</v>
      </c>
    </row>
    <row r="50" spans="1:6" x14ac:dyDescent="0.3">
      <c r="A50" t="s">
        <v>18</v>
      </c>
      <c r="B50">
        <v>50</v>
      </c>
      <c r="C50">
        <v>1</v>
      </c>
      <c r="D50">
        <v>180.87100000000001</v>
      </c>
      <c r="E50">
        <v>22.423999999999999</v>
      </c>
      <c r="F50">
        <v>294</v>
      </c>
    </row>
    <row r="51" spans="1:6" x14ac:dyDescent="0.3">
      <c r="A51" t="s">
        <v>18</v>
      </c>
      <c r="B51">
        <v>100</v>
      </c>
      <c r="C51">
        <v>1</v>
      </c>
      <c r="D51">
        <v>239.19300000000001</v>
      </c>
      <c r="E51">
        <v>138.476</v>
      </c>
      <c r="F51">
        <v>523</v>
      </c>
    </row>
    <row r="52" spans="1:6" x14ac:dyDescent="0.3">
      <c r="A52" t="s">
        <v>18</v>
      </c>
      <c r="B52">
        <v>100</v>
      </c>
      <c r="C52">
        <v>1</v>
      </c>
      <c r="D52">
        <v>239.24</v>
      </c>
      <c r="E52">
        <v>138.68600000000001</v>
      </c>
      <c r="F52">
        <v>525</v>
      </c>
    </row>
    <row r="53" spans="1:6" x14ac:dyDescent="0.3">
      <c r="A53" t="s">
        <v>18</v>
      </c>
      <c r="B53">
        <v>100</v>
      </c>
      <c r="C53">
        <v>1</v>
      </c>
      <c r="D53">
        <v>239.273</v>
      </c>
      <c r="E53">
        <v>138.607</v>
      </c>
      <c r="F53">
        <v>534</v>
      </c>
    </row>
    <row r="54" spans="1:6" x14ac:dyDescent="0.3">
      <c r="A54" t="s">
        <v>18</v>
      </c>
      <c r="B54">
        <v>100</v>
      </c>
      <c r="C54">
        <v>1</v>
      </c>
      <c r="D54">
        <v>239.13900000000001</v>
      </c>
      <c r="E54">
        <v>138.58199999999999</v>
      </c>
      <c r="F54">
        <v>600</v>
      </c>
    </row>
    <row r="55" spans="1:6" x14ac:dyDescent="0.3">
      <c r="A55" t="s">
        <v>18</v>
      </c>
      <c r="B55">
        <v>100</v>
      </c>
      <c r="C55">
        <v>1</v>
      </c>
      <c r="D55">
        <v>239.03700000000001</v>
      </c>
      <c r="E55">
        <v>138.55799999999999</v>
      </c>
      <c r="F55">
        <v>603</v>
      </c>
    </row>
    <row r="56" spans="1:6" x14ac:dyDescent="0.3">
      <c r="A56" t="s">
        <v>18</v>
      </c>
      <c r="B56">
        <v>100</v>
      </c>
      <c r="C56">
        <v>1</v>
      </c>
      <c r="D56">
        <v>239.184</v>
      </c>
      <c r="E56">
        <v>138.601</v>
      </c>
      <c r="F56">
        <v>526</v>
      </c>
    </row>
    <row r="57" spans="1:6" x14ac:dyDescent="0.3">
      <c r="A57" t="s">
        <v>18</v>
      </c>
      <c r="B57">
        <v>100</v>
      </c>
      <c r="C57">
        <v>1</v>
      </c>
      <c r="D57">
        <v>239.654</v>
      </c>
      <c r="E57">
        <v>138.58199999999999</v>
      </c>
      <c r="F57">
        <v>519</v>
      </c>
    </row>
    <row r="58" spans="1:6" x14ac:dyDescent="0.3">
      <c r="A58" t="s">
        <v>18</v>
      </c>
      <c r="B58">
        <v>100</v>
      </c>
      <c r="C58">
        <v>1</v>
      </c>
      <c r="D58">
        <v>239.24299999999999</v>
      </c>
      <c r="E58">
        <v>138.643</v>
      </c>
      <c r="F58">
        <v>525</v>
      </c>
    </row>
    <row r="59" spans="1:6" x14ac:dyDescent="0.3">
      <c r="A59" t="s">
        <v>18</v>
      </c>
      <c r="B59">
        <v>100</v>
      </c>
      <c r="C59">
        <v>1</v>
      </c>
      <c r="D59">
        <v>239.2</v>
      </c>
      <c r="E59">
        <v>138.65700000000001</v>
      </c>
      <c r="F59">
        <v>524</v>
      </c>
    </row>
    <row r="60" spans="1:6" x14ac:dyDescent="0.3">
      <c r="A60" t="s">
        <v>18</v>
      </c>
      <c r="B60">
        <v>100</v>
      </c>
      <c r="C60">
        <v>1</v>
      </c>
      <c r="D60">
        <v>239.50299999999999</v>
      </c>
      <c r="E60">
        <v>138.59200000000001</v>
      </c>
      <c r="F60">
        <v>564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4.33</v>
      </c>
      <c r="F61">
        <v>189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4.3259999999999996</v>
      </c>
      <c r="F62">
        <v>190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4.3140000000000001</v>
      </c>
      <c r="F63">
        <v>231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4.3330000000000002</v>
      </c>
      <c r="F64">
        <v>214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4.319</v>
      </c>
      <c r="F65">
        <v>196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4.3630000000000004</v>
      </c>
      <c r="F66">
        <v>232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4.335</v>
      </c>
      <c r="F67">
        <v>195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4.32</v>
      </c>
      <c r="F68">
        <v>180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4.33</v>
      </c>
      <c r="F69">
        <v>179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4.3109999999999999</v>
      </c>
      <c r="F70">
        <v>175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13.231999999999999</v>
      </c>
      <c r="F71">
        <v>238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13.211</v>
      </c>
      <c r="F72">
        <v>230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13.206</v>
      </c>
      <c r="F73">
        <v>229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13.233000000000001</v>
      </c>
      <c r="F74">
        <v>229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13.194000000000001</v>
      </c>
      <c r="F75">
        <v>226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13.199</v>
      </c>
      <c r="F76">
        <v>232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13.195</v>
      </c>
      <c r="F77">
        <v>222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13.214</v>
      </c>
      <c r="F78">
        <v>226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13.198</v>
      </c>
      <c r="F79">
        <v>235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13.215999999999999</v>
      </c>
      <c r="F80">
        <v>234</v>
      </c>
    </row>
    <row r="81" spans="1:6" x14ac:dyDescent="0.3">
      <c r="A81" t="s">
        <v>19</v>
      </c>
      <c r="B81">
        <v>100</v>
      </c>
      <c r="C81">
        <v>1</v>
      </c>
      <c r="D81">
        <v>35217.79</v>
      </c>
      <c r="E81">
        <v>54.893999999999998</v>
      </c>
      <c r="F81">
        <v>248</v>
      </c>
    </row>
    <row r="82" spans="1:6" x14ac:dyDescent="0.3">
      <c r="A82" t="s">
        <v>19</v>
      </c>
      <c r="B82">
        <v>100</v>
      </c>
      <c r="C82">
        <v>1</v>
      </c>
      <c r="D82">
        <v>35272.862000000001</v>
      </c>
      <c r="E82">
        <v>54.948</v>
      </c>
      <c r="F82">
        <v>254</v>
      </c>
    </row>
    <row r="83" spans="1:6" x14ac:dyDescent="0.3">
      <c r="A83" t="s">
        <v>19</v>
      </c>
      <c r="B83">
        <v>100</v>
      </c>
      <c r="C83">
        <v>1</v>
      </c>
      <c r="D83">
        <v>35280.442000000003</v>
      </c>
      <c r="E83">
        <v>54.850999999999999</v>
      </c>
      <c r="F83">
        <v>254</v>
      </c>
    </row>
    <row r="84" spans="1:6" x14ac:dyDescent="0.3">
      <c r="A84" t="s">
        <v>19</v>
      </c>
      <c r="B84">
        <v>100</v>
      </c>
      <c r="C84">
        <v>1</v>
      </c>
      <c r="D84">
        <v>35243.050999999999</v>
      </c>
      <c r="E84">
        <v>54.857999999999997</v>
      </c>
      <c r="F84">
        <v>255</v>
      </c>
    </row>
    <row r="85" spans="1:6" x14ac:dyDescent="0.3">
      <c r="A85" t="s">
        <v>19</v>
      </c>
      <c r="B85">
        <v>100</v>
      </c>
      <c r="C85">
        <v>1</v>
      </c>
      <c r="D85">
        <v>35242.976000000002</v>
      </c>
      <c r="E85">
        <v>54.936</v>
      </c>
      <c r="F85">
        <v>250</v>
      </c>
    </row>
    <row r="86" spans="1:6" x14ac:dyDescent="0.3">
      <c r="A86" t="s">
        <v>19</v>
      </c>
      <c r="B86">
        <v>100</v>
      </c>
      <c r="C86">
        <v>1</v>
      </c>
      <c r="D86">
        <v>35234.324000000001</v>
      </c>
      <c r="E86">
        <v>54.835000000000001</v>
      </c>
      <c r="F86">
        <v>249</v>
      </c>
    </row>
    <row r="87" spans="1:6" x14ac:dyDescent="0.3">
      <c r="A87" t="s">
        <v>19</v>
      </c>
      <c r="B87">
        <v>100</v>
      </c>
      <c r="C87">
        <v>1</v>
      </c>
      <c r="D87">
        <v>35219.68</v>
      </c>
      <c r="E87">
        <v>54.828000000000003</v>
      </c>
      <c r="F87">
        <v>251</v>
      </c>
    </row>
    <row r="88" spans="1:6" x14ac:dyDescent="0.3">
      <c r="A88" t="s">
        <v>19</v>
      </c>
      <c r="B88">
        <v>100</v>
      </c>
      <c r="C88">
        <v>1</v>
      </c>
      <c r="D88">
        <v>35225.974999999999</v>
      </c>
      <c r="E88">
        <v>54.835999999999999</v>
      </c>
      <c r="F88">
        <v>249</v>
      </c>
    </row>
    <row r="89" spans="1:6" x14ac:dyDescent="0.3">
      <c r="A89" t="s">
        <v>19</v>
      </c>
      <c r="B89">
        <v>100</v>
      </c>
      <c r="C89">
        <v>1</v>
      </c>
      <c r="D89">
        <v>35272.862000000001</v>
      </c>
      <c r="E89">
        <v>54.95</v>
      </c>
      <c r="F89">
        <v>254</v>
      </c>
    </row>
    <row r="90" spans="1:6" x14ac:dyDescent="0.3">
      <c r="A90" t="s">
        <v>19</v>
      </c>
      <c r="B90">
        <v>100</v>
      </c>
      <c r="C90">
        <v>1</v>
      </c>
      <c r="D90">
        <v>35231.224999999999</v>
      </c>
      <c r="E90">
        <v>54.857999999999997</v>
      </c>
      <c r="F90">
        <v>288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6.4870000000000001</v>
      </c>
      <c r="F91">
        <v>289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6.4660000000000002</v>
      </c>
      <c r="F92">
        <v>301</v>
      </c>
    </row>
    <row r="93" spans="1:6" x14ac:dyDescent="0.3">
      <c r="A93" t="s">
        <v>20</v>
      </c>
      <c r="B93">
        <v>30</v>
      </c>
      <c r="C93">
        <v>1</v>
      </c>
      <c r="D93">
        <v>658.14499999999998</v>
      </c>
      <c r="E93">
        <v>6.4710000000000001</v>
      </c>
      <c r="F93">
        <v>304</v>
      </c>
    </row>
    <row r="94" spans="1:6" x14ac:dyDescent="0.3">
      <c r="A94" t="s">
        <v>20</v>
      </c>
      <c r="B94">
        <v>30</v>
      </c>
      <c r="C94">
        <v>1</v>
      </c>
      <c r="D94">
        <v>657.33</v>
      </c>
      <c r="E94">
        <v>6.4859999999999998</v>
      </c>
      <c r="F94">
        <v>242</v>
      </c>
    </row>
    <row r="95" spans="1:6" x14ac:dyDescent="0.3">
      <c r="A95" t="s">
        <v>20</v>
      </c>
      <c r="B95">
        <v>30</v>
      </c>
      <c r="C95">
        <v>1</v>
      </c>
      <c r="D95">
        <v>658.23299999999995</v>
      </c>
      <c r="E95">
        <v>6.476</v>
      </c>
      <c r="F95">
        <v>226</v>
      </c>
    </row>
    <row r="96" spans="1:6" x14ac:dyDescent="0.3">
      <c r="A96" t="s">
        <v>20</v>
      </c>
      <c r="B96">
        <v>30</v>
      </c>
      <c r="C96">
        <v>1</v>
      </c>
      <c r="D96">
        <v>658.005</v>
      </c>
      <c r="E96">
        <v>6.4710000000000001</v>
      </c>
      <c r="F96">
        <v>231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6.48</v>
      </c>
      <c r="F97">
        <v>295</v>
      </c>
    </row>
    <row r="98" spans="1:6" x14ac:dyDescent="0.3">
      <c r="A98" t="s">
        <v>20</v>
      </c>
      <c r="B98">
        <v>30</v>
      </c>
      <c r="C98">
        <v>1</v>
      </c>
      <c r="D98">
        <v>657.98</v>
      </c>
      <c r="E98">
        <v>6.4669999999999996</v>
      </c>
      <c r="F98">
        <v>297</v>
      </c>
    </row>
    <row r="99" spans="1:6" x14ac:dyDescent="0.3">
      <c r="A99" t="s">
        <v>20</v>
      </c>
      <c r="B99">
        <v>30</v>
      </c>
      <c r="C99">
        <v>1</v>
      </c>
      <c r="D99">
        <v>658.23299999999995</v>
      </c>
      <c r="E99">
        <v>6.484</v>
      </c>
      <c r="F99">
        <v>288</v>
      </c>
    </row>
    <row r="100" spans="1:6" x14ac:dyDescent="0.3">
      <c r="A100" t="s">
        <v>20</v>
      </c>
      <c r="B100">
        <v>30</v>
      </c>
      <c r="C100">
        <v>1</v>
      </c>
      <c r="D100">
        <v>658.005</v>
      </c>
      <c r="E100">
        <v>6.4669999999999996</v>
      </c>
      <c r="F100">
        <v>252</v>
      </c>
    </row>
    <row r="101" spans="1:6" x14ac:dyDescent="0.3">
      <c r="A101" t="s">
        <v>20</v>
      </c>
      <c r="B101">
        <v>50</v>
      </c>
      <c r="C101">
        <v>1</v>
      </c>
      <c r="D101">
        <v>992.47500000000002</v>
      </c>
      <c r="E101">
        <v>14.712999999999999</v>
      </c>
      <c r="F101">
        <v>234</v>
      </c>
    </row>
    <row r="102" spans="1:6" x14ac:dyDescent="0.3">
      <c r="A102" t="s">
        <v>20</v>
      </c>
      <c r="B102">
        <v>50</v>
      </c>
      <c r="C102">
        <v>1</v>
      </c>
      <c r="D102">
        <v>997.678</v>
      </c>
      <c r="E102">
        <v>14.72</v>
      </c>
      <c r="F102">
        <v>231</v>
      </c>
    </row>
    <row r="103" spans="1:6" x14ac:dyDescent="0.3">
      <c r="A103" t="s">
        <v>20</v>
      </c>
      <c r="B103">
        <v>50</v>
      </c>
      <c r="C103">
        <v>1</v>
      </c>
      <c r="D103">
        <v>994.54600000000005</v>
      </c>
      <c r="E103">
        <v>14.701000000000001</v>
      </c>
      <c r="F103">
        <v>232</v>
      </c>
    </row>
    <row r="104" spans="1:6" x14ac:dyDescent="0.3">
      <c r="A104" t="s">
        <v>20</v>
      </c>
      <c r="B104">
        <v>50</v>
      </c>
      <c r="C104">
        <v>1</v>
      </c>
      <c r="D104">
        <v>996.28700000000003</v>
      </c>
      <c r="E104">
        <v>14.715999999999999</v>
      </c>
      <c r="F104">
        <v>234</v>
      </c>
    </row>
    <row r="105" spans="1:6" x14ac:dyDescent="0.3">
      <c r="A105" t="s">
        <v>20</v>
      </c>
      <c r="B105">
        <v>50</v>
      </c>
      <c r="C105">
        <v>1</v>
      </c>
      <c r="D105">
        <v>992.17100000000005</v>
      </c>
      <c r="E105">
        <v>14.709</v>
      </c>
      <c r="F105">
        <v>225</v>
      </c>
    </row>
    <row r="106" spans="1:6" x14ac:dyDescent="0.3">
      <c r="A106" t="s">
        <v>20</v>
      </c>
      <c r="B106">
        <v>50</v>
      </c>
      <c r="C106">
        <v>1</v>
      </c>
      <c r="D106">
        <v>994.68499999999995</v>
      </c>
      <c r="E106">
        <v>14.734</v>
      </c>
      <c r="F106">
        <v>221</v>
      </c>
    </row>
    <row r="107" spans="1:6" x14ac:dyDescent="0.3">
      <c r="A107" t="s">
        <v>20</v>
      </c>
      <c r="B107">
        <v>50</v>
      </c>
      <c r="C107">
        <v>1</v>
      </c>
      <c r="D107">
        <v>993.00800000000004</v>
      </c>
      <c r="E107">
        <v>14.69</v>
      </c>
      <c r="F107">
        <v>224</v>
      </c>
    </row>
    <row r="108" spans="1:6" x14ac:dyDescent="0.3">
      <c r="A108" t="s">
        <v>20</v>
      </c>
      <c r="B108">
        <v>50</v>
      </c>
      <c r="C108">
        <v>1</v>
      </c>
      <c r="D108">
        <v>996.32299999999998</v>
      </c>
      <c r="E108">
        <v>14.715</v>
      </c>
      <c r="F108">
        <v>230</v>
      </c>
    </row>
    <row r="109" spans="1:6" x14ac:dyDescent="0.3">
      <c r="A109" t="s">
        <v>20</v>
      </c>
      <c r="B109">
        <v>50</v>
      </c>
      <c r="C109">
        <v>1</v>
      </c>
      <c r="D109">
        <v>992.90800000000002</v>
      </c>
      <c r="E109">
        <v>14.718</v>
      </c>
      <c r="F109">
        <v>236</v>
      </c>
    </row>
    <row r="110" spans="1:6" x14ac:dyDescent="0.3">
      <c r="A110" t="s">
        <v>20</v>
      </c>
      <c r="B110">
        <v>50</v>
      </c>
      <c r="C110">
        <v>1</v>
      </c>
      <c r="D110">
        <v>992.33</v>
      </c>
      <c r="E110">
        <v>14.683999999999999</v>
      </c>
      <c r="F110">
        <v>227</v>
      </c>
    </row>
    <row r="111" spans="1:6" x14ac:dyDescent="0.3">
      <c r="A111" t="s">
        <v>20</v>
      </c>
      <c r="B111">
        <v>100</v>
      </c>
      <c r="C111">
        <v>1</v>
      </c>
      <c r="D111">
        <v>1757.03</v>
      </c>
      <c r="E111">
        <v>32.529000000000003</v>
      </c>
      <c r="F111">
        <v>163</v>
      </c>
    </row>
    <row r="112" spans="1:6" x14ac:dyDescent="0.3">
      <c r="A112" t="s">
        <v>20</v>
      </c>
      <c r="B112">
        <v>100</v>
      </c>
      <c r="C112">
        <v>1</v>
      </c>
      <c r="D112">
        <v>1756.3969999999999</v>
      </c>
      <c r="E112">
        <v>32.543999999999997</v>
      </c>
      <c r="F112">
        <v>167</v>
      </c>
    </row>
    <row r="113" spans="1:6" x14ac:dyDescent="0.3">
      <c r="A113" t="s">
        <v>20</v>
      </c>
      <c r="B113">
        <v>100</v>
      </c>
      <c r="C113">
        <v>1</v>
      </c>
      <c r="D113">
        <v>1759.04</v>
      </c>
      <c r="E113">
        <v>32.506999999999998</v>
      </c>
      <c r="F113">
        <v>165</v>
      </c>
    </row>
    <row r="114" spans="1:6" x14ac:dyDescent="0.3">
      <c r="A114" t="s">
        <v>20</v>
      </c>
      <c r="B114">
        <v>100</v>
      </c>
      <c r="C114">
        <v>1</v>
      </c>
      <c r="D114">
        <v>1759.125</v>
      </c>
      <c r="E114">
        <v>32.631999999999998</v>
      </c>
      <c r="F114">
        <v>165</v>
      </c>
    </row>
    <row r="115" spans="1:6" x14ac:dyDescent="0.3">
      <c r="A115" t="s">
        <v>20</v>
      </c>
      <c r="B115">
        <v>100</v>
      </c>
      <c r="C115">
        <v>1</v>
      </c>
      <c r="D115">
        <v>1759.875</v>
      </c>
      <c r="E115">
        <v>32.542999999999999</v>
      </c>
      <c r="F115">
        <v>165</v>
      </c>
    </row>
    <row r="116" spans="1:6" x14ac:dyDescent="0.3">
      <c r="A116" t="s">
        <v>20</v>
      </c>
      <c r="B116">
        <v>100</v>
      </c>
      <c r="C116">
        <v>1</v>
      </c>
      <c r="D116">
        <v>1759.1869999999999</v>
      </c>
      <c r="E116">
        <v>32.625999999999998</v>
      </c>
      <c r="F116">
        <v>167</v>
      </c>
    </row>
    <row r="117" spans="1:6" x14ac:dyDescent="0.3">
      <c r="A117" t="s">
        <v>20</v>
      </c>
      <c r="B117">
        <v>100</v>
      </c>
      <c r="C117">
        <v>1</v>
      </c>
      <c r="D117">
        <v>1756.0450000000001</v>
      </c>
      <c r="E117">
        <v>32.552999999999997</v>
      </c>
      <c r="F117">
        <v>167</v>
      </c>
    </row>
    <row r="118" spans="1:6" x14ac:dyDescent="0.3">
      <c r="A118" t="s">
        <v>20</v>
      </c>
      <c r="B118">
        <v>100</v>
      </c>
      <c r="C118">
        <v>1</v>
      </c>
      <c r="D118">
        <v>1756.8030000000001</v>
      </c>
      <c r="E118">
        <v>32.521000000000001</v>
      </c>
      <c r="F118">
        <v>166</v>
      </c>
    </row>
    <row r="119" spans="1:6" x14ac:dyDescent="0.3">
      <c r="A119" t="s">
        <v>20</v>
      </c>
      <c r="B119">
        <v>100</v>
      </c>
      <c r="C119">
        <v>1</v>
      </c>
      <c r="D119">
        <v>1756.74</v>
      </c>
      <c r="E119">
        <v>32.524000000000001</v>
      </c>
      <c r="F119">
        <v>165</v>
      </c>
    </row>
    <row r="120" spans="1:6" x14ac:dyDescent="0.3">
      <c r="A120" t="s">
        <v>20</v>
      </c>
      <c r="B120">
        <v>100</v>
      </c>
      <c r="C120">
        <v>1</v>
      </c>
      <c r="D120">
        <v>1755.4949999999999</v>
      </c>
      <c r="E120">
        <v>32.475000000000001</v>
      </c>
      <c r="F120">
        <v>164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1.3759999999999999</v>
      </c>
      <c r="F121">
        <v>271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1.37</v>
      </c>
      <c r="F122">
        <v>92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1.3640000000000001</v>
      </c>
      <c r="F123">
        <v>299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1.379</v>
      </c>
      <c r="F124">
        <v>233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1.3680000000000001</v>
      </c>
      <c r="F125">
        <v>266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1.367</v>
      </c>
      <c r="F126">
        <v>222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1.3640000000000001</v>
      </c>
      <c r="F127">
        <v>237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1.3680000000000001</v>
      </c>
      <c r="F128">
        <v>307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1.369</v>
      </c>
      <c r="F129">
        <v>111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1.381</v>
      </c>
      <c r="F130">
        <v>59</v>
      </c>
    </row>
    <row r="131" spans="1:6" x14ac:dyDescent="0.3">
      <c r="A131" t="s">
        <v>33</v>
      </c>
      <c r="B131">
        <v>209</v>
      </c>
      <c r="C131">
        <v>1</v>
      </c>
      <c r="D131">
        <v>76.933000000000007</v>
      </c>
      <c r="E131">
        <v>181.179</v>
      </c>
      <c r="F131">
        <v>206</v>
      </c>
    </row>
    <row r="132" spans="1:6" x14ac:dyDescent="0.3">
      <c r="A132" t="s">
        <v>33</v>
      </c>
      <c r="B132">
        <v>209</v>
      </c>
      <c r="C132">
        <v>1</v>
      </c>
      <c r="D132">
        <v>76.462999999999994</v>
      </c>
      <c r="E132">
        <v>181.22900000000001</v>
      </c>
      <c r="F132">
        <v>216</v>
      </c>
    </row>
    <row r="133" spans="1:6" x14ac:dyDescent="0.3">
      <c r="A133" t="s">
        <v>33</v>
      </c>
      <c r="B133">
        <v>209</v>
      </c>
      <c r="C133">
        <v>1</v>
      </c>
      <c r="D133">
        <v>76.55</v>
      </c>
      <c r="E133">
        <v>181.17599999999999</v>
      </c>
      <c r="F133">
        <v>209</v>
      </c>
    </row>
    <row r="134" spans="1:6" x14ac:dyDescent="0.3">
      <c r="A134" t="s">
        <v>33</v>
      </c>
      <c r="B134">
        <v>209</v>
      </c>
      <c r="C134">
        <v>1</v>
      </c>
      <c r="D134">
        <v>76.326999999999998</v>
      </c>
      <c r="E134">
        <v>181.142</v>
      </c>
      <c r="F134">
        <v>207</v>
      </c>
    </row>
    <row r="135" spans="1:6" x14ac:dyDescent="0.3">
      <c r="A135" t="s">
        <v>33</v>
      </c>
      <c r="B135">
        <v>209</v>
      </c>
      <c r="C135">
        <v>1</v>
      </c>
      <c r="D135">
        <v>76.260000000000005</v>
      </c>
      <c r="E135">
        <v>180.72499999999999</v>
      </c>
      <c r="F135">
        <v>205</v>
      </c>
    </row>
    <row r="136" spans="1:6" x14ac:dyDescent="0.3">
      <c r="A136" t="s">
        <v>33</v>
      </c>
      <c r="B136">
        <v>209</v>
      </c>
      <c r="C136">
        <v>1</v>
      </c>
      <c r="D136">
        <v>76.771000000000001</v>
      </c>
      <c r="E136">
        <v>180.804</v>
      </c>
      <c r="F136">
        <v>204</v>
      </c>
    </row>
    <row r="137" spans="1:6" x14ac:dyDescent="0.3">
      <c r="A137" t="s">
        <v>33</v>
      </c>
      <c r="B137">
        <v>209</v>
      </c>
      <c r="C137">
        <v>1</v>
      </c>
      <c r="D137">
        <v>76.293000000000006</v>
      </c>
      <c r="E137">
        <v>180.958</v>
      </c>
      <c r="F137">
        <v>210</v>
      </c>
    </row>
    <row r="138" spans="1:6" x14ac:dyDescent="0.3">
      <c r="A138" t="s">
        <v>33</v>
      </c>
      <c r="B138">
        <v>209</v>
      </c>
      <c r="C138">
        <v>1</v>
      </c>
      <c r="D138">
        <v>76.599999999999994</v>
      </c>
      <c r="E138">
        <v>180.83600000000001</v>
      </c>
      <c r="F138">
        <v>207</v>
      </c>
    </row>
    <row r="139" spans="1:6" x14ac:dyDescent="0.3">
      <c r="A139" t="s">
        <v>33</v>
      </c>
      <c r="B139">
        <v>209</v>
      </c>
      <c r="C139">
        <v>1</v>
      </c>
      <c r="D139">
        <v>76.635999999999996</v>
      </c>
      <c r="E139">
        <v>181.38900000000001</v>
      </c>
      <c r="F139">
        <v>203</v>
      </c>
    </row>
    <row r="140" spans="1:6" x14ac:dyDescent="0.3">
      <c r="A140" t="s">
        <v>33</v>
      </c>
      <c r="B140">
        <v>209</v>
      </c>
      <c r="C140">
        <v>1</v>
      </c>
      <c r="D140">
        <v>76.739999999999995</v>
      </c>
      <c r="E140">
        <v>180.92</v>
      </c>
      <c r="F140">
        <v>207</v>
      </c>
    </row>
    <row r="141" spans="1:6" x14ac:dyDescent="0.3">
      <c r="A141" t="s">
        <v>33</v>
      </c>
      <c r="B141">
        <v>324</v>
      </c>
      <c r="C141">
        <v>1</v>
      </c>
      <c r="D141">
        <v>119.194</v>
      </c>
      <c r="E141">
        <v>420.84500000000003</v>
      </c>
      <c r="F141">
        <v>180</v>
      </c>
    </row>
    <row r="142" spans="1:6" x14ac:dyDescent="0.3">
      <c r="A142" t="s">
        <v>33</v>
      </c>
      <c r="B142">
        <v>324</v>
      </c>
      <c r="C142">
        <v>1</v>
      </c>
      <c r="D142">
        <v>118.708</v>
      </c>
      <c r="E142">
        <v>420.32499999999999</v>
      </c>
      <c r="F142">
        <v>178</v>
      </c>
    </row>
    <row r="143" spans="1:6" x14ac:dyDescent="0.3">
      <c r="A143" t="s">
        <v>33</v>
      </c>
      <c r="B143">
        <v>324</v>
      </c>
      <c r="C143">
        <v>1</v>
      </c>
      <c r="D143">
        <v>119.321</v>
      </c>
      <c r="E143">
        <v>421.149</v>
      </c>
      <c r="F143">
        <v>175</v>
      </c>
    </row>
    <row r="144" spans="1:6" x14ac:dyDescent="0.3">
      <c r="A144" t="s">
        <v>33</v>
      </c>
      <c r="B144">
        <v>324</v>
      </c>
      <c r="C144">
        <v>1</v>
      </c>
      <c r="D144">
        <v>119.137</v>
      </c>
      <c r="E144">
        <v>419.62599999999998</v>
      </c>
      <c r="F144">
        <v>178</v>
      </c>
    </row>
    <row r="145" spans="1:6" x14ac:dyDescent="0.3">
      <c r="A145" t="s">
        <v>33</v>
      </c>
      <c r="B145">
        <v>324</v>
      </c>
      <c r="C145">
        <v>1</v>
      </c>
      <c r="D145">
        <v>119.01900000000001</v>
      </c>
      <c r="E145">
        <v>420.66500000000002</v>
      </c>
      <c r="F145">
        <v>176</v>
      </c>
    </row>
    <row r="146" spans="1:6" x14ac:dyDescent="0.3">
      <c r="A146" t="s">
        <v>33</v>
      </c>
      <c r="B146">
        <v>324</v>
      </c>
      <c r="C146">
        <v>1</v>
      </c>
      <c r="D146">
        <v>118.809</v>
      </c>
      <c r="E146">
        <v>419.57600000000002</v>
      </c>
      <c r="F146">
        <v>178</v>
      </c>
    </row>
    <row r="147" spans="1:6" x14ac:dyDescent="0.3">
      <c r="A147" t="s">
        <v>33</v>
      </c>
      <c r="B147">
        <v>324</v>
      </c>
      <c r="C147">
        <v>1</v>
      </c>
      <c r="D147">
        <v>118.739</v>
      </c>
      <c r="E147">
        <v>419.60500000000002</v>
      </c>
      <c r="F147">
        <v>179</v>
      </c>
    </row>
    <row r="148" spans="1:6" x14ac:dyDescent="0.3">
      <c r="A148" t="s">
        <v>33</v>
      </c>
      <c r="B148">
        <v>324</v>
      </c>
      <c r="C148">
        <v>1</v>
      </c>
      <c r="D148">
        <v>119.30200000000001</v>
      </c>
      <c r="E148">
        <v>420.00400000000002</v>
      </c>
      <c r="F148">
        <v>176</v>
      </c>
    </row>
    <row r="149" spans="1:6" x14ac:dyDescent="0.3">
      <c r="A149" t="s">
        <v>33</v>
      </c>
      <c r="B149">
        <v>324</v>
      </c>
      <c r="C149">
        <v>1</v>
      </c>
      <c r="D149">
        <v>119.4</v>
      </c>
      <c r="E149">
        <v>419.38299999999998</v>
      </c>
      <c r="F149">
        <v>176</v>
      </c>
    </row>
    <row r="150" spans="1:6" x14ac:dyDescent="0.3">
      <c r="A150" t="s">
        <v>33</v>
      </c>
      <c r="B150">
        <v>324</v>
      </c>
      <c r="C150">
        <v>1</v>
      </c>
      <c r="D150">
        <v>119.229</v>
      </c>
      <c r="E150">
        <v>420.10700000000003</v>
      </c>
      <c r="F150">
        <v>180</v>
      </c>
    </row>
    <row r="151" spans="1:6" x14ac:dyDescent="0.3">
      <c r="A151" t="s">
        <v>34</v>
      </c>
      <c r="B151">
        <v>40</v>
      </c>
      <c r="C151">
        <v>1</v>
      </c>
      <c r="D151">
        <v>16.704000000000001</v>
      </c>
      <c r="E151">
        <v>11.638</v>
      </c>
      <c r="F151">
        <v>251</v>
      </c>
    </row>
    <row r="152" spans="1:6" x14ac:dyDescent="0.3">
      <c r="A152" t="s">
        <v>34</v>
      </c>
      <c r="B152">
        <v>40</v>
      </c>
      <c r="C152">
        <v>1</v>
      </c>
      <c r="D152">
        <v>16.78</v>
      </c>
      <c r="E152">
        <v>11.622</v>
      </c>
      <c r="F152">
        <v>250</v>
      </c>
    </row>
    <row r="153" spans="1:6" x14ac:dyDescent="0.3">
      <c r="A153" t="s">
        <v>34</v>
      </c>
      <c r="B153">
        <v>40</v>
      </c>
      <c r="C153">
        <v>1</v>
      </c>
      <c r="D153">
        <v>16.771000000000001</v>
      </c>
      <c r="E153">
        <v>11.637</v>
      </c>
      <c r="F153">
        <v>244</v>
      </c>
    </row>
    <row r="154" spans="1:6" x14ac:dyDescent="0.3">
      <c r="A154" t="s">
        <v>34</v>
      </c>
      <c r="B154">
        <v>40</v>
      </c>
      <c r="C154">
        <v>1</v>
      </c>
      <c r="D154">
        <v>16.786999999999999</v>
      </c>
      <c r="E154">
        <v>11.612</v>
      </c>
      <c r="F154">
        <v>255</v>
      </c>
    </row>
    <row r="155" spans="1:6" x14ac:dyDescent="0.3">
      <c r="A155" t="s">
        <v>34</v>
      </c>
      <c r="B155">
        <v>40</v>
      </c>
      <c r="C155">
        <v>1</v>
      </c>
      <c r="D155">
        <v>16.577999999999999</v>
      </c>
      <c r="E155">
        <v>11.631</v>
      </c>
      <c r="F155">
        <v>245</v>
      </c>
    </row>
    <row r="156" spans="1:6" x14ac:dyDescent="0.3">
      <c r="A156" t="s">
        <v>34</v>
      </c>
      <c r="B156">
        <v>40</v>
      </c>
      <c r="C156">
        <v>1</v>
      </c>
      <c r="D156">
        <v>16.713000000000001</v>
      </c>
      <c r="E156">
        <v>11.617000000000001</v>
      </c>
      <c r="F156">
        <v>249</v>
      </c>
    </row>
    <row r="157" spans="1:6" x14ac:dyDescent="0.3">
      <c r="A157" t="s">
        <v>34</v>
      </c>
      <c r="B157">
        <v>40</v>
      </c>
      <c r="C157">
        <v>1</v>
      </c>
      <c r="D157">
        <v>16.616</v>
      </c>
      <c r="E157">
        <v>11.635999999999999</v>
      </c>
      <c r="F157">
        <v>245</v>
      </c>
    </row>
    <row r="158" spans="1:6" x14ac:dyDescent="0.3">
      <c r="A158" t="s">
        <v>34</v>
      </c>
      <c r="B158">
        <v>40</v>
      </c>
      <c r="C158">
        <v>1</v>
      </c>
      <c r="D158">
        <v>16.693999999999999</v>
      </c>
      <c r="E158">
        <v>11.647</v>
      </c>
      <c r="F158">
        <v>252</v>
      </c>
    </row>
    <row r="159" spans="1:6" x14ac:dyDescent="0.3">
      <c r="A159" t="s">
        <v>34</v>
      </c>
      <c r="B159">
        <v>40</v>
      </c>
      <c r="C159">
        <v>1</v>
      </c>
      <c r="D159">
        <v>16.515000000000001</v>
      </c>
      <c r="E159">
        <v>11.611000000000001</v>
      </c>
      <c r="F159">
        <v>249</v>
      </c>
    </row>
    <row r="160" spans="1:6" x14ac:dyDescent="0.3">
      <c r="A160" t="s">
        <v>34</v>
      </c>
      <c r="B160">
        <v>40</v>
      </c>
      <c r="C160">
        <v>1</v>
      </c>
      <c r="D160">
        <v>16.664000000000001</v>
      </c>
      <c r="E160">
        <v>11.648</v>
      </c>
      <c r="F160">
        <v>237</v>
      </c>
    </row>
    <row r="161" spans="1:6" x14ac:dyDescent="0.3">
      <c r="A161" t="s">
        <v>34</v>
      </c>
      <c r="B161">
        <v>96</v>
      </c>
      <c r="C161">
        <v>1</v>
      </c>
      <c r="D161">
        <v>35.189</v>
      </c>
      <c r="E161">
        <v>51.345999999999997</v>
      </c>
      <c r="F161">
        <v>300</v>
      </c>
    </row>
    <row r="162" spans="1:6" x14ac:dyDescent="0.3">
      <c r="A162" t="s">
        <v>34</v>
      </c>
      <c r="B162">
        <v>96</v>
      </c>
      <c r="C162">
        <v>1</v>
      </c>
      <c r="D162">
        <v>35.186999999999998</v>
      </c>
      <c r="E162">
        <v>51.298000000000002</v>
      </c>
      <c r="F162">
        <v>270</v>
      </c>
    </row>
    <row r="163" spans="1:6" x14ac:dyDescent="0.3">
      <c r="A163" t="s">
        <v>34</v>
      </c>
      <c r="B163">
        <v>96</v>
      </c>
      <c r="C163">
        <v>1</v>
      </c>
      <c r="D163">
        <v>35.192999999999998</v>
      </c>
      <c r="E163">
        <v>51.271000000000001</v>
      </c>
      <c r="F163">
        <v>307</v>
      </c>
    </row>
    <row r="164" spans="1:6" x14ac:dyDescent="0.3">
      <c r="A164" t="s">
        <v>34</v>
      </c>
      <c r="B164">
        <v>96</v>
      </c>
      <c r="C164">
        <v>1</v>
      </c>
      <c r="D164">
        <v>35.124000000000002</v>
      </c>
      <c r="E164">
        <v>51.423000000000002</v>
      </c>
      <c r="F164">
        <v>273</v>
      </c>
    </row>
    <row r="165" spans="1:6" x14ac:dyDescent="0.3">
      <c r="A165" t="s">
        <v>34</v>
      </c>
      <c r="B165">
        <v>96</v>
      </c>
      <c r="C165">
        <v>1</v>
      </c>
      <c r="D165">
        <v>35.216999999999999</v>
      </c>
      <c r="E165">
        <v>51.353000000000002</v>
      </c>
      <c r="F165">
        <v>296</v>
      </c>
    </row>
    <row r="166" spans="1:6" x14ac:dyDescent="0.3">
      <c r="A166" t="s">
        <v>34</v>
      </c>
      <c r="B166">
        <v>96</v>
      </c>
      <c r="C166">
        <v>1</v>
      </c>
      <c r="D166">
        <v>35.103000000000002</v>
      </c>
      <c r="E166">
        <v>51.348999999999997</v>
      </c>
      <c r="F166">
        <v>278</v>
      </c>
    </row>
    <row r="167" spans="1:6" x14ac:dyDescent="0.3">
      <c r="A167" t="s">
        <v>34</v>
      </c>
      <c r="B167">
        <v>96</v>
      </c>
      <c r="C167">
        <v>1</v>
      </c>
      <c r="D167">
        <v>35.078000000000003</v>
      </c>
      <c r="E167">
        <v>51.335999999999999</v>
      </c>
      <c r="F167">
        <v>288</v>
      </c>
    </row>
    <row r="168" spans="1:6" x14ac:dyDescent="0.3">
      <c r="A168" t="s">
        <v>34</v>
      </c>
      <c r="B168">
        <v>96</v>
      </c>
      <c r="C168">
        <v>1</v>
      </c>
      <c r="D168">
        <v>35.18</v>
      </c>
      <c r="E168">
        <v>51.387</v>
      </c>
      <c r="F168">
        <v>286</v>
      </c>
    </row>
    <row r="169" spans="1:6" x14ac:dyDescent="0.3">
      <c r="A169" t="s">
        <v>34</v>
      </c>
      <c r="B169">
        <v>96</v>
      </c>
      <c r="C169">
        <v>1</v>
      </c>
      <c r="D169">
        <v>35.194000000000003</v>
      </c>
      <c r="E169">
        <v>51.295000000000002</v>
      </c>
      <c r="F169">
        <v>271</v>
      </c>
    </row>
    <row r="170" spans="1:6" x14ac:dyDescent="0.3">
      <c r="A170" t="s">
        <v>34</v>
      </c>
      <c r="B170">
        <v>96</v>
      </c>
      <c r="C170">
        <v>1</v>
      </c>
      <c r="D170">
        <v>35.183</v>
      </c>
      <c r="E170">
        <v>51.271999999999998</v>
      </c>
      <c r="F170">
        <v>303</v>
      </c>
    </row>
    <row r="171" spans="1:6" x14ac:dyDescent="0.3">
      <c r="A171" t="s">
        <v>34</v>
      </c>
      <c r="B171">
        <v>224</v>
      </c>
      <c r="C171">
        <v>1</v>
      </c>
      <c r="D171">
        <v>71.921999999999997</v>
      </c>
      <c r="E171">
        <v>255.447</v>
      </c>
      <c r="F171">
        <v>253</v>
      </c>
    </row>
    <row r="172" spans="1:6" x14ac:dyDescent="0.3">
      <c r="A172" t="s">
        <v>34</v>
      </c>
      <c r="B172">
        <v>224</v>
      </c>
      <c r="C172">
        <v>1</v>
      </c>
      <c r="D172">
        <v>71.923000000000002</v>
      </c>
      <c r="E172">
        <v>256.27</v>
      </c>
      <c r="F172">
        <v>251</v>
      </c>
    </row>
    <row r="173" spans="1:6" x14ac:dyDescent="0.3">
      <c r="A173" t="s">
        <v>34</v>
      </c>
      <c r="B173">
        <v>224</v>
      </c>
      <c r="C173">
        <v>1</v>
      </c>
      <c r="D173">
        <v>71.936000000000007</v>
      </c>
      <c r="E173">
        <v>255.63800000000001</v>
      </c>
      <c r="F173">
        <v>251</v>
      </c>
    </row>
    <row r="174" spans="1:6" x14ac:dyDescent="0.3">
      <c r="A174" t="s">
        <v>34</v>
      </c>
      <c r="B174">
        <v>224</v>
      </c>
      <c r="C174">
        <v>1</v>
      </c>
      <c r="D174">
        <v>71.954999999999998</v>
      </c>
      <c r="E174">
        <v>255.99100000000001</v>
      </c>
      <c r="F174">
        <v>240</v>
      </c>
    </row>
    <row r="175" spans="1:6" x14ac:dyDescent="0.3">
      <c r="A175" t="s">
        <v>34</v>
      </c>
      <c r="B175">
        <v>224</v>
      </c>
      <c r="C175">
        <v>1</v>
      </c>
      <c r="D175">
        <v>71.995000000000005</v>
      </c>
      <c r="E175">
        <v>255.626</v>
      </c>
      <c r="F175">
        <v>254</v>
      </c>
    </row>
    <row r="176" spans="1:6" x14ac:dyDescent="0.3">
      <c r="A176" t="s">
        <v>34</v>
      </c>
      <c r="B176">
        <v>224</v>
      </c>
      <c r="C176">
        <v>1</v>
      </c>
      <c r="D176">
        <v>71.935000000000002</v>
      </c>
      <c r="E176">
        <v>255.96299999999999</v>
      </c>
      <c r="F176">
        <v>245</v>
      </c>
    </row>
    <row r="177" spans="1:6" x14ac:dyDescent="0.3">
      <c r="A177" t="s">
        <v>34</v>
      </c>
      <c r="B177">
        <v>224</v>
      </c>
      <c r="C177">
        <v>1</v>
      </c>
      <c r="D177">
        <v>71.936999999999998</v>
      </c>
      <c r="E177">
        <v>255.501</v>
      </c>
      <c r="F177">
        <v>248</v>
      </c>
    </row>
    <row r="178" spans="1:6" x14ac:dyDescent="0.3">
      <c r="A178" t="s">
        <v>34</v>
      </c>
      <c r="B178">
        <v>224</v>
      </c>
      <c r="C178">
        <v>1</v>
      </c>
      <c r="D178">
        <v>71.929000000000002</v>
      </c>
      <c r="E178">
        <v>256.30900000000003</v>
      </c>
      <c r="F178">
        <v>244</v>
      </c>
    </row>
    <row r="179" spans="1:6" x14ac:dyDescent="0.3">
      <c r="A179" t="s">
        <v>34</v>
      </c>
      <c r="B179">
        <v>224</v>
      </c>
      <c r="C179">
        <v>1</v>
      </c>
      <c r="D179">
        <v>71.918999999999997</v>
      </c>
      <c r="E179">
        <v>255.673</v>
      </c>
      <c r="F179">
        <v>250</v>
      </c>
    </row>
    <row r="180" spans="1:6" x14ac:dyDescent="0.3">
      <c r="A180" t="s">
        <v>34</v>
      </c>
      <c r="B180">
        <v>224</v>
      </c>
      <c r="C180">
        <v>1</v>
      </c>
      <c r="D180">
        <v>72.016000000000005</v>
      </c>
      <c r="E180">
        <v>255.715</v>
      </c>
      <c r="F180">
        <v>246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58203125"/>
    <col min="2" max="2" width="4.33203125"/>
    <col min="3" max="3" width="2.58203125"/>
    <col min="4" max="4" width="10.5" bestFit="1" customWidth="1"/>
    <col min="5" max="5" width="7.25"/>
    <col min="6" max="6" width="4.83203125" customWidth="1"/>
    <col min="7" max="7" width="2.25"/>
    <col min="8" max="8" width="10.25"/>
    <col min="9" max="9" width="4.33203125"/>
    <col min="10" max="10" width="3.33203125"/>
    <col min="11" max="11" width="2.33203125"/>
    <col min="12" max="21" width="9.5"/>
    <col min="22" max="22" width="2.5"/>
    <col min="23" max="23" width="9.5"/>
    <col min="24" max="24" width="2.5"/>
    <col min="25" max="25" width="9.5"/>
    <col min="26" max="26" width="2.25"/>
    <col min="27" max="27" width="2.33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28.504000000000001</v>
      </c>
      <c r="E1">
        <v>5.2869999999999999</v>
      </c>
      <c r="F1">
        <v>239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5.3</v>
      </c>
      <c r="F2">
        <v>193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28.504000000000001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28.504000000000001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28.504000000000001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28.533399999999993</v>
      </c>
      <c r="Y2" s="35">
        <f ca="1">Total!E2</f>
        <v>28.504000000000001</v>
      </c>
      <c r="AB2" s="35">
        <f t="shared" ref="AB2:AB19" ca="1" si="11">(L2-$Y2)/$Y2</f>
        <v>0</v>
      </c>
      <c r="AC2" s="35">
        <f t="shared" ref="AC2:AC19" ca="1" si="12">(M2-$Y2)/$Y2</f>
        <v>1.4734774066796953E-3</v>
      </c>
      <c r="AD2" s="35">
        <f t="shared" ref="AD2:AD19" ca="1" si="13">(N2-$Y2)/$Y2</f>
        <v>0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1.4734774066796953E-3</v>
      </c>
      <c r="AH2" s="35">
        <f t="shared" ref="AH2:AH19" ca="1" si="17">(R2-$Y2)/$Y2</f>
        <v>0</v>
      </c>
      <c r="AI2" s="35">
        <f t="shared" ref="AI2:AI19" ca="1" si="18">(S2-$Y2)/$Y2</f>
        <v>1.4734774066796953E-3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1.0314341846757868E-2</v>
      </c>
    </row>
    <row r="3" spans="1:39" x14ac:dyDescent="0.3">
      <c r="A3" t="s">
        <v>17</v>
      </c>
      <c r="B3">
        <v>25</v>
      </c>
      <c r="C3">
        <v>1</v>
      </c>
      <c r="D3">
        <v>28.504000000000001</v>
      </c>
      <c r="E3">
        <v>5.2839999999999998</v>
      </c>
      <c r="F3">
        <v>267</v>
      </c>
      <c r="H3" s="35" t="s">
        <v>17</v>
      </c>
      <c r="I3" s="35">
        <v>50</v>
      </c>
      <c r="J3" s="35">
        <v>1</v>
      </c>
      <c r="L3" s="35">
        <f t="shared" ca="1" si="0"/>
        <v>52.932000000000002</v>
      </c>
      <c r="M3" s="35">
        <f t="shared" ca="1" si="1"/>
        <v>53.137</v>
      </c>
      <c r="N3" s="35">
        <f t="shared" ca="1" si="2"/>
        <v>52.957000000000001</v>
      </c>
      <c r="O3" s="35">
        <f t="shared" ca="1" si="3"/>
        <v>53.036999999999999</v>
      </c>
      <c r="P3" s="35">
        <f t="shared" ca="1" si="4"/>
        <v>52.927</v>
      </c>
      <c r="Q3" s="35">
        <f t="shared" ca="1" si="5"/>
        <v>53.206000000000003</v>
      </c>
      <c r="R3" s="35">
        <f t="shared" ca="1" si="6"/>
        <v>53.076999999999998</v>
      </c>
      <c r="S3" s="35">
        <f t="shared" ca="1" si="7"/>
        <v>52.987000000000002</v>
      </c>
      <c r="T3" s="35">
        <f t="shared" ca="1" si="8"/>
        <v>53.078000000000003</v>
      </c>
      <c r="U3" s="35">
        <f t="shared" ca="1" si="9"/>
        <v>53.017000000000003</v>
      </c>
      <c r="W3" s="35">
        <f t="shared" ca="1" si="10"/>
        <v>53.035500000000013</v>
      </c>
      <c r="Y3" s="35">
        <f ca="1">Total!E3</f>
        <v>52.927</v>
      </c>
      <c r="AB3" s="35">
        <f t="shared" ca="1" si="11"/>
        <v>9.4469741341896541E-5</v>
      </c>
      <c r="AC3" s="35">
        <f t="shared" ca="1" si="12"/>
        <v>3.967729136357641E-3</v>
      </c>
      <c r="AD3" s="35">
        <f t="shared" ca="1" si="13"/>
        <v>5.6681844805111072E-4</v>
      </c>
      <c r="AE3" s="35">
        <f t="shared" ca="1" si="14"/>
        <v>2.0783343095206498E-3</v>
      </c>
      <c r="AF3" s="35">
        <f t="shared" ca="1" si="15"/>
        <v>0</v>
      </c>
      <c r="AG3" s="35">
        <f t="shared" ca="1" si="16"/>
        <v>5.2714115668751954E-3</v>
      </c>
      <c r="AH3" s="35">
        <f t="shared" ca="1" si="17"/>
        <v>2.8340922402554192E-3</v>
      </c>
      <c r="AI3" s="35">
        <f t="shared" ca="1" si="18"/>
        <v>1.1336368961022214E-3</v>
      </c>
      <c r="AJ3" s="35">
        <f t="shared" ca="1" si="19"/>
        <v>2.8529861885238793E-3</v>
      </c>
      <c r="AK3" s="35">
        <f t="shared" ca="1" si="20"/>
        <v>1.7004553441533322E-3</v>
      </c>
      <c r="AM3" s="35">
        <f t="shared" ca="1" si="21"/>
        <v>2.0499933871181344E-2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5.2759999999999998</v>
      </c>
      <c r="F4">
        <v>255</v>
      </c>
      <c r="H4" s="35" t="s">
        <v>17</v>
      </c>
      <c r="I4" s="35">
        <v>100</v>
      </c>
      <c r="J4" s="35">
        <v>1</v>
      </c>
      <c r="L4" s="35">
        <f t="shared" ca="1" si="0"/>
        <v>103.157</v>
      </c>
      <c r="M4" s="35">
        <f t="shared" ca="1" si="1"/>
        <v>103.212</v>
      </c>
      <c r="N4" s="35">
        <f t="shared" ca="1" si="2"/>
        <v>102.80200000000001</v>
      </c>
      <c r="O4" s="35">
        <f t="shared" ca="1" si="3"/>
        <v>103.258</v>
      </c>
      <c r="P4" s="35">
        <f t="shared" ca="1" si="4"/>
        <v>103.29300000000001</v>
      </c>
      <c r="Q4" s="35">
        <f t="shared" ca="1" si="5"/>
        <v>103.227</v>
      </c>
      <c r="R4" s="35">
        <f t="shared" ca="1" si="6"/>
        <v>103.15900000000001</v>
      </c>
      <c r="S4" s="35">
        <f t="shared" ca="1" si="7"/>
        <v>103.27200000000001</v>
      </c>
      <c r="T4" s="35">
        <f t="shared" ca="1" si="8"/>
        <v>103.276</v>
      </c>
      <c r="U4" s="35">
        <f t="shared" ca="1" si="9"/>
        <v>103.226</v>
      </c>
      <c r="W4" s="35">
        <f t="shared" ca="1" si="10"/>
        <v>103.18820000000001</v>
      </c>
      <c r="Y4" s="35">
        <f ca="1">Total!E4</f>
        <v>102.80200000000001</v>
      </c>
      <c r="AB4" s="35">
        <f t="shared" ca="1" si="11"/>
        <v>3.4532402093343491E-3</v>
      </c>
      <c r="AC4" s="35">
        <f t="shared" ca="1" si="12"/>
        <v>3.9882492558510202E-3</v>
      </c>
      <c r="AD4" s="35">
        <f t="shared" ca="1" si="13"/>
        <v>0</v>
      </c>
      <c r="AE4" s="35">
        <f t="shared" ca="1" si="14"/>
        <v>4.4357113674830138E-3</v>
      </c>
      <c r="AF4" s="35">
        <f t="shared" ca="1" si="15"/>
        <v>4.7761716698118675E-3</v>
      </c>
      <c r="AG4" s="35">
        <f t="shared" ca="1" si="16"/>
        <v>4.1341608139919177E-3</v>
      </c>
      <c r="AH4" s="35">
        <f t="shared" ca="1" si="17"/>
        <v>3.4726950837532275E-3</v>
      </c>
      <c r="AI4" s="35">
        <f t="shared" ca="1" si="18"/>
        <v>4.5718954884146111E-3</v>
      </c>
      <c r="AJ4" s="35">
        <f t="shared" ca="1" si="19"/>
        <v>4.6108052372520912E-3</v>
      </c>
      <c r="AK4" s="35">
        <f t="shared" ca="1" si="20"/>
        <v>4.1244333767824787E-3</v>
      </c>
      <c r="AM4" s="35">
        <f t="shared" ca="1" si="21"/>
        <v>3.7567362502674576E-2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5.2889999999999997</v>
      </c>
      <c r="F5">
        <v>242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5.2850000000000001</v>
      </c>
      <c r="F6">
        <v>221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180.87100000000001</v>
      </c>
      <c r="N6" s="35">
        <f t="shared" ca="1" si="2"/>
        <v>180.87100000000001</v>
      </c>
      <c r="O6" s="35">
        <f t="shared" ca="1" si="3"/>
        <v>179.93799999999999</v>
      </c>
      <c r="P6" s="35">
        <f t="shared" ca="1" si="4"/>
        <v>179.93799999999999</v>
      </c>
      <c r="Q6" s="35">
        <f t="shared" ca="1" si="5"/>
        <v>179.953</v>
      </c>
      <c r="R6" s="35">
        <f t="shared" ca="1" si="6"/>
        <v>181.40799999999999</v>
      </c>
      <c r="S6" s="35">
        <f t="shared" ca="1" si="7"/>
        <v>179.93799999999999</v>
      </c>
      <c r="T6" s="35">
        <f t="shared" ca="1" si="8"/>
        <v>180.87100000000001</v>
      </c>
      <c r="U6" s="35">
        <f t="shared" ca="1" si="9"/>
        <v>179.93799999999999</v>
      </c>
      <c r="W6" s="35">
        <f t="shared" ca="1" si="10"/>
        <v>180.36640000000003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6.667668486639659E-3</v>
      </c>
      <c r="AD6" s="35">
        <f t="shared" ca="1" si="13"/>
        <v>6.667668486639659E-3</v>
      </c>
      <c r="AE6" s="35">
        <f t="shared" ca="1" si="14"/>
        <v>1.4749016268442469E-3</v>
      </c>
      <c r="AF6" s="35">
        <f t="shared" ca="1" si="15"/>
        <v>1.4749016268442469E-3</v>
      </c>
      <c r="AG6" s="35">
        <f t="shared" ca="1" si="16"/>
        <v>1.5583866245902341E-3</v>
      </c>
      <c r="AH6" s="35">
        <f t="shared" ca="1" si="17"/>
        <v>9.6564314059429356E-3</v>
      </c>
      <c r="AI6" s="35">
        <f t="shared" ca="1" si="18"/>
        <v>1.4749016268442469E-3</v>
      </c>
      <c r="AJ6" s="35">
        <f t="shared" ca="1" si="19"/>
        <v>6.667668486639659E-3</v>
      </c>
      <c r="AK6" s="35">
        <f t="shared" ca="1" si="20"/>
        <v>1.4749016268442469E-3</v>
      </c>
      <c r="AM6" s="35">
        <f t="shared" ca="1" si="21"/>
        <v>3.8592331624673383E-2</v>
      </c>
    </row>
    <row r="7" spans="1:39" x14ac:dyDescent="0.3">
      <c r="A7" t="s">
        <v>17</v>
      </c>
      <c r="B7">
        <v>25</v>
      </c>
      <c r="C7">
        <v>1</v>
      </c>
      <c r="D7">
        <v>28.504000000000001</v>
      </c>
      <c r="E7">
        <v>5.2859999999999996</v>
      </c>
      <c r="F7">
        <v>228</v>
      </c>
      <c r="H7" s="35" t="s">
        <v>18</v>
      </c>
      <c r="I7" s="35">
        <v>100</v>
      </c>
      <c r="J7" s="35">
        <v>1</v>
      </c>
      <c r="L7" s="35">
        <f t="shared" ca="1" si="0"/>
        <v>239.21899999999999</v>
      </c>
      <c r="M7" s="35">
        <f t="shared" ca="1" si="1"/>
        <v>239.09299999999999</v>
      </c>
      <c r="N7" s="35">
        <f t="shared" ca="1" si="2"/>
        <v>239.24</v>
      </c>
      <c r="O7" s="35">
        <f t="shared" ca="1" si="3"/>
        <v>239.11600000000001</v>
      </c>
      <c r="P7" s="35">
        <f t="shared" ca="1" si="4"/>
        <v>239.29300000000001</v>
      </c>
      <c r="Q7" s="35">
        <f t="shared" ca="1" si="5"/>
        <v>239.31700000000001</v>
      </c>
      <c r="R7" s="35">
        <f t="shared" ca="1" si="6"/>
        <v>239.08500000000001</v>
      </c>
      <c r="S7" s="35">
        <f t="shared" ca="1" si="7"/>
        <v>239.08099999999999</v>
      </c>
      <c r="T7" s="35">
        <f t="shared" ca="1" si="8"/>
        <v>239.16300000000001</v>
      </c>
      <c r="U7" s="35">
        <f t="shared" ca="1" si="9"/>
        <v>239.36</v>
      </c>
      <c r="W7" s="35">
        <f t="shared" ca="1" si="10"/>
        <v>239.19670000000002</v>
      </c>
      <c r="Y7" s="35">
        <f ca="1">Total!E7</f>
        <v>238.86699999999999</v>
      </c>
      <c r="AB7" s="35">
        <f t="shared" ca="1" si="11"/>
        <v>1.4736233971205895E-3</v>
      </c>
      <c r="AC7" s="35">
        <f t="shared" ca="1" si="12"/>
        <v>9.4613320383309162E-4</v>
      </c>
      <c r="AD7" s="35">
        <f t="shared" ca="1" si="13"/>
        <v>1.5615384293352322E-3</v>
      </c>
      <c r="AE7" s="35">
        <f t="shared" ca="1" si="14"/>
        <v>1.0424210962586865E-3</v>
      </c>
      <c r="AF7" s="35">
        <f t="shared" ca="1" si="15"/>
        <v>1.783419224924398E-3</v>
      </c>
      <c r="AG7" s="35">
        <f t="shared" ca="1" si="16"/>
        <v>1.8838935474553499E-3</v>
      </c>
      <c r="AH7" s="35">
        <f t="shared" ca="1" si="17"/>
        <v>9.1264176298952026E-4</v>
      </c>
      <c r="AI7" s="35">
        <f t="shared" ca="1" si="18"/>
        <v>8.9589604256761564E-4</v>
      </c>
      <c r="AJ7" s="35">
        <f t="shared" ca="1" si="19"/>
        <v>1.2391833112151143E-3</v>
      </c>
      <c r="AK7" s="35">
        <f t="shared" ca="1" si="20"/>
        <v>2.0639100419899922E-3</v>
      </c>
      <c r="AM7" s="35">
        <f t="shared" ca="1" si="21"/>
        <v>1.3802660057689591E-2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5.2830000000000004</v>
      </c>
      <c r="F8">
        <v>236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5.3010000000000002</v>
      </c>
      <c r="F9">
        <v>205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5.2830000000000004</v>
      </c>
      <c r="F10">
        <v>219</v>
      </c>
      <c r="H10" s="35" t="s">
        <v>19</v>
      </c>
      <c r="I10" s="35">
        <v>100</v>
      </c>
      <c r="J10" s="35">
        <v>1</v>
      </c>
      <c r="L10" s="35">
        <f t="shared" ca="1" si="0"/>
        <v>35277.474999999999</v>
      </c>
      <c r="M10" s="35">
        <f t="shared" ca="1" si="1"/>
        <v>35246.271000000001</v>
      </c>
      <c r="N10" s="35">
        <f t="shared" ca="1" si="2"/>
        <v>35246.123</v>
      </c>
      <c r="O10" s="35">
        <f t="shared" ca="1" si="3"/>
        <v>35273.343000000001</v>
      </c>
      <c r="P10" s="35">
        <f t="shared" ca="1" si="4"/>
        <v>35215.232000000004</v>
      </c>
      <c r="Q10" s="35">
        <f t="shared" ca="1" si="5"/>
        <v>35284.773999999998</v>
      </c>
      <c r="R10" s="35">
        <f t="shared" ca="1" si="6"/>
        <v>35245.771999999997</v>
      </c>
      <c r="S10" s="35">
        <f t="shared" ca="1" si="7"/>
        <v>35272.953000000001</v>
      </c>
      <c r="T10" s="35">
        <f t="shared" ca="1" si="8"/>
        <v>35259.237000000001</v>
      </c>
      <c r="U10" s="35">
        <f t="shared" ca="1" si="9"/>
        <v>35257.756999999998</v>
      </c>
      <c r="W10" s="35">
        <f t="shared" ca="1" si="10"/>
        <v>35257.893700000001</v>
      </c>
      <c r="Y10" s="35">
        <f ca="1">Total!E10</f>
        <v>35210.383000000002</v>
      </c>
      <c r="AB10" s="35">
        <f t="shared" ca="1" si="11"/>
        <v>1.9054606705072453E-3</v>
      </c>
      <c r="AC10" s="35">
        <f t="shared" ca="1" si="12"/>
        <v>1.0192448062833911E-3</v>
      </c>
      <c r="AD10" s="35">
        <f t="shared" ca="1" si="13"/>
        <v>1.0150415006845554E-3</v>
      </c>
      <c r="AE10" s="35">
        <f t="shared" ca="1" si="14"/>
        <v>1.7881089223028084E-3</v>
      </c>
      <c r="AF10" s="35">
        <f t="shared" ca="1" si="15"/>
        <v>1.3771505978796023E-4</v>
      </c>
      <c r="AG10" s="35">
        <f t="shared" ca="1" si="16"/>
        <v>2.1127574783834637E-3</v>
      </c>
      <c r="AH10" s="35">
        <f t="shared" ca="1" si="17"/>
        <v>1.0050728502440764E-3</v>
      </c>
      <c r="AI10" s="35">
        <f t="shared" ca="1" si="18"/>
        <v>1.7770326440357013E-3</v>
      </c>
      <c r="AJ10" s="35">
        <f t="shared" ca="1" si="19"/>
        <v>1.3874884575950043E-3</v>
      </c>
      <c r="AK10" s="35">
        <f t="shared" ca="1" si="20"/>
        <v>1.3454554016068543E-3</v>
      </c>
      <c r="AM10" s="35">
        <f t="shared" ca="1" si="21"/>
        <v>1.349337779143106E-2</v>
      </c>
    </row>
    <row r="11" spans="1:39" x14ac:dyDescent="0.3">
      <c r="A11" t="s">
        <v>17</v>
      </c>
      <c r="B11">
        <v>50</v>
      </c>
      <c r="C11">
        <v>1</v>
      </c>
      <c r="D11">
        <v>52.932000000000002</v>
      </c>
      <c r="E11">
        <v>19.564</v>
      </c>
      <c r="F11">
        <v>257</v>
      </c>
      <c r="H11" s="35" t="s">
        <v>20</v>
      </c>
      <c r="I11" s="35">
        <v>30</v>
      </c>
      <c r="J11" s="35">
        <v>1</v>
      </c>
      <c r="L11" s="35">
        <f t="shared" ca="1" si="0"/>
        <v>657.32399999999996</v>
      </c>
      <c r="M11" s="35">
        <f t="shared" ca="1" si="1"/>
        <v>657.33</v>
      </c>
      <c r="N11" s="35">
        <f t="shared" ca="1" si="2"/>
        <v>657.35599999999999</v>
      </c>
      <c r="O11" s="35">
        <f t="shared" ca="1" si="3"/>
        <v>657.35599999999999</v>
      </c>
      <c r="P11" s="35">
        <f t="shared" ca="1" si="4"/>
        <v>657.35599999999999</v>
      </c>
      <c r="Q11" s="35">
        <f t="shared" ca="1" si="5"/>
        <v>657.35599999999999</v>
      </c>
      <c r="R11" s="35">
        <f t="shared" ca="1" si="6"/>
        <v>657.35599999999999</v>
      </c>
      <c r="S11" s="35">
        <f t="shared" ca="1" si="7"/>
        <v>658.23299999999995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657.4378999999999</v>
      </c>
      <c r="Y11" s="35">
        <f ca="1">Total!E11</f>
        <v>655.46500000000003</v>
      </c>
      <c r="AB11" s="35">
        <f t="shared" ca="1" si="11"/>
        <v>2.8361544857466434E-3</v>
      </c>
      <c r="AC11" s="35">
        <f t="shared" ca="1" si="12"/>
        <v>2.8453082925861931E-3</v>
      </c>
      <c r="AD11" s="35">
        <f t="shared" ca="1" si="13"/>
        <v>2.8849747888902728E-3</v>
      </c>
      <c r="AE11" s="35">
        <f t="shared" ca="1" si="14"/>
        <v>2.8849747888902728E-3</v>
      </c>
      <c r="AF11" s="35">
        <f t="shared" ca="1" si="15"/>
        <v>2.8849747888902728E-3</v>
      </c>
      <c r="AG11" s="35">
        <f t="shared" ca="1" si="16"/>
        <v>2.8849747888902728E-3</v>
      </c>
      <c r="AH11" s="35">
        <f t="shared" ca="1" si="17"/>
        <v>2.8849747888902728E-3</v>
      </c>
      <c r="AI11" s="35">
        <f t="shared" ca="1" si="18"/>
        <v>4.2229562219186613E-3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3.0099242522483402E-2</v>
      </c>
    </row>
    <row r="12" spans="1:39" x14ac:dyDescent="0.3">
      <c r="A12" t="s">
        <v>17</v>
      </c>
      <c r="B12">
        <v>50</v>
      </c>
      <c r="C12">
        <v>1</v>
      </c>
      <c r="D12">
        <v>53.137</v>
      </c>
      <c r="E12">
        <v>19.605</v>
      </c>
      <c r="F12">
        <v>260</v>
      </c>
      <c r="H12" s="35" t="s">
        <v>20</v>
      </c>
      <c r="I12" s="35">
        <v>50</v>
      </c>
      <c r="J12" s="35">
        <v>1</v>
      </c>
      <c r="L12" s="35">
        <f t="shared" ca="1" si="0"/>
        <v>993.43899999999996</v>
      </c>
      <c r="M12" s="35">
        <f t="shared" ca="1" si="1"/>
        <v>993.27200000000005</v>
      </c>
      <c r="N12" s="35">
        <f t="shared" ca="1" si="2"/>
        <v>997.00300000000004</v>
      </c>
      <c r="O12" s="35">
        <f t="shared" ca="1" si="3"/>
        <v>996.01499999999999</v>
      </c>
      <c r="P12" s="35">
        <f t="shared" ca="1" si="4"/>
        <v>992.27700000000004</v>
      </c>
      <c r="Q12" s="35">
        <f t="shared" ca="1" si="5"/>
        <v>994.64200000000005</v>
      </c>
      <c r="R12" s="35">
        <f t="shared" ca="1" si="6"/>
        <v>996.14</v>
      </c>
      <c r="S12" s="35">
        <f t="shared" ca="1" si="7"/>
        <v>994.28</v>
      </c>
      <c r="T12" s="35">
        <f t="shared" ca="1" si="8"/>
        <v>994.78599999999994</v>
      </c>
      <c r="U12" s="35">
        <f t="shared" ca="1" si="9"/>
        <v>991.197</v>
      </c>
      <c r="W12" s="35">
        <f t="shared" ca="1" si="10"/>
        <v>994.30509999999992</v>
      </c>
      <c r="Y12" s="35">
        <f ca="1">Total!E12</f>
        <v>990.096</v>
      </c>
      <c r="AB12" s="35">
        <f t="shared" ca="1" si="11"/>
        <v>3.3764402643783643E-3</v>
      </c>
      <c r="AC12" s="35">
        <f t="shared" ca="1" si="12"/>
        <v>3.20776975162009E-3</v>
      </c>
      <c r="AD12" s="35">
        <f t="shared" ca="1" si="13"/>
        <v>6.9760912073173094E-3</v>
      </c>
      <c r="AE12" s="35">
        <f t="shared" ca="1" si="14"/>
        <v>5.9782081737528303E-3</v>
      </c>
      <c r="AF12" s="35">
        <f t="shared" ca="1" si="15"/>
        <v>2.2028166965627981E-3</v>
      </c>
      <c r="AG12" s="35">
        <f t="shared" ca="1" si="16"/>
        <v>4.5914739580808824E-3</v>
      </c>
      <c r="AH12" s="35">
        <f t="shared" ca="1" si="17"/>
        <v>6.1044585575539979E-3</v>
      </c>
      <c r="AI12" s="35">
        <f t="shared" ca="1" si="18"/>
        <v>4.2258528465926228E-3</v>
      </c>
      <c r="AJ12" s="35">
        <f t="shared" ca="1" si="19"/>
        <v>4.7369144002197168E-3</v>
      </c>
      <c r="AK12" s="35">
        <f t="shared" ca="1" si="20"/>
        <v>1.1120133805206758E-3</v>
      </c>
      <c r="AM12" s="35">
        <f t="shared" ca="1" si="21"/>
        <v>4.251203923659929E-2</v>
      </c>
    </row>
    <row r="13" spans="1:39" x14ac:dyDescent="0.3">
      <c r="A13" t="s">
        <v>17</v>
      </c>
      <c r="B13">
        <v>50</v>
      </c>
      <c r="C13">
        <v>1</v>
      </c>
      <c r="D13">
        <v>52.957000000000001</v>
      </c>
      <c r="E13">
        <v>19.600000000000001</v>
      </c>
      <c r="F13">
        <v>257</v>
      </c>
      <c r="H13" s="35" t="s">
        <v>20</v>
      </c>
      <c r="I13" s="35">
        <v>100</v>
      </c>
      <c r="J13" s="35">
        <v>1</v>
      </c>
      <c r="L13" s="35">
        <f t="shared" ca="1" si="0"/>
        <v>1759.104</v>
      </c>
      <c r="M13" s="35">
        <f t="shared" ca="1" si="1"/>
        <v>1757.9269999999999</v>
      </c>
      <c r="N13" s="35">
        <f t="shared" ca="1" si="2"/>
        <v>1759.94</v>
      </c>
      <c r="O13" s="35">
        <f t="shared" ca="1" si="3"/>
        <v>1755.913</v>
      </c>
      <c r="P13" s="35">
        <f t="shared" ca="1" si="4"/>
        <v>1756.02</v>
      </c>
      <c r="Q13" s="35">
        <f t="shared" ca="1" si="5"/>
        <v>1757.0360000000001</v>
      </c>
      <c r="R13" s="35">
        <f t="shared" ca="1" si="6"/>
        <v>1756.367</v>
      </c>
      <c r="S13" s="35">
        <f t="shared" ca="1" si="7"/>
        <v>1758.703</v>
      </c>
      <c r="T13" s="35">
        <f t="shared" ca="1" si="8"/>
        <v>1757.9549999999999</v>
      </c>
      <c r="U13" s="35">
        <f t="shared" ca="1" si="9"/>
        <v>1758.319</v>
      </c>
      <c r="W13" s="35">
        <f t="shared" ca="1" si="10"/>
        <v>1757.7284</v>
      </c>
      <c r="Y13" s="35">
        <f ca="1">Total!E13</f>
        <v>1753.79</v>
      </c>
      <c r="AB13" s="35">
        <f t="shared" ca="1" si="11"/>
        <v>3.0300092941572699E-3</v>
      </c>
      <c r="AC13" s="35">
        <f t="shared" ca="1" si="12"/>
        <v>2.3588913153798022E-3</v>
      </c>
      <c r="AD13" s="35">
        <f t="shared" ca="1" si="13"/>
        <v>3.5066912230085081E-3</v>
      </c>
      <c r="AE13" s="35">
        <f t="shared" ca="1" si="14"/>
        <v>1.2105212140564421E-3</v>
      </c>
      <c r="AF13" s="35">
        <f t="shared" ca="1" si="15"/>
        <v>1.2715319393998244E-3</v>
      </c>
      <c r="AG13" s="35">
        <f t="shared" ca="1" si="16"/>
        <v>1.8508487333147609E-3</v>
      </c>
      <c r="AH13" s="35">
        <f t="shared" ca="1" si="17"/>
        <v>1.4693891514947618E-3</v>
      </c>
      <c r="AI13" s="35">
        <f t="shared" ca="1" si="18"/>
        <v>2.8013616225431841E-3</v>
      </c>
      <c r="AJ13" s="35">
        <f t="shared" ca="1" si="19"/>
        <v>2.3748567388341612E-3</v>
      </c>
      <c r="AK13" s="35">
        <f t="shared" ca="1" si="20"/>
        <v>2.5824072437406966E-3</v>
      </c>
      <c r="AM13" s="35">
        <f t="shared" ca="1" si="21"/>
        <v>2.2456508475929414E-2</v>
      </c>
    </row>
    <row r="14" spans="1:39" x14ac:dyDescent="0.3">
      <c r="A14" t="s">
        <v>17</v>
      </c>
      <c r="B14">
        <v>50</v>
      </c>
      <c r="C14">
        <v>1</v>
      </c>
      <c r="D14">
        <v>53.036999999999999</v>
      </c>
      <c r="E14">
        <v>19.597999999999999</v>
      </c>
      <c r="F14">
        <v>268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52.927</v>
      </c>
      <c r="E15">
        <v>19.588000000000001</v>
      </c>
      <c r="F15">
        <v>282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76.489999999999995</v>
      </c>
      <c r="M15" s="35">
        <f t="shared" ca="1" si="1"/>
        <v>76.635999999999996</v>
      </c>
      <c r="N15" s="35">
        <f t="shared" ca="1" si="1"/>
        <v>76.536000000000001</v>
      </c>
      <c r="O15" s="35">
        <f t="shared" ca="1" si="1"/>
        <v>76.956000000000003</v>
      </c>
      <c r="P15" s="35">
        <f t="shared" ca="1" si="1"/>
        <v>76.584000000000003</v>
      </c>
      <c r="Q15" s="35">
        <f t="shared" ca="1" si="1"/>
        <v>76.680999999999997</v>
      </c>
      <c r="R15" s="35">
        <f t="shared" ca="1" si="1"/>
        <v>76.58</v>
      </c>
      <c r="S15" s="35">
        <f t="shared" ca="1" si="1"/>
        <v>76.489999999999995</v>
      </c>
      <c r="T15" s="35">
        <f t="shared" ca="1" si="1"/>
        <v>76.429000000000002</v>
      </c>
      <c r="U15" s="35">
        <f t="shared" ca="1" si="1"/>
        <v>76.513000000000005</v>
      </c>
      <c r="W15" s="35">
        <f t="shared" ca="1" si="10"/>
        <v>76.589500000000001</v>
      </c>
      <c r="Y15" s="35">
        <f ca="1">Total!E15</f>
        <v>75.998000000000005</v>
      </c>
      <c r="AB15" s="35">
        <f t="shared" ca="1" si="11"/>
        <v>6.4738545751202685E-3</v>
      </c>
      <c r="AC15" s="35">
        <f t="shared" ca="1" si="12"/>
        <v>8.3949577620462505E-3</v>
      </c>
      <c r="AD15" s="35">
        <f t="shared" ca="1" si="13"/>
        <v>7.0791336614120983E-3</v>
      </c>
      <c r="AE15" s="35">
        <f t="shared" ca="1" si="14"/>
        <v>1.2605594884075874E-2</v>
      </c>
      <c r="AF15" s="35">
        <f t="shared" ca="1" si="15"/>
        <v>7.7107292297165517E-3</v>
      </c>
      <c r="AG15" s="35">
        <f t="shared" ca="1" si="16"/>
        <v>8.9870786073316753E-3</v>
      </c>
      <c r="AH15" s="35">
        <f t="shared" ca="1" si="17"/>
        <v>7.6580962656911181E-3</v>
      </c>
      <c r="AI15" s="35">
        <f t="shared" ca="1" si="18"/>
        <v>6.4738545751202685E-3</v>
      </c>
      <c r="AJ15" s="35">
        <f t="shared" ca="1" si="19"/>
        <v>5.6712018737334847E-3</v>
      </c>
      <c r="AK15" s="35">
        <f t="shared" ca="1" si="20"/>
        <v>6.7764941182662771E-3</v>
      </c>
      <c r="AM15" s="35">
        <f t="shared" ca="1" si="21"/>
        <v>7.7830995552513868E-2</v>
      </c>
    </row>
    <row r="16" spans="1:39" x14ac:dyDescent="0.3">
      <c r="A16" t="s">
        <v>17</v>
      </c>
      <c r="B16">
        <v>50</v>
      </c>
      <c r="C16">
        <v>1</v>
      </c>
      <c r="D16">
        <v>53.206000000000003</v>
      </c>
      <c r="E16">
        <v>19.588000000000001</v>
      </c>
      <c r="F16">
        <v>357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118.697</v>
      </c>
      <c r="M16" s="35">
        <f t="shared" ca="1" si="1"/>
        <v>118.262</v>
      </c>
      <c r="N16" s="35">
        <f t="shared" ca="1" si="1"/>
        <v>119.11799999999999</v>
      </c>
      <c r="O16" s="35">
        <f t="shared" ca="1" si="1"/>
        <v>119.26300000000001</v>
      </c>
      <c r="P16" s="35">
        <f t="shared" ca="1" si="1"/>
        <v>119.1</v>
      </c>
      <c r="Q16" s="35">
        <f t="shared" ca="1" si="1"/>
        <v>119.017</v>
      </c>
      <c r="R16" s="35">
        <f t="shared" ca="1" si="1"/>
        <v>119.285</v>
      </c>
      <c r="S16" s="35">
        <f t="shared" ca="1" si="1"/>
        <v>119.47499999999999</v>
      </c>
      <c r="T16" s="35">
        <f t="shared" ca="1" si="1"/>
        <v>118.896</v>
      </c>
      <c r="U16" s="35">
        <f t="shared" ca="1" si="1"/>
        <v>119.155</v>
      </c>
      <c r="W16" s="35">
        <f t="shared" ca="1" si="10"/>
        <v>119.02680000000001</v>
      </c>
      <c r="Y16" s="35">
        <f ca="1">Total!E16</f>
        <v>118.01</v>
      </c>
      <c r="AB16" s="35">
        <f t="shared" ca="1" si="11"/>
        <v>5.8215405474112162E-3</v>
      </c>
      <c r="AC16" s="35">
        <f t="shared" ca="1" si="12"/>
        <v>2.1354122531988418E-3</v>
      </c>
      <c r="AD16" s="35">
        <f t="shared" ca="1" si="13"/>
        <v>9.3890348275569007E-3</v>
      </c>
      <c r="AE16" s="35">
        <f t="shared" ca="1" si="14"/>
        <v>1.0617744258961106E-2</v>
      </c>
      <c r="AF16" s="35">
        <f t="shared" ca="1" si="15"/>
        <v>9.2365053808998315E-3</v>
      </c>
      <c r="AG16" s="35">
        <f t="shared" ca="1" si="16"/>
        <v>8.5331751546478332E-3</v>
      </c>
      <c r="AH16" s="35">
        <f t="shared" ca="1" si="17"/>
        <v>1.0804169138208553E-2</v>
      </c>
      <c r="AI16" s="35">
        <f t="shared" ca="1" si="18"/>
        <v>1.2414202186255311E-2</v>
      </c>
      <c r="AJ16" s="35">
        <f t="shared" ca="1" si="19"/>
        <v>7.5078383187865069E-3</v>
      </c>
      <c r="AK16" s="35">
        <f t="shared" ca="1" si="20"/>
        <v>9.7025675790186929E-3</v>
      </c>
      <c r="AM16" s="35">
        <f t="shared" ca="1" si="21"/>
        <v>8.6162189644944792E-2</v>
      </c>
    </row>
    <row r="17" spans="1:39" x14ac:dyDescent="0.3">
      <c r="A17" t="s">
        <v>17</v>
      </c>
      <c r="B17">
        <v>50</v>
      </c>
      <c r="C17">
        <v>1</v>
      </c>
      <c r="D17">
        <v>53.076999999999998</v>
      </c>
      <c r="E17">
        <v>19.558</v>
      </c>
      <c r="F17">
        <v>386</v>
      </c>
      <c r="H17" s="35" t="s">
        <v>34</v>
      </c>
      <c r="I17" s="35">
        <v>40</v>
      </c>
      <c r="J17" s="35">
        <v>1</v>
      </c>
      <c r="L17" s="35">
        <f t="shared" ca="1" si="22"/>
        <v>16.66</v>
      </c>
      <c r="M17" s="35">
        <f t="shared" ca="1" si="1"/>
        <v>16.616</v>
      </c>
      <c r="N17" s="35">
        <f t="shared" ca="1" si="1"/>
        <v>16.495000000000001</v>
      </c>
      <c r="O17" s="35">
        <f t="shared" ca="1" si="1"/>
        <v>16.760000000000002</v>
      </c>
      <c r="P17" s="35">
        <f t="shared" ca="1" si="1"/>
        <v>16.608000000000001</v>
      </c>
      <c r="Q17" s="35">
        <f t="shared" ca="1" si="1"/>
        <v>16.616</v>
      </c>
      <c r="R17" s="35">
        <f t="shared" ca="1" si="1"/>
        <v>16.731000000000002</v>
      </c>
      <c r="S17" s="35">
        <f t="shared" ca="1" si="1"/>
        <v>16.788</v>
      </c>
      <c r="T17" s="35">
        <f t="shared" ca="1" si="1"/>
        <v>16.600999999999999</v>
      </c>
      <c r="U17" s="35">
        <f t="shared" ca="1" si="1"/>
        <v>16.599</v>
      </c>
      <c r="W17" s="35">
        <f t="shared" ca="1" si="10"/>
        <v>16.647400000000001</v>
      </c>
      <c r="Y17" s="35">
        <f ca="1">Total!E17</f>
        <v>16.481999999999999</v>
      </c>
      <c r="AB17" s="35">
        <f t="shared" ca="1" si="11"/>
        <v>1.0799660235408374E-2</v>
      </c>
      <c r="AC17" s="35">
        <f t="shared" ca="1" si="12"/>
        <v>8.1300813008130298E-3</v>
      </c>
      <c r="AD17" s="35">
        <f t="shared" ca="1" si="13"/>
        <v>7.8873923067599057E-4</v>
      </c>
      <c r="AE17" s="35">
        <f t="shared" ca="1" si="14"/>
        <v>1.6866885086761454E-2</v>
      </c>
      <c r="AF17" s="35">
        <f t="shared" ca="1" si="15"/>
        <v>7.644703312704843E-3</v>
      </c>
      <c r="AG17" s="35">
        <f t="shared" ca="1" si="16"/>
        <v>8.1300813008130298E-3</v>
      </c>
      <c r="AH17" s="35">
        <f t="shared" ca="1" si="17"/>
        <v>1.510738987986909E-2</v>
      </c>
      <c r="AI17" s="35">
        <f t="shared" ca="1" si="18"/>
        <v>1.8565708045140211E-2</v>
      </c>
      <c r="AJ17" s="35">
        <f t="shared" ca="1" si="19"/>
        <v>7.2199975731100461E-3</v>
      </c>
      <c r="AK17" s="35">
        <f t="shared" ca="1" si="20"/>
        <v>7.098653076083053E-3</v>
      </c>
      <c r="AM17" s="35">
        <f t="shared" ca="1" si="21"/>
        <v>0.10035189904137913</v>
      </c>
    </row>
    <row r="18" spans="1:39" x14ac:dyDescent="0.3">
      <c r="A18" t="s">
        <v>17</v>
      </c>
      <c r="B18">
        <v>50</v>
      </c>
      <c r="C18">
        <v>1</v>
      </c>
      <c r="D18">
        <v>52.987000000000002</v>
      </c>
      <c r="E18">
        <v>19.558</v>
      </c>
      <c r="F18">
        <v>322</v>
      </c>
      <c r="H18" s="35" t="s">
        <v>34</v>
      </c>
      <c r="I18" s="35">
        <v>96</v>
      </c>
      <c r="J18" s="35">
        <v>1</v>
      </c>
      <c r="L18" s="35">
        <f t="shared" ca="1" si="22"/>
        <v>35.235999999999997</v>
      </c>
      <c r="M18" s="35">
        <f t="shared" ca="1" si="22"/>
        <v>35.097000000000001</v>
      </c>
      <c r="N18" s="35">
        <f t="shared" ca="1" si="22"/>
        <v>35.154000000000003</v>
      </c>
      <c r="O18" s="35">
        <f t="shared" ca="1" si="22"/>
        <v>35.183999999999997</v>
      </c>
      <c r="P18" s="35">
        <f t="shared" ca="1" si="22"/>
        <v>35.201000000000001</v>
      </c>
      <c r="Q18" s="35">
        <f t="shared" ca="1" si="22"/>
        <v>35.158999999999999</v>
      </c>
      <c r="R18" s="35">
        <f t="shared" ca="1" si="22"/>
        <v>35.151000000000003</v>
      </c>
      <c r="S18" s="35">
        <f t="shared" ca="1" si="22"/>
        <v>35.161999999999999</v>
      </c>
      <c r="T18" s="35">
        <f t="shared" ca="1" si="22"/>
        <v>35.194000000000003</v>
      </c>
      <c r="U18" s="35">
        <f t="shared" ca="1" si="22"/>
        <v>35.173000000000002</v>
      </c>
      <c r="W18" s="35">
        <f t="shared" ca="1" si="10"/>
        <v>35.171100000000003</v>
      </c>
      <c r="Y18" s="35">
        <f ca="1">Total!E18</f>
        <v>35.069000000000003</v>
      </c>
      <c r="AB18" s="35">
        <f t="shared" ca="1" si="11"/>
        <v>4.7620405486325382E-3</v>
      </c>
      <c r="AC18" s="35">
        <f t="shared" ca="1" si="12"/>
        <v>7.9842596024975597E-4</v>
      </c>
      <c r="AD18" s="35">
        <f t="shared" ca="1" si="13"/>
        <v>2.4237930936154678E-3</v>
      </c>
      <c r="AE18" s="35">
        <f t="shared" ca="1" si="14"/>
        <v>3.2792494795972193E-3</v>
      </c>
      <c r="AF18" s="35">
        <f t="shared" ca="1" si="15"/>
        <v>3.7640080983203936E-3</v>
      </c>
      <c r="AG18" s="35">
        <f t="shared" ca="1" si="16"/>
        <v>2.5663691579456585E-3</v>
      </c>
      <c r="AH18" s="35">
        <f t="shared" ca="1" si="17"/>
        <v>2.3382474550172725E-3</v>
      </c>
      <c r="AI18" s="35">
        <f t="shared" ca="1" si="18"/>
        <v>2.6519147965438539E-3</v>
      </c>
      <c r="AJ18" s="35">
        <f t="shared" ca="1" si="19"/>
        <v>3.5644016082580052E-3</v>
      </c>
      <c r="AK18" s="35">
        <f t="shared" ca="1" si="20"/>
        <v>2.9655821380706378E-3</v>
      </c>
      <c r="AM18" s="35">
        <f t="shared" ca="1" si="21"/>
        <v>2.9114032336250803E-2</v>
      </c>
    </row>
    <row r="19" spans="1:39" x14ac:dyDescent="0.3">
      <c r="A19" t="s">
        <v>17</v>
      </c>
      <c r="B19">
        <v>50</v>
      </c>
      <c r="C19">
        <v>1</v>
      </c>
      <c r="D19">
        <v>53.078000000000003</v>
      </c>
      <c r="E19">
        <v>19.559000000000001</v>
      </c>
      <c r="F19">
        <v>266</v>
      </c>
      <c r="H19" s="35" t="s">
        <v>34</v>
      </c>
      <c r="I19" s="35">
        <v>224</v>
      </c>
      <c r="J19" s="35">
        <v>1</v>
      </c>
      <c r="L19" s="35">
        <f t="shared" ca="1" si="22"/>
        <v>71.938999999999993</v>
      </c>
      <c r="M19" s="35">
        <f t="shared" ca="1" si="22"/>
        <v>71.918000000000006</v>
      </c>
      <c r="N19" s="35">
        <f t="shared" ca="1" si="22"/>
        <v>71.923000000000002</v>
      </c>
      <c r="O19" s="35">
        <f t="shared" ca="1" si="22"/>
        <v>71.918999999999997</v>
      </c>
      <c r="P19" s="35">
        <f t="shared" ca="1" si="22"/>
        <v>71.918000000000006</v>
      </c>
      <c r="Q19" s="35">
        <f t="shared" ca="1" si="22"/>
        <v>71.915000000000006</v>
      </c>
      <c r="R19" s="35">
        <f t="shared" ca="1" si="22"/>
        <v>71.926000000000002</v>
      </c>
      <c r="S19" s="35">
        <f t="shared" ca="1" si="22"/>
        <v>71.911000000000001</v>
      </c>
      <c r="T19" s="35">
        <f t="shared" ca="1" si="22"/>
        <v>71.918000000000006</v>
      </c>
      <c r="U19" s="35">
        <f t="shared" ca="1" si="22"/>
        <v>71.912000000000006</v>
      </c>
      <c r="W19" s="35">
        <f t="shared" ca="1" si="10"/>
        <v>71.919900000000013</v>
      </c>
      <c r="Y19" s="35">
        <f ca="1">Total!E19</f>
        <v>71.908000000000001</v>
      </c>
      <c r="AB19" s="35">
        <f t="shared" ca="1" si="11"/>
        <v>4.3110641375078852E-4</v>
      </c>
      <c r="AC19" s="35">
        <f t="shared" ca="1" si="12"/>
        <v>1.3906658508100789E-4</v>
      </c>
      <c r="AD19" s="35">
        <f t="shared" ca="1" si="13"/>
        <v>2.0859987762141303E-4</v>
      </c>
      <c r="AE19" s="35">
        <f t="shared" ca="1" si="14"/>
        <v>1.5297324358897035E-4</v>
      </c>
      <c r="AF19" s="35">
        <f t="shared" ca="1" si="15"/>
        <v>1.3906658508100789E-4</v>
      </c>
      <c r="AG19" s="35">
        <f t="shared" ca="1" si="16"/>
        <v>9.7346609556725285E-5</v>
      </c>
      <c r="AH19" s="35">
        <f t="shared" ca="1" si="17"/>
        <v>2.5031985314569562E-4</v>
      </c>
      <c r="AI19" s="35">
        <f t="shared" ca="1" si="18"/>
        <v>4.1719975524282608E-5</v>
      </c>
      <c r="AJ19" s="35">
        <f t="shared" ca="1" si="19"/>
        <v>1.3906658508100789E-4</v>
      </c>
      <c r="AK19" s="35">
        <f t="shared" ca="1" si="20"/>
        <v>5.5626634032442683E-5</v>
      </c>
      <c r="AM19" s="35">
        <f t="shared" ca="1" si="21"/>
        <v>1.6548923624633419E-3</v>
      </c>
    </row>
    <row r="20" spans="1:39" x14ac:dyDescent="0.3">
      <c r="A20" t="s">
        <v>17</v>
      </c>
      <c r="B20">
        <v>50</v>
      </c>
      <c r="C20">
        <v>1</v>
      </c>
      <c r="D20">
        <v>53.017000000000003</v>
      </c>
      <c r="E20">
        <v>19.619</v>
      </c>
      <c r="F20">
        <v>259</v>
      </c>
    </row>
    <row r="21" spans="1:39" x14ac:dyDescent="0.3">
      <c r="A21" t="s">
        <v>17</v>
      </c>
      <c r="B21">
        <v>100</v>
      </c>
      <c r="C21">
        <v>1</v>
      </c>
      <c r="D21">
        <v>103.157</v>
      </c>
      <c r="E21">
        <v>102.128</v>
      </c>
      <c r="F21">
        <v>434</v>
      </c>
    </row>
    <row r="22" spans="1:39" x14ac:dyDescent="0.3">
      <c r="A22" t="s">
        <v>17</v>
      </c>
      <c r="B22">
        <v>100</v>
      </c>
      <c r="C22">
        <v>1</v>
      </c>
      <c r="D22">
        <v>103.212</v>
      </c>
      <c r="E22">
        <v>102.01900000000001</v>
      </c>
      <c r="F22">
        <v>479</v>
      </c>
    </row>
    <row r="23" spans="1:39" x14ac:dyDescent="0.3">
      <c r="A23" t="s">
        <v>17</v>
      </c>
      <c r="B23">
        <v>100</v>
      </c>
      <c r="C23">
        <v>1</v>
      </c>
      <c r="D23">
        <v>102.80200000000001</v>
      </c>
      <c r="E23">
        <v>102.09</v>
      </c>
      <c r="F23">
        <v>489</v>
      </c>
    </row>
    <row r="24" spans="1:39" x14ac:dyDescent="0.3">
      <c r="A24" t="s">
        <v>17</v>
      </c>
      <c r="B24">
        <v>100</v>
      </c>
      <c r="C24">
        <v>1</v>
      </c>
      <c r="D24">
        <v>103.258</v>
      </c>
      <c r="E24">
        <v>102.20699999999999</v>
      </c>
      <c r="F24">
        <v>434</v>
      </c>
    </row>
    <row r="25" spans="1:39" x14ac:dyDescent="0.3">
      <c r="A25" t="s">
        <v>17</v>
      </c>
      <c r="B25">
        <v>100</v>
      </c>
      <c r="C25">
        <v>1</v>
      </c>
      <c r="D25">
        <v>103.29300000000001</v>
      </c>
      <c r="E25">
        <v>102.089</v>
      </c>
      <c r="F25">
        <v>412</v>
      </c>
    </row>
    <row r="26" spans="1:39" x14ac:dyDescent="0.3">
      <c r="A26" t="s">
        <v>17</v>
      </c>
      <c r="B26">
        <v>100</v>
      </c>
      <c r="C26">
        <v>1</v>
      </c>
      <c r="D26">
        <v>103.227</v>
      </c>
      <c r="E26">
        <v>102.107</v>
      </c>
      <c r="F26">
        <v>413</v>
      </c>
    </row>
    <row r="27" spans="1:39" x14ac:dyDescent="0.3">
      <c r="A27" t="s">
        <v>17</v>
      </c>
      <c r="B27">
        <v>100</v>
      </c>
      <c r="C27">
        <v>1</v>
      </c>
      <c r="D27">
        <v>103.15900000000001</v>
      </c>
      <c r="E27">
        <v>102.19799999999999</v>
      </c>
      <c r="F27">
        <v>419</v>
      </c>
    </row>
    <row r="28" spans="1:39" x14ac:dyDescent="0.3">
      <c r="A28" t="s">
        <v>17</v>
      </c>
      <c r="B28">
        <v>100</v>
      </c>
      <c r="C28">
        <v>1</v>
      </c>
      <c r="D28">
        <v>103.27200000000001</v>
      </c>
      <c r="E28">
        <v>102.024</v>
      </c>
      <c r="F28">
        <v>420</v>
      </c>
    </row>
    <row r="29" spans="1:39" x14ac:dyDescent="0.3">
      <c r="A29" t="s">
        <v>17</v>
      </c>
      <c r="B29">
        <v>100</v>
      </c>
      <c r="C29">
        <v>1</v>
      </c>
      <c r="D29">
        <v>103.276</v>
      </c>
      <c r="E29">
        <v>102.104</v>
      </c>
      <c r="F29">
        <v>412</v>
      </c>
    </row>
    <row r="30" spans="1:39" x14ac:dyDescent="0.3">
      <c r="A30" t="s">
        <v>17</v>
      </c>
      <c r="B30">
        <v>100</v>
      </c>
      <c r="C30">
        <v>1</v>
      </c>
      <c r="D30">
        <v>103.226</v>
      </c>
      <c r="E30">
        <v>102.059</v>
      </c>
      <c r="F30">
        <v>466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7.9989999999999997</v>
      </c>
      <c r="F31">
        <v>221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8.0030000000000001</v>
      </c>
      <c r="F32">
        <v>218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8.0120000000000005</v>
      </c>
      <c r="F33">
        <v>222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</v>
      </c>
      <c r="F34">
        <v>215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8.0030000000000001</v>
      </c>
      <c r="F35">
        <v>235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8.02</v>
      </c>
      <c r="F36">
        <v>242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8.0310000000000006</v>
      </c>
      <c r="F37">
        <v>226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8.0169999999999995</v>
      </c>
      <c r="F38">
        <v>214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8.0169999999999995</v>
      </c>
      <c r="F39">
        <v>242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8.0519999999999996</v>
      </c>
      <c r="F40">
        <v>226</v>
      </c>
    </row>
    <row r="41" spans="1:6" x14ac:dyDescent="0.3">
      <c r="A41" t="s">
        <v>18</v>
      </c>
      <c r="B41">
        <v>50</v>
      </c>
      <c r="C41">
        <v>1</v>
      </c>
      <c r="D41">
        <v>179.93799999999999</v>
      </c>
      <c r="E41">
        <v>22.449000000000002</v>
      </c>
      <c r="F41">
        <v>263</v>
      </c>
    </row>
    <row r="42" spans="1:6" x14ac:dyDescent="0.3">
      <c r="A42" t="s">
        <v>18</v>
      </c>
      <c r="B42">
        <v>50</v>
      </c>
      <c r="C42">
        <v>1</v>
      </c>
      <c r="D42">
        <v>180.87100000000001</v>
      </c>
      <c r="E42">
        <v>22.413</v>
      </c>
      <c r="F42">
        <v>267</v>
      </c>
    </row>
    <row r="43" spans="1:6" x14ac:dyDescent="0.3">
      <c r="A43" t="s">
        <v>18</v>
      </c>
      <c r="B43">
        <v>50</v>
      </c>
      <c r="C43">
        <v>1</v>
      </c>
      <c r="D43">
        <v>180.87100000000001</v>
      </c>
      <c r="E43">
        <v>22.420999999999999</v>
      </c>
      <c r="F43">
        <v>270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22.417000000000002</v>
      </c>
      <c r="F44">
        <v>265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22.417000000000002</v>
      </c>
      <c r="F45">
        <v>270</v>
      </c>
    </row>
    <row r="46" spans="1:6" x14ac:dyDescent="0.3">
      <c r="A46" t="s">
        <v>18</v>
      </c>
      <c r="B46">
        <v>50</v>
      </c>
      <c r="C46">
        <v>1</v>
      </c>
      <c r="D46">
        <v>179.953</v>
      </c>
      <c r="E46">
        <v>22.41</v>
      </c>
      <c r="F46">
        <v>261</v>
      </c>
    </row>
    <row r="47" spans="1:6" x14ac:dyDescent="0.3">
      <c r="A47" t="s">
        <v>18</v>
      </c>
      <c r="B47">
        <v>50</v>
      </c>
      <c r="C47">
        <v>1</v>
      </c>
      <c r="D47">
        <v>181.40799999999999</v>
      </c>
      <c r="E47">
        <v>22.454999999999998</v>
      </c>
      <c r="F47">
        <v>268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22.440999999999999</v>
      </c>
      <c r="F48">
        <v>267</v>
      </c>
    </row>
    <row r="49" spans="1:6" x14ac:dyDescent="0.3">
      <c r="A49" t="s">
        <v>18</v>
      </c>
      <c r="B49">
        <v>50</v>
      </c>
      <c r="C49">
        <v>1</v>
      </c>
      <c r="D49">
        <v>180.87100000000001</v>
      </c>
      <c r="E49">
        <v>22.46</v>
      </c>
      <c r="F49">
        <v>267</v>
      </c>
    </row>
    <row r="50" spans="1:6" x14ac:dyDescent="0.3">
      <c r="A50" t="s">
        <v>18</v>
      </c>
      <c r="B50">
        <v>50</v>
      </c>
      <c r="C50">
        <v>1</v>
      </c>
      <c r="D50">
        <v>179.93799999999999</v>
      </c>
      <c r="E50">
        <v>22.475000000000001</v>
      </c>
      <c r="F50">
        <v>274</v>
      </c>
    </row>
    <row r="51" spans="1:6" x14ac:dyDescent="0.3">
      <c r="A51" t="s">
        <v>18</v>
      </c>
      <c r="B51">
        <v>100</v>
      </c>
      <c r="C51">
        <v>1</v>
      </c>
      <c r="D51">
        <v>239.21899999999999</v>
      </c>
      <c r="E51">
        <v>138.58600000000001</v>
      </c>
      <c r="F51">
        <v>526</v>
      </c>
    </row>
    <row r="52" spans="1:6" x14ac:dyDescent="0.3">
      <c r="A52" t="s">
        <v>18</v>
      </c>
      <c r="B52">
        <v>100</v>
      </c>
      <c r="C52">
        <v>1</v>
      </c>
      <c r="D52">
        <v>239.09299999999999</v>
      </c>
      <c r="E52">
        <v>138.52799999999999</v>
      </c>
      <c r="F52">
        <v>491</v>
      </c>
    </row>
    <row r="53" spans="1:6" x14ac:dyDescent="0.3">
      <c r="A53" t="s">
        <v>18</v>
      </c>
      <c r="B53">
        <v>100</v>
      </c>
      <c r="C53">
        <v>1</v>
      </c>
      <c r="D53">
        <v>239.24</v>
      </c>
      <c r="E53">
        <v>138.58199999999999</v>
      </c>
      <c r="F53">
        <v>471</v>
      </c>
    </row>
    <row r="54" spans="1:6" x14ac:dyDescent="0.3">
      <c r="A54" t="s">
        <v>18</v>
      </c>
      <c r="B54">
        <v>100</v>
      </c>
      <c r="C54">
        <v>1</v>
      </c>
      <c r="D54">
        <v>239.11600000000001</v>
      </c>
      <c r="E54">
        <v>138.625</v>
      </c>
      <c r="F54">
        <v>474</v>
      </c>
    </row>
    <row r="55" spans="1:6" x14ac:dyDescent="0.3">
      <c r="A55" t="s">
        <v>18</v>
      </c>
      <c r="B55">
        <v>100</v>
      </c>
      <c r="C55">
        <v>1</v>
      </c>
      <c r="D55">
        <v>239.29300000000001</v>
      </c>
      <c r="E55">
        <v>138.465</v>
      </c>
      <c r="F55">
        <v>476</v>
      </c>
    </row>
    <row r="56" spans="1:6" x14ac:dyDescent="0.3">
      <c r="A56" t="s">
        <v>18</v>
      </c>
      <c r="B56">
        <v>100</v>
      </c>
      <c r="C56">
        <v>1</v>
      </c>
      <c r="D56">
        <v>239.31700000000001</v>
      </c>
      <c r="E56">
        <v>138.56700000000001</v>
      </c>
      <c r="F56">
        <v>485</v>
      </c>
    </row>
    <row r="57" spans="1:6" x14ac:dyDescent="0.3">
      <c r="A57" t="s">
        <v>18</v>
      </c>
      <c r="B57">
        <v>100</v>
      </c>
      <c r="C57">
        <v>1</v>
      </c>
      <c r="D57">
        <v>239.08500000000001</v>
      </c>
      <c r="E57">
        <v>138.65899999999999</v>
      </c>
      <c r="F57">
        <v>527</v>
      </c>
    </row>
    <row r="58" spans="1:6" x14ac:dyDescent="0.3">
      <c r="A58" t="s">
        <v>18</v>
      </c>
      <c r="B58">
        <v>100</v>
      </c>
      <c r="C58">
        <v>1</v>
      </c>
      <c r="D58">
        <v>239.08099999999999</v>
      </c>
      <c r="E58">
        <v>138.46199999999999</v>
      </c>
      <c r="F58">
        <v>523</v>
      </c>
    </row>
    <row r="59" spans="1:6" x14ac:dyDescent="0.3">
      <c r="A59" t="s">
        <v>18</v>
      </c>
      <c r="B59">
        <v>100</v>
      </c>
      <c r="C59">
        <v>1</v>
      </c>
      <c r="D59">
        <v>239.16300000000001</v>
      </c>
      <c r="E59">
        <v>138.649</v>
      </c>
      <c r="F59">
        <v>474</v>
      </c>
    </row>
    <row r="60" spans="1:6" x14ac:dyDescent="0.3">
      <c r="A60" t="s">
        <v>18</v>
      </c>
      <c r="B60">
        <v>100</v>
      </c>
      <c r="C60">
        <v>1</v>
      </c>
      <c r="D60">
        <v>239.36</v>
      </c>
      <c r="E60">
        <v>138.47</v>
      </c>
      <c r="F60">
        <v>478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4.3289999999999997</v>
      </c>
      <c r="F61">
        <v>163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4.3339999999999996</v>
      </c>
      <c r="F62">
        <v>189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4.3289999999999997</v>
      </c>
      <c r="F63">
        <v>207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4.3310000000000004</v>
      </c>
      <c r="F64">
        <v>165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4.33</v>
      </c>
      <c r="F65">
        <v>188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4.3289999999999997</v>
      </c>
      <c r="F66">
        <v>172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4.3230000000000004</v>
      </c>
      <c r="F67">
        <v>151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4.3179999999999996</v>
      </c>
      <c r="F68">
        <v>230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4.3209999999999997</v>
      </c>
      <c r="F69">
        <v>175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4.319</v>
      </c>
      <c r="F70">
        <v>181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13.231999999999999</v>
      </c>
      <c r="F71">
        <v>209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13.236000000000001</v>
      </c>
      <c r="F72">
        <v>212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13.212999999999999</v>
      </c>
      <c r="F73">
        <v>212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13.224</v>
      </c>
      <c r="F74">
        <v>212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13.244999999999999</v>
      </c>
      <c r="F75">
        <v>200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13.217000000000001</v>
      </c>
      <c r="F76">
        <v>211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13.233000000000001</v>
      </c>
      <c r="F77">
        <v>214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13.221</v>
      </c>
      <c r="F78">
        <v>212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13.238</v>
      </c>
      <c r="F79">
        <v>205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13.204000000000001</v>
      </c>
      <c r="F80">
        <v>202</v>
      </c>
    </row>
    <row r="81" spans="1:6" x14ac:dyDescent="0.3">
      <c r="A81" t="s">
        <v>19</v>
      </c>
      <c r="B81">
        <v>100</v>
      </c>
      <c r="C81">
        <v>1</v>
      </c>
      <c r="D81">
        <v>35277.474999999999</v>
      </c>
      <c r="E81">
        <v>54.841000000000001</v>
      </c>
      <c r="F81">
        <v>270</v>
      </c>
    </row>
    <row r="82" spans="1:6" x14ac:dyDescent="0.3">
      <c r="A82" t="s">
        <v>19</v>
      </c>
      <c r="B82">
        <v>100</v>
      </c>
      <c r="C82">
        <v>1</v>
      </c>
      <c r="D82">
        <v>35246.271000000001</v>
      </c>
      <c r="E82">
        <v>54.822000000000003</v>
      </c>
      <c r="F82">
        <v>264</v>
      </c>
    </row>
    <row r="83" spans="1:6" x14ac:dyDescent="0.3">
      <c r="A83" t="s">
        <v>19</v>
      </c>
      <c r="B83">
        <v>100</v>
      </c>
      <c r="C83">
        <v>1</v>
      </c>
      <c r="D83">
        <v>35246.123</v>
      </c>
      <c r="E83">
        <v>54.889000000000003</v>
      </c>
      <c r="F83">
        <v>265</v>
      </c>
    </row>
    <row r="84" spans="1:6" x14ac:dyDescent="0.3">
      <c r="A84" t="s">
        <v>19</v>
      </c>
      <c r="B84">
        <v>100</v>
      </c>
      <c r="C84">
        <v>1</v>
      </c>
      <c r="D84">
        <v>35273.343000000001</v>
      </c>
      <c r="E84">
        <v>54.811</v>
      </c>
      <c r="F84">
        <v>265</v>
      </c>
    </row>
    <row r="85" spans="1:6" x14ac:dyDescent="0.3">
      <c r="A85" t="s">
        <v>19</v>
      </c>
      <c r="B85">
        <v>100</v>
      </c>
      <c r="C85">
        <v>1</v>
      </c>
      <c r="D85">
        <v>35215.232000000004</v>
      </c>
      <c r="E85">
        <v>54.899000000000001</v>
      </c>
      <c r="F85">
        <v>232</v>
      </c>
    </row>
    <row r="86" spans="1:6" x14ac:dyDescent="0.3">
      <c r="A86" t="s">
        <v>19</v>
      </c>
      <c r="B86">
        <v>100</v>
      </c>
      <c r="C86">
        <v>1</v>
      </c>
      <c r="D86">
        <v>35284.773999999998</v>
      </c>
      <c r="E86">
        <v>54.959000000000003</v>
      </c>
      <c r="F86">
        <v>230</v>
      </c>
    </row>
    <row r="87" spans="1:6" x14ac:dyDescent="0.3">
      <c r="A87" t="s">
        <v>19</v>
      </c>
      <c r="B87">
        <v>100</v>
      </c>
      <c r="C87">
        <v>1</v>
      </c>
      <c r="D87">
        <v>35245.771999999997</v>
      </c>
      <c r="E87">
        <v>54.874000000000002</v>
      </c>
      <c r="F87">
        <v>232</v>
      </c>
    </row>
    <row r="88" spans="1:6" x14ac:dyDescent="0.3">
      <c r="A88" t="s">
        <v>19</v>
      </c>
      <c r="B88">
        <v>100</v>
      </c>
      <c r="C88">
        <v>1</v>
      </c>
      <c r="D88">
        <v>35272.953000000001</v>
      </c>
      <c r="E88">
        <v>54.954000000000001</v>
      </c>
      <c r="F88">
        <v>229</v>
      </c>
    </row>
    <row r="89" spans="1:6" x14ac:dyDescent="0.3">
      <c r="A89" t="s">
        <v>19</v>
      </c>
      <c r="B89">
        <v>100</v>
      </c>
      <c r="C89">
        <v>1</v>
      </c>
      <c r="D89">
        <v>35259.237000000001</v>
      </c>
      <c r="E89">
        <v>54.902999999999999</v>
      </c>
      <c r="F89">
        <v>234</v>
      </c>
    </row>
    <row r="90" spans="1:6" x14ac:dyDescent="0.3">
      <c r="A90" t="s">
        <v>19</v>
      </c>
      <c r="B90">
        <v>100</v>
      </c>
      <c r="C90">
        <v>1</v>
      </c>
      <c r="D90">
        <v>35257.756999999998</v>
      </c>
      <c r="E90">
        <v>54.908000000000001</v>
      </c>
      <c r="F90">
        <v>227</v>
      </c>
    </row>
    <row r="91" spans="1:6" x14ac:dyDescent="0.3">
      <c r="A91" t="s">
        <v>20</v>
      </c>
      <c r="B91">
        <v>30</v>
      </c>
      <c r="C91">
        <v>1</v>
      </c>
      <c r="D91">
        <v>657.32399999999996</v>
      </c>
      <c r="E91">
        <v>6.4710000000000001</v>
      </c>
      <c r="F91">
        <v>265</v>
      </c>
    </row>
    <row r="92" spans="1:6" x14ac:dyDescent="0.3">
      <c r="A92" t="s">
        <v>20</v>
      </c>
      <c r="B92">
        <v>30</v>
      </c>
      <c r="C92">
        <v>1</v>
      </c>
      <c r="D92">
        <v>657.33</v>
      </c>
      <c r="E92">
        <v>6.4779999999999998</v>
      </c>
      <c r="F92">
        <v>252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6.4649999999999999</v>
      </c>
      <c r="F93">
        <v>229</v>
      </c>
    </row>
    <row r="94" spans="1:6" x14ac:dyDescent="0.3">
      <c r="A94" t="s">
        <v>20</v>
      </c>
      <c r="B94">
        <v>30</v>
      </c>
      <c r="C94">
        <v>1</v>
      </c>
      <c r="D94">
        <v>657.35599999999999</v>
      </c>
      <c r="E94">
        <v>6.4740000000000002</v>
      </c>
      <c r="F94">
        <v>249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6.48</v>
      </c>
      <c r="F95">
        <v>262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6.468</v>
      </c>
      <c r="F96">
        <v>273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6.4660000000000002</v>
      </c>
      <c r="F97">
        <v>256</v>
      </c>
    </row>
    <row r="98" spans="1:6" x14ac:dyDescent="0.3">
      <c r="A98" t="s">
        <v>20</v>
      </c>
      <c r="B98">
        <v>30</v>
      </c>
      <c r="C98">
        <v>1</v>
      </c>
      <c r="D98">
        <v>658.23299999999995</v>
      </c>
      <c r="E98">
        <v>6.4859999999999998</v>
      </c>
      <c r="F98">
        <v>209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6.468</v>
      </c>
      <c r="F99">
        <v>224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6.4859999999999998</v>
      </c>
      <c r="F100">
        <v>278</v>
      </c>
    </row>
    <row r="101" spans="1:6" x14ac:dyDescent="0.3">
      <c r="A101" t="s">
        <v>20</v>
      </c>
      <c r="B101">
        <v>50</v>
      </c>
      <c r="C101">
        <v>1</v>
      </c>
      <c r="D101">
        <v>993.43899999999996</v>
      </c>
      <c r="E101">
        <v>14.715</v>
      </c>
      <c r="F101">
        <v>206</v>
      </c>
    </row>
    <row r="102" spans="1:6" x14ac:dyDescent="0.3">
      <c r="A102" t="s">
        <v>20</v>
      </c>
      <c r="B102">
        <v>50</v>
      </c>
      <c r="C102">
        <v>1</v>
      </c>
      <c r="D102">
        <v>993.27200000000005</v>
      </c>
      <c r="E102">
        <v>14.685</v>
      </c>
      <c r="F102">
        <v>208</v>
      </c>
    </row>
    <row r="103" spans="1:6" x14ac:dyDescent="0.3">
      <c r="A103" t="s">
        <v>20</v>
      </c>
      <c r="B103">
        <v>50</v>
      </c>
      <c r="C103">
        <v>1</v>
      </c>
      <c r="D103">
        <v>997.00300000000004</v>
      </c>
      <c r="E103">
        <v>14.734</v>
      </c>
      <c r="F103">
        <v>206</v>
      </c>
    </row>
    <row r="104" spans="1:6" x14ac:dyDescent="0.3">
      <c r="A104" t="s">
        <v>20</v>
      </c>
      <c r="B104">
        <v>50</v>
      </c>
      <c r="C104">
        <v>1</v>
      </c>
      <c r="D104">
        <v>996.01499999999999</v>
      </c>
      <c r="E104">
        <v>14.73</v>
      </c>
      <c r="F104">
        <v>213</v>
      </c>
    </row>
    <row r="105" spans="1:6" x14ac:dyDescent="0.3">
      <c r="A105" t="s">
        <v>20</v>
      </c>
      <c r="B105">
        <v>50</v>
      </c>
      <c r="C105">
        <v>1</v>
      </c>
      <c r="D105">
        <v>992.27700000000004</v>
      </c>
      <c r="E105">
        <v>14.694000000000001</v>
      </c>
      <c r="F105">
        <v>206</v>
      </c>
    </row>
    <row r="106" spans="1:6" x14ac:dyDescent="0.3">
      <c r="A106" t="s">
        <v>20</v>
      </c>
      <c r="B106">
        <v>50</v>
      </c>
      <c r="C106">
        <v>1</v>
      </c>
      <c r="D106">
        <v>994.64200000000005</v>
      </c>
      <c r="E106">
        <v>14.683</v>
      </c>
      <c r="F106">
        <v>249</v>
      </c>
    </row>
    <row r="107" spans="1:6" x14ac:dyDescent="0.3">
      <c r="A107" t="s">
        <v>20</v>
      </c>
      <c r="B107">
        <v>50</v>
      </c>
      <c r="C107">
        <v>1</v>
      </c>
      <c r="D107">
        <v>996.14</v>
      </c>
      <c r="E107">
        <v>14.685</v>
      </c>
      <c r="F107">
        <v>282</v>
      </c>
    </row>
    <row r="108" spans="1:6" x14ac:dyDescent="0.3">
      <c r="A108" t="s">
        <v>20</v>
      </c>
      <c r="B108">
        <v>50</v>
      </c>
      <c r="C108">
        <v>1</v>
      </c>
      <c r="D108">
        <v>994.28</v>
      </c>
      <c r="E108">
        <v>14.698</v>
      </c>
      <c r="F108">
        <v>306</v>
      </c>
    </row>
    <row r="109" spans="1:6" x14ac:dyDescent="0.3">
      <c r="A109" t="s">
        <v>20</v>
      </c>
      <c r="B109">
        <v>50</v>
      </c>
      <c r="C109">
        <v>1</v>
      </c>
      <c r="D109">
        <v>994.78599999999994</v>
      </c>
      <c r="E109">
        <v>14.712</v>
      </c>
      <c r="F109">
        <v>279</v>
      </c>
    </row>
    <row r="110" spans="1:6" x14ac:dyDescent="0.3">
      <c r="A110" t="s">
        <v>20</v>
      </c>
      <c r="B110">
        <v>50</v>
      </c>
      <c r="C110">
        <v>1</v>
      </c>
      <c r="D110">
        <v>991.197</v>
      </c>
      <c r="E110">
        <v>14.685</v>
      </c>
      <c r="F110">
        <v>307</v>
      </c>
    </row>
    <row r="111" spans="1:6" x14ac:dyDescent="0.3">
      <c r="A111" t="s">
        <v>20</v>
      </c>
      <c r="B111">
        <v>100</v>
      </c>
      <c r="C111">
        <v>1</v>
      </c>
      <c r="D111">
        <v>1759.104</v>
      </c>
      <c r="E111">
        <v>32.597000000000001</v>
      </c>
      <c r="F111">
        <v>150</v>
      </c>
    </row>
    <row r="112" spans="1:6" x14ac:dyDescent="0.3">
      <c r="A112" t="s">
        <v>20</v>
      </c>
      <c r="B112">
        <v>100</v>
      </c>
      <c r="C112">
        <v>1</v>
      </c>
      <c r="D112">
        <v>1757.9269999999999</v>
      </c>
      <c r="E112">
        <v>32.540999999999997</v>
      </c>
      <c r="F112">
        <v>149</v>
      </c>
    </row>
    <row r="113" spans="1:6" x14ac:dyDescent="0.3">
      <c r="A113" t="s">
        <v>20</v>
      </c>
      <c r="B113">
        <v>100</v>
      </c>
      <c r="C113">
        <v>1</v>
      </c>
      <c r="D113">
        <v>1759.94</v>
      </c>
      <c r="E113">
        <v>32.520000000000003</v>
      </c>
      <c r="F113">
        <v>150</v>
      </c>
    </row>
    <row r="114" spans="1:6" x14ac:dyDescent="0.3">
      <c r="A114" t="s">
        <v>20</v>
      </c>
      <c r="B114">
        <v>100</v>
      </c>
      <c r="C114">
        <v>1</v>
      </c>
      <c r="D114">
        <v>1755.913</v>
      </c>
      <c r="E114">
        <v>32.618000000000002</v>
      </c>
      <c r="F114">
        <v>151</v>
      </c>
    </row>
    <row r="115" spans="1:6" x14ac:dyDescent="0.3">
      <c r="A115" t="s">
        <v>20</v>
      </c>
      <c r="B115">
        <v>100</v>
      </c>
      <c r="C115">
        <v>1</v>
      </c>
      <c r="D115">
        <v>1756.02</v>
      </c>
      <c r="E115">
        <v>32.554000000000002</v>
      </c>
      <c r="F115">
        <v>151</v>
      </c>
    </row>
    <row r="116" spans="1:6" x14ac:dyDescent="0.3">
      <c r="A116" t="s">
        <v>20</v>
      </c>
      <c r="B116">
        <v>100</v>
      </c>
      <c r="C116">
        <v>1</v>
      </c>
      <c r="D116">
        <v>1757.0360000000001</v>
      </c>
      <c r="E116">
        <v>32.639000000000003</v>
      </c>
      <c r="F116">
        <v>151</v>
      </c>
    </row>
    <row r="117" spans="1:6" x14ac:dyDescent="0.3">
      <c r="A117" t="s">
        <v>20</v>
      </c>
      <c r="B117">
        <v>100</v>
      </c>
      <c r="C117">
        <v>1</v>
      </c>
      <c r="D117">
        <v>1756.367</v>
      </c>
      <c r="E117">
        <v>32.561</v>
      </c>
      <c r="F117">
        <v>150</v>
      </c>
    </row>
    <row r="118" spans="1:6" x14ac:dyDescent="0.3">
      <c r="A118" t="s">
        <v>20</v>
      </c>
      <c r="B118">
        <v>100</v>
      </c>
      <c r="C118">
        <v>1</v>
      </c>
      <c r="D118">
        <v>1758.703</v>
      </c>
      <c r="E118">
        <v>32.581000000000003</v>
      </c>
      <c r="F118">
        <v>175</v>
      </c>
    </row>
    <row r="119" spans="1:6" x14ac:dyDescent="0.3">
      <c r="A119" t="s">
        <v>20</v>
      </c>
      <c r="B119">
        <v>100</v>
      </c>
      <c r="C119">
        <v>1</v>
      </c>
      <c r="D119">
        <v>1757.9549999999999</v>
      </c>
      <c r="E119">
        <v>32.515999999999998</v>
      </c>
      <c r="F119">
        <v>173</v>
      </c>
    </row>
    <row r="120" spans="1:6" x14ac:dyDescent="0.3">
      <c r="A120" t="s">
        <v>20</v>
      </c>
      <c r="B120">
        <v>100</v>
      </c>
      <c r="C120">
        <v>1</v>
      </c>
      <c r="D120">
        <v>1758.319</v>
      </c>
      <c r="E120">
        <v>32.597000000000001</v>
      </c>
      <c r="F120">
        <v>175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1.38</v>
      </c>
      <c r="F121">
        <v>47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1.367</v>
      </c>
      <c r="F122">
        <v>48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1.3640000000000001</v>
      </c>
      <c r="F123">
        <v>482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1.3660000000000001</v>
      </c>
      <c r="F124">
        <v>315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1.373</v>
      </c>
      <c r="F125">
        <v>199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1.381</v>
      </c>
      <c r="F126">
        <v>143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1.367</v>
      </c>
      <c r="F127">
        <v>183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1.365</v>
      </c>
      <c r="F128">
        <v>309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1.363</v>
      </c>
      <c r="F129">
        <v>202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1.3680000000000001</v>
      </c>
      <c r="F130">
        <v>232</v>
      </c>
    </row>
    <row r="131" spans="1:6" x14ac:dyDescent="0.3">
      <c r="A131" t="s">
        <v>33</v>
      </c>
      <c r="B131">
        <v>209</v>
      </c>
      <c r="C131">
        <v>1</v>
      </c>
      <c r="D131">
        <v>76.489999999999995</v>
      </c>
      <c r="E131">
        <v>181.506</v>
      </c>
      <c r="F131">
        <v>185</v>
      </c>
    </row>
    <row r="132" spans="1:6" x14ac:dyDescent="0.3">
      <c r="A132" t="s">
        <v>33</v>
      </c>
      <c r="B132">
        <v>209</v>
      </c>
      <c r="C132">
        <v>1</v>
      </c>
      <c r="D132">
        <v>76.635999999999996</v>
      </c>
      <c r="E132">
        <v>181.26</v>
      </c>
      <c r="F132">
        <v>184</v>
      </c>
    </row>
    <row r="133" spans="1:6" x14ac:dyDescent="0.3">
      <c r="A133" t="s">
        <v>33</v>
      </c>
      <c r="B133">
        <v>209</v>
      </c>
      <c r="C133">
        <v>1</v>
      </c>
      <c r="D133">
        <v>76.536000000000001</v>
      </c>
      <c r="E133">
        <v>181.447</v>
      </c>
      <c r="F133">
        <v>187</v>
      </c>
    </row>
    <row r="134" spans="1:6" x14ac:dyDescent="0.3">
      <c r="A134" t="s">
        <v>33</v>
      </c>
      <c r="B134">
        <v>209</v>
      </c>
      <c r="C134">
        <v>1</v>
      </c>
      <c r="D134">
        <v>76.956000000000003</v>
      </c>
      <c r="E134">
        <v>180.785</v>
      </c>
      <c r="F134">
        <v>184</v>
      </c>
    </row>
    <row r="135" spans="1:6" x14ac:dyDescent="0.3">
      <c r="A135" t="s">
        <v>33</v>
      </c>
      <c r="B135">
        <v>209</v>
      </c>
      <c r="C135">
        <v>1</v>
      </c>
      <c r="D135">
        <v>76.584000000000003</v>
      </c>
      <c r="E135">
        <v>181.14599999999999</v>
      </c>
      <c r="F135">
        <v>184</v>
      </c>
    </row>
    <row r="136" spans="1:6" x14ac:dyDescent="0.3">
      <c r="A136" t="s">
        <v>33</v>
      </c>
      <c r="B136">
        <v>209</v>
      </c>
      <c r="C136">
        <v>1</v>
      </c>
      <c r="D136">
        <v>76.680999999999997</v>
      </c>
      <c r="E136">
        <v>181.18600000000001</v>
      </c>
      <c r="F136">
        <v>184</v>
      </c>
    </row>
    <row r="137" spans="1:6" x14ac:dyDescent="0.3">
      <c r="A137" t="s">
        <v>33</v>
      </c>
      <c r="B137">
        <v>209</v>
      </c>
      <c r="C137">
        <v>1</v>
      </c>
      <c r="D137">
        <v>76.58</v>
      </c>
      <c r="E137">
        <v>181.006</v>
      </c>
      <c r="F137">
        <v>184</v>
      </c>
    </row>
    <row r="138" spans="1:6" x14ac:dyDescent="0.3">
      <c r="A138" t="s">
        <v>33</v>
      </c>
      <c r="B138">
        <v>209</v>
      </c>
      <c r="C138">
        <v>1</v>
      </c>
      <c r="D138">
        <v>76.489999999999995</v>
      </c>
      <c r="E138">
        <v>181.029</v>
      </c>
      <c r="F138">
        <v>182</v>
      </c>
    </row>
    <row r="139" spans="1:6" x14ac:dyDescent="0.3">
      <c r="A139" t="s">
        <v>33</v>
      </c>
      <c r="B139">
        <v>209</v>
      </c>
      <c r="C139">
        <v>1</v>
      </c>
      <c r="D139">
        <v>76.429000000000002</v>
      </c>
      <c r="E139">
        <v>180.90700000000001</v>
      </c>
      <c r="F139">
        <v>184</v>
      </c>
    </row>
    <row r="140" spans="1:6" x14ac:dyDescent="0.3">
      <c r="A140" t="s">
        <v>33</v>
      </c>
      <c r="B140">
        <v>209</v>
      </c>
      <c r="C140">
        <v>1</v>
      </c>
      <c r="D140">
        <v>76.513000000000005</v>
      </c>
      <c r="E140">
        <v>180.96899999999999</v>
      </c>
      <c r="F140">
        <v>185</v>
      </c>
    </row>
    <row r="141" spans="1:6" x14ac:dyDescent="0.3">
      <c r="A141" t="s">
        <v>33</v>
      </c>
      <c r="B141">
        <v>324</v>
      </c>
      <c r="C141">
        <v>1</v>
      </c>
      <c r="D141">
        <v>118.697</v>
      </c>
      <c r="E141">
        <v>420.76499999999999</v>
      </c>
      <c r="F141">
        <v>155</v>
      </c>
    </row>
    <row r="142" spans="1:6" x14ac:dyDescent="0.3">
      <c r="A142" t="s">
        <v>33</v>
      </c>
      <c r="B142">
        <v>324</v>
      </c>
      <c r="C142">
        <v>1</v>
      </c>
      <c r="D142">
        <v>118.262</v>
      </c>
      <c r="E142">
        <v>420.36799999999999</v>
      </c>
      <c r="F142">
        <v>157</v>
      </c>
    </row>
    <row r="143" spans="1:6" x14ac:dyDescent="0.3">
      <c r="A143" t="s">
        <v>33</v>
      </c>
      <c r="B143">
        <v>324</v>
      </c>
      <c r="C143">
        <v>1</v>
      </c>
      <c r="D143">
        <v>119.11799999999999</v>
      </c>
      <c r="E143">
        <v>420.81900000000002</v>
      </c>
      <c r="F143">
        <v>158</v>
      </c>
    </row>
    <row r="144" spans="1:6" x14ac:dyDescent="0.3">
      <c r="A144" t="s">
        <v>33</v>
      </c>
      <c r="B144">
        <v>324</v>
      </c>
      <c r="C144">
        <v>1</v>
      </c>
      <c r="D144">
        <v>119.26300000000001</v>
      </c>
      <c r="E144">
        <v>421.46499999999997</v>
      </c>
      <c r="F144">
        <v>156</v>
      </c>
    </row>
    <row r="145" spans="1:6" x14ac:dyDescent="0.3">
      <c r="A145" t="s">
        <v>33</v>
      </c>
      <c r="B145">
        <v>324</v>
      </c>
      <c r="C145">
        <v>1</v>
      </c>
      <c r="D145">
        <v>119.1</v>
      </c>
      <c r="E145">
        <v>419.839</v>
      </c>
      <c r="F145">
        <v>154</v>
      </c>
    </row>
    <row r="146" spans="1:6" x14ac:dyDescent="0.3">
      <c r="A146" t="s">
        <v>33</v>
      </c>
      <c r="B146">
        <v>324</v>
      </c>
      <c r="C146">
        <v>1</v>
      </c>
      <c r="D146">
        <v>119.017</v>
      </c>
      <c r="E146">
        <v>420.15100000000001</v>
      </c>
      <c r="F146">
        <v>157</v>
      </c>
    </row>
    <row r="147" spans="1:6" x14ac:dyDescent="0.3">
      <c r="A147" t="s">
        <v>33</v>
      </c>
      <c r="B147">
        <v>324</v>
      </c>
      <c r="C147">
        <v>1</v>
      </c>
      <c r="D147">
        <v>119.285</v>
      </c>
      <c r="E147">
        <v>420.67500000000001</v>
      </c>
      <c r="F147">
        <v>155</v>
      </c>
    </row>
    <row r="148" spans="1:6" x14ac:dyDescent="0.3">
      <c r="A148" t="s">
        <v>33</v>
      </c>
      <c r="B148">
        <v>324</v>
      </c>
      <c r="C148">
        <v>1</v>
      </c>
      <c r="D148">
        <v>119.47499999999999</v>
      </c>
      <c r="E148">
        <v>420.44299999999998</v>
      </c>
      <c r="F148">
        <v>155</v>
      </c>
    </row>
    <row r="149" spans="1:6" x14ac:dyDescent="0.3">
      <c r="A149" t="s">
        <v>33</v>
      </c>
      <c r="B149">
        <v>324</v>
      </c>
      <c r="C149">
        <v>1</v>
      </c>
      <c r="D149">
        <v>118.896</v>
      </c>
      <c r="E149">
        <v>420.601</v>
      </c>
      <c r="F149">
        <v>159</v>
      </c>
    </row>
    <row r="150" spans="1:6" x14ac:dyDescent="0.3">
      <c r="A150" t="s">
        <v>33</v>
      </c>
      <c r="B150">
        <v>324</v>
      </c>
      <c r="C150">
        <v>1</v>
      </c>
      <c r="D150">
        <v>119.155</v>
      </c>
      <c r="E150">
        <v>419.42899999999997</v>
      </c>
      <c r="F150">
        <v>158</v>
      </c>
    </row>
    <row r="151" spans="1:6" x14ac:dyDescent="0.3">
      <c r="A151" t="s">
        <v>34</v>
      </c>
      <c r="B151">
        <v>40</v>
      </c>
      <c r="C151">
        <v>1</v>
      </c>
      <c r="D151">
        <v>16.66</v>
      </c>
      <c r="E151">
        <v>11.654</v>
      </c>
      <c r="F151">
        <v>226</v>
      </c>
    </row>
    <row r="152" spans="1:6" x14ac:dyDescent="0.3">
      <c r="A152" t="s">
        <v>34</v>
      </c>
      <c r="B152">
        <v>40</v>
      </c>
      <c r="C152">
        <v>1</v>
      </c>
      <c r="D152">
        <v>16.616</v>
      </c>
      <c r="E152">
        <v>11.615</v>
      </c>
      <c r="F152">
        <v>223</v>
      </c>
    </row>
    <row r="153" spans="1:6" x14ac:dyDescent="0.3">
      <c r="A153" t="s">
        <v>34</v>
      </c>
      <c r="B153">
        <v>40</v>
      </c>
      <c r="C153">
        <v>1</v>
      </c>
      <c r="D153">
        <v>16.495000000000001</v>
      </c>
      <c r="E153">
        <v>11.612</v>
      </c>
      <c r="F153">
        <v>223</v>
      </c>
    </row>
    <row r="154" spans="1:6" x14ac:dyDescent="0.3">
      <c r="A154" t="s">
        <v>34</v>
      </c>
      <c r="B154">
        <v>40</v>
      </c>
      <c r="C154">
        <v>1</v>
      </c>
      <c r="D154">
        <v>16.760000000000002</v>
      </c>
      <c r="E154">
        <v>11.627000000000001</v>
      </c>
      <c r="F154">
        <v>216</v>
      </c>
    </row>
    <row r="155" spans="1:6" x14ac:dyDescent="0.3">
      <c r="A155" t="s">
        <v>34</v>
      </c>
      <c r="B155">
        <v>40</v>
      </c>
      <c r="C155">
        <v>1</v>
      </c>
      <c r="D155">
        <v>16.608000000000001</v>
      </c>
      <c r="E155">
        <v>11.638</v>
      </c>
      <c r="F155">
        <v>225</v>
      </c>
    </row>
    <row r="156" spans="1:6" x14ac:dyDescent="0.3">
      <c r="A156" t="s">
        <v>34</v>
      </c>
      <c r="B156">
        <v>40</v>
      </c>
      <c r="C156">
        <v>1</v>
      </c>
      <c r="D156">
        <v>16.616</v>
      </c>
      <c r="E156">
        <v>11.629</v>
      </c>
      <c r="F156">
        <v>217</v>
      </c>
    </row>
    <row r="157" spans="1:6" x14ac:dyDescent="0.3">
      <c r="A157" t="s">
        <v>34</v>
      </c>
      <c r="B157">
        <v>40</v>
      </c>
      <c r="C157">
        <v>1</v>
      </c>
      <c r="D157">
        <v>16.731000000000002</v>
      </c>
      <c r="E157">
        <v>11.616</v>
      </c>
      <c r="F157">
        <v>224</v>
      </c>
    </row>
    <row r="158" spans="1:6" x14ac:dyDescent="0.3">
      <c r="A158" t="s">
        <v>34</v>
      </c>
      <c r="B158">
        <v>40</v>
      </c>
      <c r="C158">
        <v>1</v>
      </c>
      <c r="D158">
        <v>16.788</v>
      </c>
      <c r="E158">
        <v>11.634</v>
      </c>
      <c r="F158">
        <v>227</v>
      </c>
    </row>
    <row r="159" spans="1:6" x14ac:dyDescent="0.3">
      <c r="A159" t="s">
        <v>34</v>
      </c>
      <c r="B159">
        <v>40</v>
      </c>
      <c r="C159">
        <v>1</v>
      </c>
      <c r="D159">
        <v>16.600999999999999</v>
      </c>
      <c r="E159">
        <v>11.644</v>
      </c>
      <c r="F159">
        <v>226</v>
      </c>
    </row>
    <row r="160" spans="1:6" x14ac:dyDescent="0.3">
      <c r="A160" t="s">
        <v>34</v>
      </c>
      <c r="B160">
        <v>40</v>
      </c>
      <c r="C160">
        <v>1</v>
      </c>
      <c r="D160">
        <v>16.599</v>
      </c>
      <c r="E160">
        <v>11.641</v>
      </c>
      <c r="F160">
        <v>221</v>
      </c>
    </row>
    <row r="161" spans="1:6" x14ac:dyDescent="0.3">
      <c r="A161" t="s">
        <v>34</v>
      </c>
      <c r="B161">
        <v>96</v>
      </c>
      <c r="C161">
        <v>1</v>
      </c>
      <c r="D161">
        <v>35.235999999999997</v>
      </c>
      <c r="E161">
        <v>51.417999999999999</v>
      </c>
      <c r="F161">
        <v>248</v>
      </c>
    </row>
    <row r="162" spans="1:6" x14ac:dyDescent="0.3">
      <c r="A162" t="s">
        <v>34</v>
      </c>
      <c r="B162">
        <v>96</v>
      </c>
      <c r="C162">
        <v>1</v>
      </c>
      <c r="D162">
        <v>35.097000000000001</v>
      </c>
      <c r="E162">
        <v>51.271999999999998</v>
      </c>
      <c r="F162">
        <v>282</v>
      </c>
    </row>
    <row r="163" spans="1:6" x14ac:dyDescent="0.3">
      <c r="A163" t="s">
        <v>34</v>
      </c>
      <c r="B163">
        <v>96</v>
      </c>
      <c r="C163">
        <v>1</v>
      </c>
      <c r="D163">
        <v>35.154000000000003</v>
      </c>
      <c r="E163">
        <v>51.271000000000001</v>
      </c>
      <c r="F163">
        <v>244</v>
      </c>
    </row>
    <row r="164" spans="1:6" x14ac:dyDescent="0.3">
      <c r="A164" t="s">
        <v>34</v>
      </c>
      <c r="B164">
        <v>96</v>
      </c>
      <c r="C164">
        <v>1</v>
      </c>
      <c r="D164">
        <v>35.183999999999997</v>
      </c>
      <c r="E164">
        <v>51.279000000000003</v>
      </c>
      <c r="F164">
        <v>267</v>
      </c>
    </row>
    <row r="165" spans="1:6" x14ac:dyDescent="0.3">
      <c r="A165" t="s">
        <v>34</v>
      </c>
      <c r="B165">
        <v>96</v>
      </c>
      <c r="C165">
        <v>1</v>
      </c>
      <c r="D165">
        <v>35.201000000000001</v>
      </c>
      <c r="E165">
        <v>51.279000000000003</v>
      </c>
      <c r="F165">
        <v>252</v>
      </c>
    </row>
    <row r="166" spans="1:6" x14ac:dyDescent="0.3">
      <c r="A166" t="s">
        <v>34</v>
      </c>
      <c r="B166">
        <v>96</v>
      </c>
      <c r="C166">
        <v>1</v>
      </c>
      <c r="D166">
        <v>35.158999999999999</v>
      </c>
      <c r="E166">
        <v>51.286000000000001</v>
      </c>
      <c r="F166">
        <v>256</v>
      </c>
    </row>
    <row r="167" spans="1:6" x14ac:dyDescent="0.3">
      <c r="A167" t="s">
        <v>34</v>
      </c>
      <c r="B167">
        <v>96</v>
      </c>
      <c r="C167">
        <v>1</v>
      </c>
      <c r="D167">
        <v>35.151000000000003</v>
      </c>
      <c r="E167">
        <v>51.401000000000003</v>
      </c>
      <c r="F167">
        <v>271</v>
      </c>
    </row>
    <row r="168" spans="1:6" x14ac:dyDescent="0.3">
      <c r="A168" t="s">
        <v>34</v>
      </c>
      <c r="B168">
        <v>96</v>
      </c>
      <c r="C168">
        <v>1</v>
      </c>
      <c r="D168">
        <v>35.161999999999999</v>
      </c>
      <c r="E168">
        <v>51.37</v>
      </c>
      <c r="F168">
        <v>245</v>
      </c>
    </row>
    <row r="169" spans="1:6" x14ac:dyDescent="0.3">
      <c r="A169" t="s">
        <v>34</v>
      </c>
      <c r="B169">
        <v>96</v>
      </c>
      <c r="C169">
        <v>1</v>
      </c>
      <c r="D169">
        <v>35.194000000000003</v>
      </c>
      <c r="E169">
        <v>51.323999999999998</v>
      </c>
      <c r="F169">
        <v>276</v>
      </c>
    </row>
    <row r="170" spans="1:6" x14ac:dyDescent="0.3">
      <c r="A170" t="s">
        <v>34</v>
      </c>
      <c r="B170">
        <v>96</v>
      </c>
      <c r="C170">
        <v>1</v>
      </c>
      <c r="D170">
        <v>35.173000000000002</v>
      </c>
      <c r="E170">
        <v>51.408000000000001</v>
      </c>
      <c r="F170">
        <v>244</v>
      </c>
    </row>
    <row r="171" spans="1:6" x14ac:dyDescent="0.3">
      <c r="A171" t="s">
        <v>34</v>
      </c>
      <c r="B171">
        <v>224</v>
      </c>
      <c r="C171">
        <v>1</v>
      </c>
      <c r="D171">
        <v>71.938999999999993</v>
      </c>
      <c r="E171">
        <v>256.18700000000001</v>
      </c>
      <c r="F171">
        <v>227</v>
      </c>
    </row>
    <row r="172" spans="1:6" x14ac:dyDescent="0.3">
      <c r="A172" t="s">
        <v>34</v>
      </c>
      <c r="B172">
        <v>224</v>
      </c>
      <c r="C172">
        <v>1</v>
      </c>
      <c r="D172">
        <v>71.918000000000006</v>
      </c>
      <c r="E172">
        <v>255.85499999999999</v>
      </c>
      <c r="F172">
        <v>222</v>
      </c>
    </row>
    <row r="173" spans="1:6" x14ac:dyDescent="0.3">
      <c r="A173" t="s">
        <v>34</v>
      </c>
      <c r="B173">
        <v>224</v>
      </c>
      <c r="C173">
        <v>1</v>
      </c>
      <c r="D173">
        <v>71.923000000000002</v>
      </c>
      <c r="E173">
        <v>255.47900000000001</v>
      </c>
      <c r="F173">
        <v>225</v>
      </c>
    </row>
    <row r="174" spans="1:6" x14ac:dyDescent="0.3">
      <c r="A174" t="s">
        <v>34</v>
      </c>
      <c r="B174">
        <v>224</v>
      </c>
      <c r="C174">
        <v>1</v>
      </c>
      <c r="D174">
        <v>71.918999999999997</v>
      </c>
      <c r="E174">
        <v>256.03100000000001</v>
      </c>
      <c r="F174">
        <v>221</v>
      </c>
    </row>
    <row r="175" spans="1:6" x14ac:dyDescent="0.3">
      <c r="A175" t="s">
        <v>34</v>
      </c>
      <c r="B175">
        <v>224</v>
      </c>
      <c r="C175">
        <v>1</v>
      </c>
      <c r="D175">
        <v>71.918000000000006</v>
      </c>
      <c r="E175">
        <v>255.767</v>
      </c>
      <c r="F175">
        <v>223</v>
      </c>
    </row>
    <row r="176" spans="1:6" x14ac:dyDescent="0.3">
      <c r="A176" t="s">
        <v>34</v>
      </c>
      <c r="B176">
        <v>224</v>
      </c>
      <c r="C176">
        <v>1</v>
      </c>
      <c r="D176">
        <v>71.915000000000006</v>
      </c>
      <c r="E176">
        <v>256.01299999999998</v>
      </c>
      <c r="F176">
        <v>224</v>
      </c>
    </row>
    <row r="177" spans="1:6" x14ac:dyDescent="0.3">
      <c r="A177" t="s">
        <v>34</v>
      </c>
      <c r="B177">
        <v>224</v>
      </c>
      <c r="C177">
        <v>1</v>
      </c>
      <c r="D177">
        <v>71.926000000000002</v>
      </c>
      <c r="E177">
        <v>256.483</v>
      </c>
      <c r="F177">
        <v>219</v>
      </c>
    </row>
    <row r="178" spans="1:6" x14ac:dyDescent="0.3">
      <c r="A178" t="s">
        <v>34</v>
      </c>
      <c r="B178">
        <v>224</v>
      </c>
      <c r="C178">
        <v>1</v>
      </c>
      <c r="D178">
        <v>71.911000000000001</v>
      </c>
      <c r="E178">
        <v>256.05099999999999</v>
      </c>
      <c r="F178">
        <v>227</v>
      </c>
    </row>
    <row r="179" spans="1:6" x14ac:dyDescent="0.3">
      <c r="A179" t="s">
        <v>34</v>
      </c>
      <c r="B179">
        <v>224</v>
      </c>
      <c r="C179">
        <v>1</v>
      </c>
      <c r="D179">
        <v>71.918000000000006</v>
      </c>
      <c r="E179">
        <v>256.42700000000002</v>
      </c>
      <c r="F179">
        <v>219</v>
      </c>
    </row>
    <row r="180" spans="1:6" x14ac:dyDescent="0.3">
      <c r="A180" t="s">
        <v>34</v>
      </c>
      <c r="B180">
        <v>224</v>
      </c>
      <c r="C180">
        <v>1</v>
      </c>
      <c r="D180">
        <v>71.912000000000006</v>
      </c>
      <c r="E180">
        <v>256.38400000000001</v>
      </c>
      <c r="F180">
        <v>228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33203125"/>
    <col min="2" max="2" width="4.33203125"/>
    <col min="3" max="3" width="2.58203125"/>
    <col min="4" max="4" width="10.5" bestFit="1" customWidth="1"/>
    <col min="5" max="5" width="7.25"/>
    <col min="6" max="6" width="6.1640625" customWidth="1"/>
    <col min="7" max="7" width="2.5"/>
    <col min="8" max="8" width="10.58203125"/>
    <col min="9" max="9" width="4.33203125"/>
    <col min="10" max="10" width="3.33203125"/>
    <col min="11" max="11" width="2.5"/>
    <col min="12" max="21" width="9.5"/>
    <col min="22" max="22" width="2.25"/>
    <col min="23" max="23" width="9.5"/>
    <col min="24" max="24" width="2"/>
    <col min="25" max="25" width="9.5"/>
    <col min="26" max="26" width="2.33203125"/>
    <col min="27" max="27" width="2.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28.504000000000001</v>
      </c>
      <c r="E1">
        <v>5.282</v>
      </c>
      <c r="F1">
        <v>215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5.2750000000000004</v>
      </c>
      <c r="F2">
        <v>224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28.504000000000001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28.587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28.504000000000001</v>
      </c>
      <c r="W2" s="35">
        <f t="shared" ref="W2:W19" ca="1" si="10">AVERAGE(L2:U2)</f>
        <v>28.541699999999999</v>
      </c>
      <c r="Y2" s="35">
        <f ca="1">Total!E2</f>
        <v>28.504000000000001</v>
      </c>
      <c r="AB2" s="35">
        <f t="shared" ref="AB2:AB19" ca="1" si="11">(L2-$Y2)/$Y2</f>
        <v>0</v>
      </c>
      <c r="AC2" s="35">
        <f t="shared" ref="AC2:AC19" ca="1" si="12">(M2-$Y2)/$Y2</f>
        <v>1.4734774066796953E-3</v>
      </c>
      <c r="AD2" s="35">
        <f t="shared" ref="AD2:AD19" ca="1" si="13">(N2-$Y2)/$Y2</f>
        <v>2.9118720179623354E-3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1.4734774066796953E-3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1.4734774066796953E-3</v>
      </c>
      <c r="AK2" s="35">
        <f t="shared" ref="AK2:AK19" ca="1" si="20">(U2-$Y2)/$Y2</f>
        <v>0</v>
      </c>
      <c r="AM2" s="35">
        <f t="shared" ref="AM2:AM19" ca="1" si="21">SUM(AB2:AK2)</f>
        <v>1.3226213864720204E-2</v>
      </c>
    </row>
    <row r="3" spans="1:39" x14ac:dyDescent="0.3">
      <c r="A3" t="s">
        <v>17</v>
      </c>
      <c r="B3">
        <v>25</v>
      </c>
      <c r="C3">
        <v>1</v>
      </c>
      <c r="D3">
        <v>28.587</v>
      </c>
      <c r="E3">
        <v>5.2859999999999996</v>
      </c>
      <c r="F3">
        <v>247</v>
      </c>
      <c r="H3" s="35" t="s">
        <v>17</v>
      </c>
      <c r="I3" s="35">
        <v>50</v>
      </c>
      <c r="J3" s="35">
        <v>1</v>
      </c>
      <c r="L3" s="35">
        <f t="shared" ca="1" si="0"/>
        <v>52.957000000000001</v>
      </c>
      <c r="M3" s="35">
        <f t="shared" ca="1" si="1"/>
        <v>53.017000000000003</v>
      </c>
      <c r="N3" s="35">
        <f t="shared" ca="1" si="2"/>
        <v>53.036999999999999</v>
      </c>
      <c r="O3" s="35">
        <f t="shared" ca="1" si="3"/>
        <v>52.957000000000001</v>
      </c>
      <c r="P3" s="35">
        <f t="shared" ca="1" si="4"/>
        <v>53.097000000000001</v>
      </c>
      <c r="Q3" s="35">
        <f t="shared" ca="1" si="5"/>
        <v>52.99</v>
      </c>
      <c r="R3" s="35">
        <f t="shared" ca="1" si="6"/>
        <v>52.966000000000001</v>
      </c>
      <c r="S3" s="35">
        <f t="shared" ca="1" si="7"/>
        <v>52.994</v>
      </c>
      <c r="T3" s="35">
        <f t="shared" ca="1" si="8"/>
        <v>52.927999999999997</v>
      </c>
      <c r="U3" s="35">
        <f t="shared" ca="1" si="9"/>
        <v>52.972000000000001</v>
      </c>
      <c r="W3" s="35">
        <f t="shared" ca="1" si="10"/>
        <v>52.991499999999995</v>
      </c>
      <c r="Y3" s="35">
        <f ca="1">Total!E3</f>
        <v>52.927</v>
      </c>
      <c r="AB3" s="35">
        <f t="shared" ca="1" si="11"/>
        <v>5.6681844805111072E-4</v>
      </c>
      <c r="AC3" s="35">
        <f t="shared" ca="1" si="12"/>
        <v>1.7004553441533322E-3</v>
      </c>
      <c r="AD3" s="35">
        <f t="shared" ca="1" si="13"/>
        <v>2.0783343095206498E-3</v>
      </c>
      <c r="AE3" s="35">
        <f t="shared" ca="1" si="14"/>
        <v>5.6681844805111072E-4</v>
      </c>
      <c r="AF3" s="35">
        <f t="shared" ca="1" si="15"/>
        <v>3.2119712056228713E-3</v>
      </c>
      <c r="AG3" s="35">
        <f t="shared" ca="1" si="16"/>
        <v>1.1903187409073326E-3</v>
      </c>
      <c r="AH3" s="35">
        <f t="shared" ca="1" si="17"/>
        <v>7.3686398246644396E-4</v>
      </c>
      <c r="AI3" s="35">
        <f t="shared" ca="1" si="18"/>
        <v>1.2658945339807692E-3</v>
      </c>
      <c r="AJ3" s="35">
        <f t="shared" ca="1" si="19"/>
        <v>1.8893948268325608E-5</v>
      </c>
      <c r="AK3" s="35">
        <f t="shared" ca="1" si="20"/>
        <v>8.5022767207666608E-4</v>
      </c>
      <c r="AM3" s="35">
        <f t="shared" ca="1" si="21"/>
        <v>1.2186596633098613E-2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5.2809999999999997</v>
      </c>
      <c r="F4">
        <v>282</v>
      </c>
      <c r="H4" s="35" t="s">
        <v>17</v>
      </c>
      <c r="I4" s="35">
        <v>100</v>
      </c>
      <c r="J4" s="35">
        <v>1</v>
      </c>
      <c r="L4" s="35">
        <f t="shared" ca="1" si="0"/>
        <v>103.244</v>
      </c>
      <c r="M4" s="35">
        <f t="shared" ca="1" si="1"/>
        <v>103.298</v>
      </c>
      <c r="N4" s="35">
        <f t="shared" ca="1" si="2"/>
        <v>103.22499999999999</v>
      </c>
      <c r="O4" s="35">
        <f t="shared" ca="1" si="3"/>
        <v>103.233</v>
      </c>
      <c r="P4" s="35">
        <f t="shared" ca="1" si="4"/>
        <v>103.312</v>
      </c>
      <c r="Q4" s="35">
        <f t="shared" ca="1" si="5"/>
        <v>103.268</v>
      </c>
      <c r="R4" s="35">
        <f t="shared" ca="1" si="6"/>
        <v>103.251</v>
      </c>
      <c r="S4" s="35">
        <f t="shared" ca="1" si="7"/>
        <v>103.248</v>
      </c>
      <c r="T4" s="35">
        <f t="shared" ca="1" si="8"/>
        <v>103.27200000000001</v>
      </c>
      <c r="U4" s="35">
        <f t="shared" ca="1" si="9"/>
        <v>103.03700000000001</v>
      </c>
      <c r="W4" s="35">
        <f t="shared" ca="1" si="10"/>
        <v>103.23880000000001</v>
      </c>
      <c r="Y4" s="35">
        <f ca="1">Total!E4</f>
        <v>102.80200000000001</v>
      </c>
      <c r="AB4" s="35">
        <f t="shared" ca="1" si="11"/>
        <v>4.2995272465515561E-3</v>
      </c>
      <c r="AC4" s="35">
        <f t="shared" ca="1" si="12"/>
        <v>4.8248088558587874E-3</v>
      </c>
      <c r="AD4" s="35">
        <f t="shared" ca="1" si="13"/>
        <v>4.1147059395730389E-3</v>
      </c>
      <c r="AE4" s="35">
        <f t="shared" ca="1" si="14"/>
        <v>4.1925254372482765E-3</v>
      </c>
      <c r="AF4" s="35">
        <f t="shared" ca="1" si="15"/>
        <v>4.9609929767902459E-3</v>
      </c>
      <c r="AG4" s="35">
        <f t="shared" ca="1" si="16"/>
        <v>4.5329857395769923E-3</v>
      </c>
      <c r="AH4" s="35">
        <f t="shared" ca="1" si="17"/>
        <v>4.3676193070173539E-3</v>
      </c>
      <c r="AI4" s="35">
        <f t="shared" ca="1" si="18"/>
        <v>4.3384369953891749E-3</v>
      </c>
      <c r="AJ4" s="35">
        <f t="shared" ca="1" si="19"/>
        <v>4.5718954884146111E-3</v>
      </c>
      <c r="AK4" s="35">
        <f t="shared" ca="1" si="20"/>
        <v>2.2859477442073056E-3</v>
      </c>
      <c r="AM4" s="35">
        <f t="shared" ca="1" si="21"/>
        <v>4.2489445730627344E-2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5.2859999999999996</v>
      </c>
      <c r="F5">
        <v>213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5.2960000000000003</v>
      </c>
      <c r="F6">
        <v>188</v>
      </c>
      <c r="H6" s="35" t="s">
        <v>18</v>
      </c>
      <c r="I6" s="35">
        <v>50</v>
      </c>
      <c r="J6" s="35">
        <v>1</v>
      </c>
      <c r="L6" s="35">
        <f t="shared" ca="1" si="0"/>
        <v>180.87100000000001</v>
      </c>
      <c r="M6" s="35">
        <f t="shared" ca="1" si="1"/>
        <v>179.93799999999999</v>
      </c>
      <c r="N6" s="35">
        <f t="shared" ca="1" si="2"/>
        <v>179.93799999999999</v>
      </c>
      <c r="O6" s="35">
        <f t="shared" ca="1" si="3"/>
        <v>179.93799999999999</v>
      </c>
      <c r="P6" s="35">
        <f t="shared" ca="1" si="4"/>
        <v>179.93799999999999</v>
      </c>
      <c r="Q6" s="35">
        <f t="shared" ca="1" si="5"/>
        <v>181.89</v>
      </c>
      <c r="R6" s="35">
        <f t="shared" ca="1" si="6"/>
        <v>179.953</v>
      </c>
      <c r="S6" s="35">
        <f t="shared" ca="1" si="7"/>
        <v>179.93799999999999</v>
      </c>
      <c r="T6" s="35">
        <f t="shared" ca="1" si="8"/>
        <v>180.87100000000001</v>
      </c>
      <c r="U6" s="35">
        <f t="shared" ca="1" si="9"/>
        <v>181.59700000000001</v>
      </c>
      <c r="W6" s="35">
        <f t="shared" ca="1" si="10"/>
        <v>180.4872</v>
      </c>
      <c r="Y6" s="35">
        <f ca="1">Total!E6</f>
        <v>179.673</v>
      </c>
      <c r="AB6" s="35">
        <f t="shared" ca="1" si="11"/>
        <v>6.667668486639659E-3</v>
      </c>
      <c r="AC6" s="35">
        <f t="shared" ca="1" si="12"/>
        <v>1.4749016268442469E-3</v>
      </c>
      <c r="AD6" s="35">
        <f t="shared" ca="1" si="13"/>
        <v>1.4749016268442469E-3</v>
      </c>
      <c r="AE6" s="35">
        <f t="shared" ca="1" si="14"/>
        <v>1.4749016268442469E-3</v>
      </c>
      <c r="AF6" s="35">
        <f t="shared" ca="1" si="15"/>
        <v>1.4749016268442469E-3</v>
      </c>
      <c r="AG6" s="35">
        <f t="shared" ca="1" si="16"/>
        <v>1.2339082666844681E-2</v>
      </c>
      <c r="AH6" s="35">
        <f t="shared" ca="1" si="17"/>
        <v>1.5583866245902341E-3</v>
      </c>
      <c r="AI6" s="35">
        <f t="shared" ca="1" si="18"/>
        <v>1.4749016268442469E-3</v>
      </c>
      <c r="AJ6" s="35">
        <f t="shared" ca="1" si="19"/>
        <v>6.667668486639659E-3</v>
      </c>
      <c r="AK6" s="35">
        <f t="shared" ca="1" si="20"/>
        <v>1.0708342377541459E-2</v>
      </c>
      <c r="AM6" s="35">
        <f t="shared" ca="1" si="21"/>
        <v>4.5315656776476927E-2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5.2789999999999999</v>
      </c>
      <c r="F7">
        <v>196</v>
      </c>
      <c r="H7" s="35" t="s">
        <v>18</v>
      </c>
      <c r="I7" s="35">
        <v>100</v>
      </c>
      <c r="J7" s="35">
        <v>1</v>
      </c>
      <c r="L7" s="35">
        <f t="shared" ca="1" si="0"/>
        <v>239.197</v>
      </c>
      <c r="M7" s="35">
        <f t="shared" ca="1" si="1"/>
        <v>239.203</v>
      </c>
      <c r="N7" s="35">
        <f t="shared" ca="1" si="2"/>
        <v>239.267</v>
      </c>
      <c r="O7" s="35">
        <f t="shared" ca="1" si="3"/>
        <v>239.30799999999999</v>
      </c>
      <c r="P7" s="35">
        <f t="shared" ca="1" si="4"/>
        <v>239.16399999999999</v>
      </c>
      <c r="Q7" s="35">
        <f t="shared" ca="1" si="5"/>
        <v>239.274</v>
      </c>
      <c r="R7" s="35">
        <f t="shared" ca="1" si="6"/>
        <v>239.29499999999999</v>
      </c>
      <c r="S7" s="35">
        <f t="shared" ca="1" si="7"/>
        <v>239.227</v>
      </c>
      <c r="T7" s="35">
        <f t="shared" ca="1" si="8"/>
        <v>239.113</v>
      </c>
      <c r="U7" s="35">
        <f t="shared" ca="1" si="9"/>
        <v>239.19800000000001</v>
      </c>
      <c r="W7" s="35">
        <f t="shared" ca="1" si="10"/>
        <v>239.22460000000001</v>
      </c>
      <c r="Y7" s="35">
        <f ca="1">Total!E7</f>
        <v>238.86699999999999</v>
      </c>
      <c r="AB7" s="35">
        <f t="shared" ca="1" si="11"/>
        <v>1.3815219348005899E-3</v>
      </c>
      <c r="AC7" s="35">
        <f t="shared" ca="1" si="12"/>
        <v>1.406640515433328E-3</v>
      </c>
      <c r="AD7" s="35">
        <f t="shared" ca="1" si="13"/>
        <v>1.6745720421824936E-3</v>
      </c>
      <c r="AE7" s="35">
        <f t="shared" ca="1" si="14"/>
        <v>1.8462156765061833E-3</v>
      </c>
      <c r="AF7" s="35">
        <f t="shared" ca="1" si="15"/>
        <v>1.2433697413204714E-3</v>
      </c>
      <c r="AG7" s="35">
        <f t="shared" ca="1" si="16"/>
        <v>1.7038770529207079E-3</v>
      </c>
      <c r="AH7" s="35">
        <f t="shared" ca="1" si="17"/>
        <v>1.7917920851352313E-3</v>
      </c>
      <c r="AI7" s="35">
        <f t="shared" ca="1" si="18"/>
        <v>1.5071148379642799E-3</v>
      </c>
      <c r="AJ7" s="35">
        <f t="shared" ca="1" si="19"/>
        <v>1.029861805942258E-3</v>
      </c>
      <c r="AK7" s="35">
        <f t="shared" ca="1" si="20"/>
        <v>1.3857083649060661E-3</v>
      </c>
      <c r="AM7" s="35">
        <f t="shared" ca="1" si="21"/>
        <v>1.4970674057111609E-2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5.3029999999999999</v>
      </c>
      <c r="F8">
        <v>182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5.274</v>
      </c>
      <c r="F9">
        <v>221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4318.4880000000003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4314.0978000000005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1.130839366563183E-3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1.130839366563183E-3</v>
      </c>
    </row>
    <row r="10" spans="1:39" x14ac:dyDescent="0.3">
      <c r="A10" t="s">
        <v>17</v>
      </c>
      <c r="B10">
        <v>25</v>
      </c>
      <c r="C10">
        <v>1</v>
      </c>
      <c r="D10">
        <v>28.504000000000001</v>
      </c>
      <c r="E10">
        <v>5.2919999999999998</v>
      </c>
      <c r="F10">
        <v>201</v>
      </c>
      <c r="H10" s="35" t="s">
        <v>19</v>
      </c>
      <c r="I10" s="35">
        <v>100</v>
      </c>
      <c r="J10" s="35">
        <v>1</v>
      </c>
      <c r="L10" s="35">
        <f t="shared" ca="1" si="0"/>
        <v>35273.402999999998</v>
      </c>
      <c r="M10" s="35">
        <f t="shared" ca="1" si="1"/>
        <v>35272.953000000001</v>
      </c>
      <c r="N10" s="35">
        <f t="shared" ca="1" si="2"/>
        <v>35277.637000000002</v>
      </c>
      <c r="O10" s="35">
        <f t="shared" ca="1" si="3"/>
        <v>35272.862000000001</v>
      </c>
      <c r="P10" s="35">
        <f t="shared" ca="1" si="4"/>
        <v>35272.862000000001</v>
      </c>
      <c r="Q10" s="35">
        <f t="shared" ca="1" si="5"/>
        <v>35296.313000000002</v>
      </c>
      <c r="R10" s="35">
        <f t="shared" ca="1" si="6"/>
        <v>35230.813000000002</v>
      </c>
      <c r="S10" s="35">
        <f t="shared" ca="1" si="7"/>
        <v>35277.54</v>
      </c>
      <c r="T10" s="35">
        <f t="shared" ca="1" si="8"/>
        <v>35242.480000000003</v>
      </c>
      <c r="U10" s="35">
        <f t="shared" ca="1" si="9"/>
        <v>35218.305</v>
      </c>
      <c r="W10" s="35">
        <f t="shared" ca="1" si="10"/>
        <v>35263.516799999998</v>
      </c>
      <c r="Y10" s="35">
        <f ca="1">Total!E10</f>
        <v>35210.383000000002</v>
      </c>
      <c r="AB10" s="35">
        <f t="shared" ca="1" si="11"/>
        <v>1.7898129651130689E-3</v>
      </c>
      <c r="AC10" s="35">
        <f t="shared" ca="1" si="12"/>
        <v>1.7770326440357013E-3</v>
      </c>
      <c r="AD10" s="35">
        <f t="shared" ca="1" si="13"/>
        <v>1.9100615860952381E-3</v>
      </c>
      <c r="AE10" s="35">
        <f t="shared" ca="1" si="14"/>
        <v>1.7744481791066957E-3</v>
      </c>
      <c r="AF10" s="35">
        <f t="shared" ca="1" si="15"/>
        <v>1.7744481791066957E-3</v>
      </c>
      <c r="AG10" s="35">
        <f t="shared" ca="1" si="16"/>
        <v>2.4404733115229189E-3</v>
      </c>
      <c r="AH10" s="35">
        <f t="shared" ca="1" si="17"/>
        <v>5.8022657691625477E-4</v>
      </c>
      <c r="AI10" s="35">
        <f t="shared" ca="1" si="18"/>
        <v>1.9073067168851655E-3</v>
      </c>
      <c r="AJ10" s="35">
        <f t="shared" ca="1" si="19"/>
        <v>9.1157770138432096E-4</v>
      </c>
      <c r="AK10" s="35">
        <f t="shared" ca="1" si="20"/>
        <v>2.2499045239009928E-4</v>
      </c>
      <c r="AM10" s="35">
        <f t="shared" ca="1" si="21"/>
        <v>1.5090378312556158E-2</v>
      </c>
    </row>
    <row r="11" spans="1:39" x14ac:dyDescent="0.3">
      <c r="A11" t="s">
        <v>17</v>
      </c>
      <c r="B11">
        <v>50</v>
      </c>
      <c r="C11">
        <v>1</v>
      </c>
      <c r="D11">
        <v>52.957000000000001</v>
      </c>
      <c r="E11">
        <v>19.59</v>
      </c>
      <c r="F11">
        <v>263</v>
      </c>
      <c r="H11" s="35" t="s">
        <v>20</v>
      </c>
      <c r="I11" s="35">
        <v>30</v>
      </c>
      <c r="J11" s="35">
        <v>1</v>
      </c>
      <c r="L11" s="35">
        <f t="shared" ca="1" si="0"/>
        <v>658.23299999999995</v>
      </c>
      <c r="M11" s="35">
        <f t="shared" ca="1" si="1"/>
        <v>658.005</v>
      </c>
      <c r="N11" s="35">
        <f t="shared" ca="1" si="2"/>
        <v>658.23299999999995</v>
      </c>
      <c r="O11" s="35">
        <f t="shared" ca="1" si="3"/>
        <v>657.35599999999999</v>
      </c>
      <c r="P11" s="35">
        <f t="shared" ca="1" si="4"/>
        <v>658.23299999999995</v>
      </c>
      <c r="Q11" s="35">
        <f t="shared" ca="1" si="5"/>
        <v>657.35599999999999</v>
      </c>
      <c r="R11" s="35">
        <f t="shared" ca="1" si="6"/>
        <v>657.98</v>
      </c>
      <c r="S11" s="35">
        <f t="shared" ca="1" si="7"/>
        <v>657.35599999999999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657.74639999999977</v>
      </c>
      <c r="Y11" s="35">
        <f ca="1">Total!E11</f>
        <v>655.46500000000003</v>
      </c>
      <c r="AB11" s="35">
        <f t="shared" ca="1" si="11"/>
        <v>4.2229562219186613E-3</v>
      </c>
      <c r="AC11" s="35">
        <f t="shared" ca="1" si="12"/>
        <v>3.8751115620207998E-3</v>
      </c>
      <c r="AD11" s="35">
        <f t="shared" ca="1" si="13"/>
        <v>4.2229562219186613E-3</v>
      </c>
      <c r="AE11" s="35">
        <f t="shared" ca="1" si="14"/>
        <v>2.8849747888902728E-3</v>
      </c>
      <c r="AF11" s="35">
        <f t="shared" ca="1" si="15"/>
        <v>4.2229562219186613E-3</v>
      </c>
      <c r="AG11" s="35">
        <f t="shared" ca="1" si="16"/>
        <v>2.8849747888902728E-3</v>
      </c>
      <c r="AH11" s="35">
        <f t="shared" ca="1" si="17"/>
        <v>3.8369707001899207E-3</v>
      </c>
      <c r="AI11" s="35">
        <f t="shared" ca="1" si="18"/>
        <v>2.8849747888902728E-3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3.4805824872418067E-2</v>
      </c>
    </row>
    <row r="12" spans="1:39" x14ac:dyDescent="0.3">
      <c r="A12" t="s">
        <v>17</v>
      </c>
      <c r="B12">
        <v>50</v>
      </c>
      <c r="C12">
        <v>1</v>
      </c>
      <c r="D12">
        <v>53.017000000000003</v>
      </c>
      <c r="E12">
        <v>19.597999999999999</v>
      </c>
      <c r="F12">
        <v>256</v>
      </c>
      <c r="H12" s="35" t="s">
        <v>20</v>
      </c>
      <c r="I12" s="35">
        <v>50</v>
      </c>
      <c r="J12" s="35">
        <v>1</v>
      </c>
      <c r="L12" s="35">
        <f t="shared" ca="1" si="0"/>
        <v>992.69299999999998</v>
      </c>
      <c r="M12" s="35">
        <f t="shared" ca="1" si="1"/>
        <v>992.41800000000001</v>
      </c>
      <c r="N12" s="35">
        <f t="shared" ca="1" si="2"/>
        <v>995.65300000000002</v>
      </c>
      <c r="O12" s="35">
        <f t="shared" ca="1" si="3"/>
        <v>990.80600000000004</v>
      </c>
      <c r="P12" s="35">
        <f t="shared" ca="1" si="4"/>
        <v>992.15700000000004</v>
      </c>
      <c r="Q12" s="35">
        <f t="shared" ca="1" si="5"/>
        <v>995.846</v>
      </c>
      <c r="R12" s="35">
        <f t="shared" ca="1" si="6"/>
        <v>996.00099999999998</v>
      </c>
      <c r="S12" s="35">
        <f t="shared" ca="1" si="7"/>
        <v>994.55499999999995</v>
      </c>
      <c r="T12" s="35">
        <f t="shared" ca="1" si="8"/>
        <v>997.69500000000005</v>
      </c>
      <c r="U12" s="35">
        <f t="shared" ca="1" si="9"/>
        <v>991.03399999999999</v>
      </c>
      <c r="W12" s="35">
        <f t="shared" ca="1" si="10"/>
        <v>993.88580000000002</v>
      </c>
      <c r="Y12" s="35">
        <f ca="1">Total!E12</f>
        <v>990.096</v>
      </c>
      <c r="AB12" s="35">
        <f t="shared" ca="1" si="11"/>
        <v>2.6229779738530202E-3</v>
      </c>
      <c r="AC12" s="35">
        <f t="shared" ca="1" si="12"/>
        <v>2.3452271294904766E-3</v>
      </c>
      <c r="AD12" s="35">
        <f t="shared" ca="1" si="13"/>
        <v>5.6125870622646861E-3</v>
      </c>
      <c r="AE12" s="35">
        <f t="shared" ca="1" si="14"/>
        <v>7.1710217999066393E-4</v>
      </c>
      <c r="AF12" s="35">
        <f t="shared" ca="1" si="15"/>
        <v>2.0816163281136735E-3</v>
      </c>
      <c r="AG12" s="35">
        <f t="shared" ca="1" si="16"/>
        <v>5.8075176548536703E-3</v>
      </c>
      <c r="AH12" s="35">
        <f t="shared" ca="1" si="17"/>
        <v>5.9640681307670902E-3</v>
      </c>
      <c r="AI12" s="35">
        <f t="shared" ca="1" si="18"/>
        <v>4.5036036909551665E-3</v>
      </c>
      <c r="AJ12" s="35">
        <f t="shared" ca="1" si="19"/>
        <v>7.6750133320405761E-3</v>
      </c>
      <c r="AK12" s="35">
        <f t="shared" ca="1" si="20"/>
        <v>9.473828800439434E-4</v>
      </c>
      <c r="AM12" s="35">
        <f t="shared" ca="1" si="21"/>
        <v>3.8277096362372968E-2</v>
      </c>
    </row>
    <row r="13" spans="1:39" x14ac:dyDescent="0.3">
      <c r="A13" t="s">
        <v>17</v>
      </c>
      <c r="B13">
        <v>50</v>
      </c>
      <c r="C13">
        <v>1</v>
      </c>
      <c r="D13">
        <v>53.036999999999999</v>
      </c>
      <c r="E13">
        <v>19.622</v>
      </c>
      <c r="F13">
        <v>264</v>
      </c>
      <c r="H13" s="35" t="s">
        <v>20</v>
      </c>
      <c r="I13" s="35">
        <v>100</v>
      </c>
      <c r="J13" s="35">
        <v>1</v>
      </c>
      <c r="L13" s="35">
        <f t="shared" ca="1" si="0"/>
        <v>1754.471</v>
      </c>
      <c r="M13" s="35">
        <f t="shared" ca="1" si="1"/>
        <v>1760.9929999999999</v>
      </c>
      <c r="N13" s="35">
        <f t="shared" ca="1" si="2"/>
        <v>1757.3510000000001</v>
      </c>
      <c r="O13" s="35">
        <f t="shared" ca="1" si="3"/>
        <v>1757.61</v>
      </c>
      <c r="P13" s="35">
        <f t="shared" ca="1" si="4"/>
        <v>1755.57</v>
      </c>
      <c r="Q13" s="35">
        <f t="shared" ca="1" si="5"/>
        <v>1756.229</v>
      </c>
      <c r="R13" s="35">
        <f t="shared" ca="1" si="6"/>
        <v>1757.3340000000001</v>
      </c>
      <c r="S13" s="35">
        <f t="shared" ca="1" si="7"/>
        <v>1754.5139999999999</v>
      </c>
      <c r="T13" s="35">
        <f t="shared" ca="1" si="8"/>
        <v>1760.12</v>
      </c>
      <c r="U13" s="35">
        <f t="shared" ca="1" si="9"/>
        <v>1755.662</v>
      </c>
      <c r="W13" s="35">
        <f t="shared" ca="1" si="10"/>
        <v>1756.9854</v>
      </c>
      <c r="Y13" s="35">
        <f ca="1">Total!E13</f>
        <v>1753.79</v>
      </c>
      <c r="AB13" s="35">
        <f t="shared" ca="1" si="11"/>
        <v>3.8830190615754453E-4</v>
      </c>
      <c r="AC13" s="35">
        <f t="shared" ca="1" si="12"/>
        <v>4.1071051836308646E-3</v>
      </c>
      <c r="AD13" s="35">
        <f t="shared" ca="1" si="13"/>
        <v>2.0304597471762008E-3</v>
      </c>
      <c r="AE13" s="35">
        <f t="shared" ca="1" si="14"/>
        <v>2.1781399141287934E-3</v>
      </c>
      <c r="AF13" s="35">
        <f t="shared" ca="1" si="15"/>
        <v>1.0149447767406432E-3</v>
      </c>
      <c r="AG13" s="35">
        <f t="shared" ca="1" si="16"/>
        <v>1.3907024216126664E-3</v>
      </c>
      <c r="AH13" s="35">
        <f t="shared" ca="1" si="17"/>
        <v>2.0207664543646026E-3</v>
      </c>
      <c r="AI13" s="35">
        <f t="shared" ca="1" si="18"/>
        <v>4.1282023503380264E-4</v>
      </c>
      <c r="AJ13" s="35">
        <f t="shared" ca="1" si="19"/>
        <v>3.6093260880720765E-3</v>
      </c>
      <c r="AK13" s="35">
        <f t="shared" ca="1" si="20"/>
        <v>1.0674025966621267E-3</v>
      </c>
      <c r="AM13" s="35">
        <f t="shared" ca="1" si="21"/>
        <v>1.8219969323579322E-2</v>
      </c>
    </row>
    <row r="14" spans="1:39" x14ac:dyDescent="0.3">
      <c r="A14" t="s">
        <v>17</v>
      </c>
      <c r="B14">
        <v>50</v>
      </c>
      <c r="C14">
        <v>1</v>
      </c>
      <c r="D14">
        <v>52.957000000000001</v>
      </c>
      <c r="E14">
        <v>19.584</v>
      </c>
      <c r="F14">
        <v>261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53.097000000000001</v>
      </c>
      <c r="E15">
        <v>19.581</v>
      </c>
      <c r="F15">
        <v>290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76.405000000000001</v>
      </c>
      <c r="M15" s="35">
        <f t="shared" ca="1" si="1"/>
        <v>76.233000000000004</v>
      </c>
      <c r="N15" s="35">
        <f t="shared" ca="1" si="1"/>
        <v>76.05</v>
      </c>
      <c r="O15" s="35">
        <f t="shared" ca="1" si="1"/>
        <v>76.382000000000005</v>
      </c>
      <c r="P15" s="35">
        <f t="shared" ca="1" si="1"/>
        <v>76.682000000000002</v>
      </c>
      <c r="Q15" s="35">
        <f t="shared" ca="1" si="1"/>
        <v>76.622</v>
      </c>
      <c r="R15" s="35">
        <f t="shared" ca="1" si="1"/>
        <v>76.159000000000006</v>
      </c>
      <c r="S15" s="35">
        <f t="shared" ca="1" si="1"/>
        <v>76</v>
      </c>
      <c r="T15" s="35">
        <f t="shared" ca="1" si="1"/>
        <v>76.399000000000001</v>
      </c>
      <c r="U15" s="35">
        <f t="shared" ca="1" si="1"/>
        <v>76.427000000000007</v>
      </c>
      <c r="W15" s="35">
        <f t="shared" ca="1" si="10"/>
        <v>76.335900000000009</v>
      </c>
      <c r="Y15" s="35">
        <f ca="1">Total!E15</f>
        <v>75.998000000000005</v>
      </c>
      <c r="AB15" s="35">
        <f t="shared" ca="1" si="11"/>
        <v>5.3554040895812585E-3</v>
      </c>
      <c r="AC15" s="35">
        <f t="shared" ca="1" si="12"/>
        <v>3.0921866364904261E-3</v>
      </c>
      <c r="AD15" s="35">
        <f t="shared" ca="1" si="13"/>
        <v>6.8422853232969936E-4</v>
      </c>
      <c r="AE15" s="35">
        <f t="shared" ca="1" si="14"/>
        <v>5.0527645464354363E-3</v>
      </c>
      <c r="AF15" s="35">
        <f t="shared" ca="1" si="15"/>
        <v>9.0002368483380803E-3</v>
      </c>
      <c r="AG15" s="35">
        <f t="shared" ca="1" si="16"/>
        <v>8.2107423879575151E-3</v>
      </c>
      <c r="AH15" s="35">
        <f t="shared" ca="1" si="17"/>
        <v>2.1184768020211238E-3</v>
      </c>
      <c r="AI15" s="35">
        <f t="shared" ca="1" si="18"/>
        <v>2.6316482012623209E-5</v>
      </c>
      <c r="AJ15" s="35">
        <f t="shared" ca="1" si="19"/>
        <v>5.2764546435432012E-3</v>
      </c>
      <c r="AK15" s="35">
        <f t="shared" ca="1" si="20"/>
        <v>5.6448853917208611E-3</v>
      </c>
      <c r="AM15" s="35">
        <f t="shared" ca="1" si="21"/>
        <v>4.4461696360430229E-2</v>
      </c>
    </row>
    <row r="16" spans="1:39" x14ac:dyDescent="0.3">
      <c r="A16" t="s">
        <v>17</v>
      </c>
      <c r="B16">
        <v>50</v>
      </c>
      <c r="C16">
        <v>1</v>
      </c>
      <c r="D16">
        <v>52.99</v>
      </c>
      <c r="E16">
        <v>19.553999999999998</v>
      </c>
      <c r="F16">
        <v>353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119.152</v>
      </c>
      <c r="M16" s="35">
        <f t="shared" ca="1" si="1"/>
        <v>119.015</v>
      </c>
      <c r="N16" s="35">
        <f t="shared" ca="1" si="1"/>
        <v>118.77500000000001</v>
      </c>
      <c r="O16" s="35">
        <f t="shared" ca="1" si="1"/>
        <v>118.486</v>
      </c>
      <c r="P16" s="35">
        <f t="shared" ca="1" si="1"/>
        <v>118.672</v>
      </c>
      <c r="Q16" s="35">
        <f t="shared" ca="1" si="1"/>
        <v>118.676</v>
      </c>
      <c r="R16" s="35">
        <f t="shared" ca="1" si="1"/>
        <v>118.849</v>
      </c>
      <c r="S16" s="35">
        <f t="shared" ca="1" si="1"/>
        <v>119.26600000000001</v>
      </c>
      <c r="T16" s="35">
        <f t="shared" ca="1" si="1"/>
        <v>118.462</v>
      </c>
      <c r="U16" s="35">
        <f t="shared" ca="1" si="1"/>
        <v>119.18300000000001</v>
      </c>
      <c r="W16" s="35">
        <f t="shared" ca="1" si="10"/>
        <v>118.8536</v>
      </c>
      <c r="Y16" s="35">
        <f ca="1">Total!E16</f>
        <v>118.01</v>
      </c>
      <c r="AB16" s="35">
        <f t="shared" ca="1" si="11"/>
        <v>9.6771460045758477E-3</v>
      </c>
      <c r="AC16" s="35">
        <f t="shared" ca="1" si="12"/>
        <v>8.5162274383526436E-3</v>
      </c>
      <c r="AD16" s="35">
        <f t="shared" ca="1" si="13"/>
        <v>6.4825014829251806E-3</v>
      </c>
      <c r="AE16" s="35">
        <f t="shared" ca="1" si="14"/>
        <v>4.0335564782645458E-3</v>
      </c>
      <c r="AF16" s="35">
        <f t="shared" ca="1" si="15"/>
        <v>5.6096940937208021E-3</v>
      </c>
      <c r="AG16" s="35">
        <f t="shared" ca="1" si="16"/>
        <v>5.6435895263113019E-3</v>
      </c>
      <c r="AH16" s="35">
        <f t="shared" ca="1" si="17"/>
        <v>7.1095669858486452E-3</v>
      </c>
      <c r="AI16" s="35">
        <f t="shared" ca="1" si="18"/>
        <v>1.064316583340395E-2</v>
      </c>
      <c r="AJ16" s="35">
        <f t="shared" ca="1" si="19"/>
        <v>3.8301838827217876E-3</v>
      </c>
      <c r="AK16" s="35">
        <f t="shared" ca="1" si="20"/>
        <v>9.9398356071519513E-3</v>
      </c>
      <c r="AM16" s="35">
        <f t="shared" ca="1" si="21"/>
        <v>7.1485467333276653E-2</v>
      </c>
    </row>
    <row r="17" spans="1:39" x14ac:dyDescent="0.3">
      <c r="A17" t="s">
        <v>17</v>
      </c>
      <c r="B17">
        <v>50</v>
      </c>
      <c r="C17">
        <v>1</v>
      </c>
      <c r="D17">
        <v>52.966000000000001</v>
      </c>
      <c r="E17">
        <v>19.568000000000001</v>
      </c>
      <c r="F17">
        <v>363</v>
      </c>
      <c r="H17" s="35" t="s">
        <v>34</v>
      </c>
      <c r="I17" s="35">
        <v>40</v>
      </c>
      <c r="J17" s="35">
        <v>1</v>
      </c>
      <c r="L17" s="35">
        <f t="shared" ca="1" si="22"/>
        <v>16.75</v>
      </c>
      <c r="M17" s="35">
        <f t="shared" ca="1" si="1"/>
        <v>16.733000000000001</v>
      </c>
      <c r="N17" s="35">
        <f t="shared" ca="1" si="1"/>
        <v>16.823</v>
      </c>
      <c r="O17" s="35">
        <f t="shared" ca="1" si="1"/>
        <v>16.608000000000001</v>
      </c>
      <c r="P17" s="35">
        <f t="shared" ca="1" si="1"/>
        <v>16.641999999999999</v>
      </c>
      <c r="Q17" s="35">
        <f t="shared" ca="1" si="1"/>
        <v>16.574000000000002</v>
      </c>
      <c r="R17" s="35">
        <f t="shared" ca="1" si="1"/>
        <v>16.616</v>
      </c>
      <c r="S17" s="35">
        <f t="shared" ca="1" si="1"/>
        <v>16.641999999999999</v>
      </c>
      <c r="T17" s="35">
        <f t="shared" ca="1" si="1"/>
        <v>16.632999999999999</v>
      </c>
      <c r="U17" s="35">
        <f t="shared" ca="1" si="1"/>
        <v>16.75</v>
      </c>
      <c r="W17" s="35">
        <f t="shared" ca="1" si="10"/>
        <v>16.677100000000003</v>
      </c>
      <c r="Y17" s="35">
        <f ca="1">Total!E17</f>
        <v>16.481999999999999</v>
      </c>
      <c r="AB17" s="35">
        <f t="shared" ca="1" si="11"/>
        <v>1.626016260162606E-2</v>
      </c>
      <c r="AC17" s="35">
        <f t="shared" ca="1" si="12"/>
        <v>1.5228734376896083E-2</v>
      </c>
      <c r="AD17" s="35">
        <f t="shared" ca="1" si="13"/>
        <v>2.0689236743113765E-2</v>
      </c>
      <c r="AE17" s="35">
        <f t="shared" ca="1" si="14"/>
        <v>7.644703312704843E-3</v>
      </c>
      <c r="AF17" s="35">
        <f t="shared" ca="1" si="15"/>
        <v>9.7075597621647941E-3</v>
      </c>
      <c r="AG17" s="35">
        <f t="shared" ca="1" si="16"/>
        <v>5.5818468632448919E-3</v>
      </c>
      <c r="AH17" s="35">
        <f t="shared" ca="1" si="17"/>
        <v>8.1300813008130298E-3</v>
      </c>
      <c r="AI17" s="35">
        <f t="shared" ca="1" si="18"/>
        <v>9.7075597621647941E-3</v>
      </c>
      <c r="AJ17" s="35">
        <f t="shared" ca="1" si="19"/>
        <v>9.1615095255430049E-3</v>
      </c>
      <c r="AK17" s="35">
        <f t="shared" ca="1" si="20"/>
        <v>1.626016260162606E-2</v>
      </c>
      <c r="AM17" s="35">
        <f t="shared" ca="1" si="21"/>
        <v>0.11837155684989734</v>
      </c>
    </row>
    <row r="18" spans="1:39" x14ac:dyDescent="0.3">
      <c r="A18" t="s">
        <v>17</v>
      </c>
      <c r="B18">
        <v>50</v>
      </c>
      <c r="C18">
        <v>1</v>
      </c>
      <c r="D18">
        <v>52.994</v>
      </c>
      <c r="E18">
        <v>19.581</v>
      </c>
      <c r="F18">
        <v>307</v>
      </c>
      <c r="H18" s="35" t="s">
        <v>34</v>
      </c>
      <c r="I18" s="35">
        <v>96</v>
      </c>
      <c r="J18" s="35">
        <v>1</v>
      </c>
      <c r="L18" s="35">
        <f t="shared" ca="1" si="22"/>
        <v>35.18</v>
      </c>
      <c r="M18" s="35">
        <f t="shared" ca="1" si="22"/>
        <v>35.103999999999999</v>
      </c>
      <c r="N18" s="35">
        <f t="shared" ca="1" si="22"/>
        <v>35.170999999999999</v>
      </c>
      <c r="O18" s="35">
        <f t="shared" ca="1" si="22"/>
        <v>35.136000000000003</v>
      </c>
      <c r="P18" s="35">
        <f t="shared" ca="1" si="22"/>
        <v>35.179000000000002</v>
      </c>
      <c r="Q18" s="35">
        <f t="shared" ca="1" si="22"/>
        <v>35.21</v>
      </c>
      <c r="R18" s="35">
        <f t="shared" ca="1" si="22"/>
        <v>35.146000000000001</v>
      </c>
      <c r="S18" s="35">
        <f t="shared" ca="1" si="22"/>
        <v>35.134</v>
      </c>
      <c r="T18" s="35">
        <f t="shared" ca="1" si="22"/>
        <v>35.177999999999997</v>
      </c>
      <c r="U18" s="35">
        <f t="shared" ca="1" si="22"/>
        <v>35.119999999999997</v>
      </c>
      <c r="W18" s="35">
        <f t="shared" ca="1" si="10"/>
        <v>35.155799999999999</v>
      </c>
      <c r="Y18" s="35">
        <f ca="1">Total!E18</f>
        <v>35.069000000000003</v>
      </c>
      <c r="AB18" s="35">
        <f t="shared" ca="1" si="11"/>
        <v>3.1651886281330263E-3</v>
      </c>
      <c r="AC18" s="35">
        <f t="shared" ca="1" si="12"/>
        <v>9.9803245031214417E-4</v>
      </c>
      <c r="AD18" s="35">
        <f t="shared" ca="1" si="13"/>
        <v>2.9085517123384401E-3</v>
      </c>
      <c r="AE18" s="35">
        <f t="shared" ca="1" si="14"/>
        <v>1.9105192620262957E-3</v>
      </c>
      <c r="AF18" s="35">
        <f t="shared" ca="1" si="15"/>
        <v>3.1366734152670286E-3</v>
      </c>
      <c r="AG18" s="35">
        <f t="shared" ca="1" si="16"/>
        <v>4.0206450141149798E-3</v>
      </c>
      <c r="AH18" s="35">
        <f t="shared" ca="1" si="17"/>
        <v>2.1956713906868793E-3</v>
      </c>
      <c r="AI18" s="35">
        <f t="shared" ca="1" si="18"/>
        <v>1.8534888362940979E-3</v>
      </c>
      <c r="AJ18" s="35">
        <f t="shared" ca="1" si="19"/>
        <v>3.1081582024008285E-3</v>
      </c>
      <c r="AK18" s="35">
        <f t="shared" ca="1" si="20"/>
        <v>1.4542758561691188E-3</v>
      </c>
      <c r="AM18" s="35">
        <f t="shared" ca="1" si="21"/>
        <v>2.475120476774284E-2</v>
      </c>
    </row>
    <row r="19" spans="1:39" x14ac:dyDescent="0.3">
      <c r="A19" t="s">
        <v>17</v>
      </c>
      <c r="B19">
        <v>50</v>
      </c>
      <c r="C19">
        <v>1</v>
      </c>
      <c r="D19">
        <v>52.927999999999997</v>
      </c>
      <c r="E19">
        <v>19.568999999999999</v>
      </c>
      <c r="F19">
        <v>259</v>
      </c>
      <c r="H19" s="35" t="s">
        <v>34</v>
      </c>
      <c r="I19" s="35">
        <v>224</v>
      </c>
      <c r="J19" s="35">
        <v>1</v>
      </c>
      <c r="L19" s="35">
        <f t="shared" ca="1" si="22"/>
        <v>71.983999999999995</v>
      </c>
      <c r="M19" s="35">
        <f t="shared" ca="1" si="22"/>
        <v>71.975999999999999</v>
      </c>
      <c r="N19" s="35">
        <f t="shared" ca="1" si="22"/>
        <v>71.915000000000006</v>
      </c>
      <c r="O19" s="35">
        <f t="shared" ca="1" si="22"/>
        <v>71.998000000000005</v>
      </c>
      <c r="P19" s="35">
        <f t="shared" ca="1" si="22"/>
        <v>71.924000000000007</v>
      </c>
      <c r="Q19" s="35">
        <f t="shared" ca="1" si="22"/>
        <v>71.942999999999998</v>
      </c>
      <c r="R19" s="35">
        <f t="shared" ca="1" si="22"/>
        <v>71.927000000000007</v>
      </c>
      <c r="S19" s="35">
        <f t="shared" ca="1" si="22"/>
        <v>71.924000000000007</v>
      </c>
      <c r="T19" s="35">
        <f t="shared" ca="1" si="22"/>
        <v>71.933999999999997</v>
      </c>
      <c r="U19" s="35">
        <f t="shared" ca="1" si="22"/>
        <v>71.912000000000006</v>
      </c>
      <c r="W19" s="35">
        <f t="shared" ca="1" si="10"/>
        <v>71.943700000000007</v>
      </c>
      <c r="Y19" s="35">
        <f ca="1">Total!E19</f>
        <v>71.908000000000001</v>
      </c>
      <c r="AB19" s="35">
        <f t="shared" ca="1" si="11"/>
        <v>1.0569060466150276E-3</v>
      </c>
      <c r="AC19" s="35">
        <f t="shared" ca="1" si="12"/>
        <v>9.4565277855033982E-4</v>
      </c>
      <c r="AD19" s="35">
        <f t="shared" ca="1" si="13"/>
        <v>9.7346609556725285E-5</v>
      </c>
      <c r="AE19" s="35">
        <f t="shared" ca="1" si="14"/>
        <v>1.2515992657284782E-3</v>
      </c>
      <c r="AF19" s="35">
        <f t="shared" ca="1" si="15"/>
        <v>2.2250653612957311E-4</v>
      </c>
      <c r="AG19" s="35">
        <f t="shared" ca="1" si="16"/>
        <v>4.8673304778323119E-4</v>
      </c>
      <c r="AH19" s="35">
        <f t="shared" ca="1" si="17"/>
        <v>2.6422651165385573E-4</v>
      </c>
      <c r="AI19" s="35">
        <f t="shared" ca="1" si="18"/>
        <v>2.2250653612957311E-4</v>
      </c>
      <c r="AJ19" s="35">
        <f t="shared" ca="1" si="19"/>
        <v>3.6157312121038338E-4</v>
      </c>
      <c r="AK19" s="35">
        <f t="shared" ca="1" si="20"/>
        <v>5.5626634032442683E-5</v>
      </c>
      <c r="AM19" s="35">
        <f t="shared" ca="1" si="21"/>
        <v>4.9646770873896292E-3</v>
      </c>
    </row>
    <row r="20" spans="1:39" x14ac:dyDescent="0.3">
      <c r="A20" t="s">
        <v>17</v>
      </c>
      <c r="B20">
        <v>50</v>
      </c>
      <c r="C20">
        <v>1</v>
      </c>
      <c r="D20">
        <v>52.972000000000001</v>
      </c>
      <c r="E20">
        <v>19.597000000000001</v>
      </c>
      <c r="F20">
        <v>257</v>
      </c>
    </row>
    <row r="21" spans="1:39" x14ac:dyDescent="0.3">
      <c r="A21" t="s">
        <v>17</v>
      </c>
      <c r="B21">
        <v>100</v>
      </c>
      <c r="C21">
        <v>1</v>
      </c>
      <c r="D21">
        <v>103.244</v>
      </c>
      <c r="E21">
        <v>102.024</v>
      </c>
      <c r="F21">
        <v>473</v>
      </c>
    </row>
    <row r="22" spans="1:39" x14ac:dyDescent="0.3">
      <c r="A22" t="s">
        <v>17</v>
      </c>
      <c r="B22">
        <v>100</v>
      </c>
      <c r="C22">
        <v>1</v>
      </c>
      <c r="D22">
        <v>103.298</v>
      </c>
      <c r="E22">
        <v>102.136</v>
      </c>
      <c r="F22">
        <v>467</v>
      </c>
    </row>
    <row r="23" spans="1:39" x14ac:dyDescent="0.3">
      <c r="A23" t="s">
        <v>17</v>
      </c>
      <c r="B23">
        <v>100</v>
      </c>
      <c r="C23">
        <v>1</v>
      </c>
      <c r="D23">
        <v>103.22499999999999</v>
      </c>
      <c r="E23">
        <v>102.05500000000001</v>
      </c>
      <c r="F23">
        <v>416</v>
      </c>
    </row>
    <row r="24" spans="1:39" x14ac:dyDescent="0.3">
      <c r="A24" t="s">
        <v>17</v>
      </c>
      <c r="B24">
        <v>100</v>
      </c>
      <c r="C24">
        <v>1</v>
      </c>
      <c r="D24">
        <v>103.233</v>
      </c>
      <c r="E24">
        <v>102.069</v>
      </c>
      <c r="F24">
        <v>415</v>
      </c>
    </row>
    <row r="25" spans="1:39" x14ac:dyDescent="0.3">
      <c r="A25" t="s">
        <v>17</v>
      </c>
      <c r="B25">
        <v>100</v>
      </c>
      <c r="C25">
        <v>1</v>
      </c>
      <c r="D25">
        <v>103.312</v>
      </c>
      <c r="E25">
        <v>102.18899999999999</v>
      </c>
      <c r="F25">
        <v>422</v>
      </c>
    </row>
    <row r="26" spans="1:39" x14ac:dyDescent="0.3">
      <c r="A26" t="s">
        <v>17</v>
      </c>
      <c r="B26">
        <v>100</v>
      </c>
      <c r="C26">
        <v>1</v>
      </c>
      <c r="D26">
        <v>103.268</v>
      </c>
      <c r="E26">
        <v>102.10299999999999</v>
      </c>
      <c r="F26">
        <v>405</v>
      </c>
    </row>
    <row r="27" spans="1:39" x14ac:dyDescent="0.3">
      <c r="A27" t="s">
        <v>17</v>
      </c>
      <c r="B27">
        <v>100</v>
      </c>
      <c r="C27">
        <v>1</v>
      </c>
      <c r="D27">
        <v>103.251</v>
      </c>
      <c r="E27">
        <v>102.154</v>
      </c>
      <c r="F27">
        <v>417</v>
      </c>
    </row>
    <row r="28" spans="1:39" x14ac:dyDescent="0.3">
      <c r="A28" t="s">
        <v>17</v>
      </c>
      <c r="B28">
        <v>100</v>
      </c>
      <c r="C28">
        <v>1</v>
      </c>
      <c r="D28">
        <v>103.248</v>
      </c>
      <c r="E28">
        <v>102.074</v>
      </c>
      <c r="F28">
        <v>411</v>
      </c>
    </row>
    <row r="29" spans="1:39" x14ac:dyDescent="0.3">
      <c r="A29" t="s">
        <v>17</v>
      </c>
      <c r="B29">
        <v>100</v>
      </c>
      <c r="C29">
        <v>1</v>
      </c>
      <c r="D29">
        <v>103.27200000000001</v>
      </c>
      <c r="E29">
        <v>102.07299999999999</v>
      </c>
      <c r="F29">
        <v>472</v>
      </c>
    </row>
    <row r="30" spans="1:39" x14ac:dyDescent="0.3">
      <c r="A30" t="s">
        <v>17</v>
      </c>
      <c r="B30">
        <v>100</v>
      </c>
      <c r="C30">
        <v>1</v>
      </c>
      <c r="D30">
        <v>103.03700000000001</v>
      </c>
      <c r="E30">
        <v>102.14</v>
      </c>
      <c r="F30">
        <v>484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</v>
      </c>
      <c r="F31">
        <v>205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</v>
      </c>
      <c r="F32">
        <v>253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</v>
      </c>
      <c r="F33">
        <v>222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8.0120000000000005</v>
      </c>
      <c r="F34">
        <v>234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8.0210000000000008</v>
      </c>
      <c r="F35">
        <v>226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7.9989999999999997</v>
      </c>
      <c r="F36">
        <v>245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8.016</v>
      </c>
      <c r="F37">
        <v>226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8.0299999999999994</v>
      </c>
      <c r="F38">
        <v>232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8.0329999999999995</v>
      </c>
      <c r="F39">
        <v>196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8.0180000000000007</v>
      </c>
      <c r="F40">
        <v>230</v>
      </c>
    </row>
    <row r="41" spans="1:6" x14ac:dyDescent="0.3">
      <c r="A41" t="s">
        <v>18</v>
      </c>
      <c r="B41">
        <v>50</v>
      </c>
      <c r="C41">
        <v>1</v>
      </c>
      <c r="D41">
        <v>180.87100000000001</v>
      </c>
      <c r="E41">
        <v>22.428000000000001</v>
      </c>
      <c r="F41">
        <v>268</v>
      </c>
    </row>
    <row r="42" spans="1:6" x14ac:dyDescent="0.3">
      <c r="A42" t="s">
        <v>18</v>
      </c>
      <c r="B42">
        <v>50</v>
      </c>
      <c r="C42">
        <v>1</v>
      </c>
      <c r="D42">
        <v>179.93799999999999</v>
      </c>
      <c r="E42">
        <v>22.466999999999999</v>
      </c>
      <c r="F42">
        <v>264</v>
      </c>
    </row>
    <row r="43" spans="1:6" x14ac:dyDescent="0.3">
      <c r="A43" t="s">
        <v>18</v>
      </c>
      <c r="B43">
        <v>50</v>
      </c>
      <c r="C43">
        <v>1</v>
      </c>
      <c r="D43">
        <v>179.93799999999999</v>
      </c>
      <c r="E43">
        <v>22.443000000000001</v>
      </c>
      <c r="F43">
        <v>268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22.428000000000001</v>
      </c>
      <c r="F44">
        <v>268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22.442</v>
      </c>
      <c r="F45">
        <v>268</v>
      </c>
    </row>
    <row r="46" spans="1:6" x14ac:dyDescent="0.3">
      <c r="A46" t="s">
        <v>18</v>
      </c>
      <c r="B46">
        <v>50</v>
      </c>
      <c r="C46">
        <v>1</v>
      </c>
      <c r="D46">
        <v>181.89</v>
      </c>
      <c r="E46">
        <v>22.411000000000001</v>
      </c>
      <c r="F46">
        <v>267</v>
      </c>
    </row>
    <row r="47" spans="1:6" x14ac:dyDescent="0.3">
      <c r="A47" t="s">
        <v>18</v>
      </c>
      <c r="B47">
        <v>50</v>
      </c>
      <c r="C47">
        <v>1</v>
      </c>
      <c r="D47">
        <v>179.953</v>
      </c>
      <c r="E47">
        <v>22.445</v>
      </c>
      <c r="F47">
        <v>366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22.434000000000001</v>
      </c>
      <c r="F48">
        <v>368</v>
      </c>
    </row>
    <row r="49" spans="1:6" x14ac:dyDescent="0.3">
      <c r="A49" t="s">
        <v>18</v>
      </c>
      <c r="B49">
        <v>50</v>
      </c>
      <c r="C49">
        <v>1</v>
      </c>
      <c r="D49">
        <v>180.87100000000001</v>
      </c>
      <c r="E49">
        <v>22.423999999999999</v>
      </c>
      <c r="F49">
        <v>385</v>
      </c>
    </row>
    <row r="50" spans="1:6" x14ac:dyDescent="0.3">
      <c r="A50" t="s">
        <v>18</v>
      </c>
      <c r="B50">
        <v>50</v>
      </c>
      <c r="C50">
        <v>1</v>
      </c>
      <c r="D50">
        <v>181.59700000000001</v>
      </c>
      <c r="E50">
        <v>22.411999999999999</v>
      </c>
      <c r="F50">
        <v>367</v>
      </c>
    </row>
    <row r="51" spans="1:6" x14ac:dyDescent="0.3">
      <c r="A51" t="s">
        <v>18</v>
      </c>
      <c r="B51">
        <v>100</v>
      </c>
      <c r="C51">
        <v>1</v>
      </c>
      <c r="D51">
        <v>239.197</v>
      </c>
      <c r="E51">
        <v>138.52199999999999</v>
      </c>
      <c r="F51">
        <v>472</v>
      </c>
    </row>
    <row r="52" spans="1:6" x14ac:dyDescent="0.3">
      <c r="A52" t="s">
        <v>18</v>
      </c>
      <c r="B52">
        <v>100</v>
      </c>
      <c r="C52">
        <v>1</v>
      </c>
      <c r="D52">
        <v>239.203</v>
      </c>
      <c r="E52">
        <v>138.643</v>
      </c>
      <c r="F52">
        <v>469</v>
      </c>
    </row>
    <row r="53" spans="1:6" x14ac:dyDescent="0.3">
      <c r="A53" t="s">
        <v>18</v>
      </c>
      <c r="B53">
        <v>100</v>
      </c>
      <c r="C53">
        <v>1</v>
      </c>
      <c r="D53">
        <v>239.267</v>
      </c>
      <c r="E53">
        <v>138.66499999999999</v>
      </c>
      <c r="F53">
        <v>516</v>
      </c>
    </row>
    <row r="54" spans="1:6" x14ac:dyDescent="0.3">
      <c r="A54" t="s">
        <v>18</v>
      </c>
      <c r="B54">
        <v>100</v>
      </c>
      <c r="C54">
        <v>1</v>
      </c>
      <c r="D54">
        <v>239.30799999999999</v>
      </c>
      <c r="E54">
        <v>138.50399999999999</v>
      </c>
      <c r="F54">
        <v>527</v>
      </c>
    </row>
    <row r="55" spans="1:6" x14ac:dyDescent="0.3">
      <c r="A55" t="s">
        <v>18</v>
      </c>
      <c r="B55">
        <v>100</v>
      </c>
      <c r="C55">
        <v>1</v>
      </c>
      <c r="D55">
        <v>239.16399999999999</v>
      </c>
      <c r="E55">
        <v>138.702</v>
      </c>
      <c r="F55">
        <v>482</v>
      </c>
    </row>
    <row r="56" spans="1:6" x14ac:dyDescent="0.3">
      <c r="A56" t="s">
        <v>18</v>
      </c>
      <c r="B56">
        <v>100</v>
      </c>
      <c r="C56">
        <v>1</v>
      </c>
      <c r="D56">
        <v>239.274</v>
      </c>
      <c r="E56">
        <v>138.65299999999999</v>
      </c>
      <c r="F56">
        <v>475</v>
      </c>
    </row>
    <row r="57" spans="1:6" x14ac:dyDescent="0.3">
      <c r="A57" t="s">
        <v>18</v>
      </c>
      <c r="B57">
        <v>100</v>
      </c>
      <c r="C57">
        <v>1</v>
      </c>
      <c r="D57">
        <v>239.29499999999999</v>
      </c>
      <c r="E57">
        <v>138.697</v>
      </c>
      <c r="F57">
        <v>471</v>
      </c>
    </row>
    <row r="58" spans="1:6" x14ac:dyDescent="0.3">
      <c r="A58" t="s">
        <v>18</v>
      </c>
      <c r="B58">
        <v>100</v>
      </c>
      <c r="C58">
        <v>1</v>
      </c>
      <c r="D58">
        <v>239.227</v>
      </c>
      <c r="E58">
        <v>138.56</v>
      </c>
      <c r="F58">
        <v>475</v>
      </c>
    </row>
    <row r="59" spans="1:6" x14ac:dyDescent="0.3">
      <c r="A59" t="s">
        <v>18</v>
      </c>
      <c r="B59">
        <v>100</v>
      </c>
      <c r="C59">
        <v>1</v>
      </c>
      <c r="D59">
        <v>239.113</v>
      </c>
      <c r="E59">
        <v>138.578</v>
      </c>
      <c r="F59">
        <v>495</v>
      </c>
    </row>
    <row r="60" spans="1:6" x14ac:dyDescent="0.3">
      <c r="A60" t="s">
        <v>18</v>
      </c>
      <c r="B60">
        <v>100</v>
      </c>
      <c r="C60">
        <v>1</v>
      </c>
      <c r="D60">
        <v>239.19800000000001</v>
      </c>
      <c r="E60">
        <v>138.51400000000001</v>
      </c>
      <c r="F60">
        <v>535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4.3230000000000004</v>
      </c>
      <c r="F61">
        <v>159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4.3170000000000002</v>
      </c>
      <c r="F62">
        <v>175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4.3170000000000002</v>
      </c>
      <c r="F63">
        <v>203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4.3289999999999997</v>
      </c>
      <c r="F64">
        <v>175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4.3159999999999998</v>
      </c>
      <c r="F65">
        <v>190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4.33</v>
      </c>
      <c r="F66">
        <v>148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4.3150000000000004</v>
      </c>
      <c r="F67">
        <v>194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4.3150000000000004</v>
      </c>
      <c r="F68">
        <v>213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4.3230000000000004</v>
      </c>
      <c r="F69">
        <v>240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4.3239999999999998</v>
      </c>
      <c r="F70">
        <v>185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13.218999999999999</v>
      </c>
      <c r="F71">
        <v>214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13.212</v>
      </c>
      <c r="F72">
        <v>208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13.234999999999999</v>
      </c>
      <c r="F73">
        <v>217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13.239000000000001</v>
      </c>
      <c r="F74">
        <v>208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13.208</v>
      </c>
      <c r="F75">
        <v>213</v>
      </c>
    </row>
    <row r="76" spans="1:6" x14ac:dyDescent="0.3">
      <c r="A76" t="s">
        <v>19</v>
      </c>
      <c r="B76">
        <v>47</v>
      </c>
      <c r="C76">
        <v>1</v>
      </c>
      <c r="D76">
        <v>4318.4880000000003</v>
      </c>
      <c r="E76">
        <v>13.204000000000001</v>
      </c>
      <c r="F76">
        <v>206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13.198</v>
      </c>
      <c r="F77">
        <v>213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13.201000000000001</v>
      </c>
      <c r="F78">
        <v>205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13.195</v>
      </c>
      <c r="F79">
        <v>213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13.243</v>
      </c>
      <c r="F80">
        <v>210</v>
      </c>
    </row>
    <row r="81" spans="1:6" x14ac:dyDescent="0.3">
      <c r="A81" t="s">
        <v>19</v>
      </c>
      <c r="B81">
        <v>100</v>
      </c>
      <c r="C81">
        <v>1</v>
      </c>
      <c r="D81">
        <v>35273.402999999998</v>
      </c>
      <c r="E81">
        <v>54.9</v>
      </c>
      <c r="F81">
        <v>233</v>
      </c>
    </row>
    <row r="82" spans="1:6" x14ac:dyDescent="0.3">
      <c r="A82" t="s">
        <v>19</v>
      </c>
      <c r="B82">
        <v>100</v>
      </c>
      <c r="C82">
        <v>1</v>
      </c>
      <c r="D82">
        <v>35272.953000000001</v>
      </c>
      <c r="E82">
        <v>54.997</v>
      </c>
      <c r="F82">
        <v>230</v>
      </c>
    </row>
    <row r="83" spans="1:6" x14ac:dyDescent="0.3">
      <c r="A83" t="s">
        <v>19</v>
      </c>
      <c r="B83">
        <v>100</v>
      </c>
      <c r="C83">
        <v>1</v>
      </c>
      <c r="D83">
        <v>35277.637000000002</v>
      </c>
      <c r="E83">
        <v>54.886000000000003</v>
      </c>
      <c r="F83">
        <v>227</v>
      </c>
    </row>
    <row r="84" spans="1:6" x14ac:dyDescent="0.3">
      <c r="A84" t="s">
        <v>19</v>
      </c>
      <c r="B84">
        <v>100</v>
      </c>
      <c r="C84">
        <v>1</v>
      </c>
      <c r="D84">
        <v>35272.862000000001</v>
      </c>
      <c r="E84">
        <v>54.825000000000003</v>
      </c>
      <c r="F84">
        <v>230</v>
      </c>
    </row>
    <row r="85" spans="1:6" x14ac:dyDescent="0.3">
      <c r="A85" t="s">
        <v>19</v>
      </c>
      <c r="B85">
        <v>100</v>
      </c>
      <c r="C85">
        <v>1</v>
      </c>
      <c r="D85">
        <v>35272.862000000001</v>
      </c>
      <c r="E85">
        <v>54.947000000000003</v>
      </c>
      <c r="F85">
        <v>232</v>
      </c>
    </row>
    <row r="86" spans="1:6" x14ac:dyDescent="0.3">
      <c r="A86" t="s">
        <v>19</v>
      </c>
      <c r="B86">
        <v>100</v>
      </c>
      <c r="C86">
        <v>1</v>
      </c>
      <c r="D86">
        <v>35296.313000000002</v>
      </c>
      <c r="E86">
        <v>54.828000000000003</v>
      </c>
      <c r="F86">
        <v>260</v>
      </c>
    </row>
    <row r="87" spans="1:6" x14ac:dyDescent="0.3">
      <c r="A87" t="s">
        <v>19</v>
      </c>
      <c r="B87">
        <v>100</v>
      </c>
      <c r="C87">
        <v>1</v>
      </c>
      <c r="D87">
        <v>35230.813000000002</v>
      </c>
      <c r="E87">
        <v>54.902000000000001</v>
      </c>
      <c r="F87">
        <v>267</v>
      </c>
    </row>
    <row r="88" spans="1:6" x14ac:dyDescent="0.3">
      <c r="A88" t="s">
        <v>19</v>
      </c>
      <c r="B88">
        <v>100</v>
      </c>
      <c r="C88">
        <v>1</v>
      </c>
      <c r="D88">
        <v>35277.54</v>
      </c>
      <c r="E88">
        <v>54.814</v>
      </c>
      <c r="F88">
        <v>265</v>
      </c>
    </row>
    <row r="89" spans="1:6" x14ac:dyDescent="0.3">
      <c r="A89" t="s">
        <v>19</v>
      </c>
      <c r="B89">
        <v>100</v>
      </c>
      <c r="C89">
        <v>1</v>
      </c>
      <c r="D89">
        <v>35242.480000000003</v>
      </c>
      <c r="E89">
        <v>54.805999999999997</v>
      </c>
      <c r="F89">
        <v>263</v>
      </c>
    </row>
    <row r="90" spans="1:6" x14ac:dyDescent="0.3">
      <c r="A90" t="s">
        <v>19</v>
      </c>
      <c r="B90">
        <v>100</v>
      </c>
      <c r="C90">
        <v>1</v>
      </c>
      <c r="D90">
        <v>35218.305</v>
      </c>
      <c r="E90">
        <v>54.843000000000004</v>
      </c>
      <c r="F90">
        <v>259</v>
      </c>
    </row>
    <row r="91" spans="1:6" x14ac:dyDescent="0.3">
      <c r="A91" t="s">
        <v>20</v>
      </c>
      <c r="B91">
        <v>30</v>
      </c>
      <c r="C91">
        <v>1</v>
      </c>
      <c r="D91">
        <v>658.23299999999995</v>
      </c>
      <c r="E91">
        <v>6.51</v>
      </c>
      <c r="F91">
        <v>239</v>
      </c>
    </row>
    <row r="92" spans="1:6" x14ac:dyDescent="0.3">
      <c r="A92" t="s">
        <v>20</v>
      </c>
      <c r="B92">
        <v>30</v>
      </c>
      <c r="C92">
        <v>1</v>
      </c>
      <c r="D92">
        <v>658.005</v>
      </c>
      <c r="E92">
        <v>6.48</v>
      </c>
      <c r="F92">
        <v>282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6.4790000000000001</v>
      </c>
      <c r="F93">
        <v>245</v>
      </c>
    </row>
    <row r="94" spans="1:6" x14ac:dyDescent="0.3">
      <c r="A94" t="s">
        <v>20</v>
      </c>
      <c r="B94">
        <v>30</v>
      </c>
      <c r="C94">
        <v>1</v>
      </c>
      <c r="D94">
        <v>657.35599999999999</v>
      </c>
      <c r="E94">
        <v>6.4740000000000002</v>
      </c>
      <c r="F94">
        <v>284</v>
      </c>
    </row>
    <row r="95" spans="1:6" x14ac:dyDescent="0.3">
      <c r="A95" t="s">
        <v>20</v>
      </c>
      <c r="B95">
        <v>30</v>
      </c>
      <c r="C95">
        <v>1</v>
      </c>
      <c r="D95">
        <v>658.23299999999995</v>
      </c>
      <c r="E95">
        <v>6.4859999999999998</v>
      </c>
      <c r="F95">
        <v>218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6.47</v>
      </c>
      <c r="F96">
        <v>245</v>
      </c>
    </row>
    <row r="97" spans="1:6" x14ac:dyDescent="0.3">
      <c r="A97" t="s">
        <v>20</v>
      </c>
      <c r="B97">
        <v>30</v>
      </c>
      <c r="C97">
        <v>1</v>
      </c>
      <c r="D97">
        <v>657.98</v>
      </c>
      <c r="E97">
        <v>6.4790000000000001</v>
      </c>
      <c r="F97">
        <v>273</v>
      </c>
    </row>
    <row r="98" spans="1:6" x14ac:dyDescent="0.3">
      <c r="A98" t="s">
        <v>20</v>
      </c>
      <c r="B98">
        <v>30</v>
      </c>
      <c r="C98">
        <v>1</v>
      </c>
      <c r="D98">
        <v>657.35599999999999</v>
      </c>
      <c r="E98">
        <v>6.4710000000000001</v>
      </c>
      <c r="F98">
        <v>237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6.49</v>
      </c>
      <c r="F99">
        <v>243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6.48</v>
      </c>
      <c r="F100">
        <v>245</v>
      </c>
    </row>
    <row r="101" spans="1:6" x14ac:dyDescent="0.3">
      <c r="A101" t="s">
        <v>20</v>
      </c>
      <c r="B101">
        <v>50</v>
      </c>
      <c r="C101">
        <v>1</v>
      </c>
      <c r="D101">
        <v>992.69299999999998</v>
      </c>
      <c r="E101">
        <v>14.714</v>
      </c>
      <c r="F101">
        <v>292</v>
      </c>
    </row>
    <row r="102" spans="1:6" x14ac:dyDescent="0.3">
      <c r="A102" t="s">
        <v>20</v>
      </c>
      <c r="B102">
        <v>50</v>
      </c>
      <c r="C102">
        <v>1</v>
      </c>
      <c r="D102">
        <v>992.41800000000001</v>
      </c>
      <c r="E102">
        <v>14.694000000000001</v>
      </c>
      <c r="F102">
        <v>300</v>
      </c>
    </row>
    <row r="103" spans="1:6" x14ac:dyDescent="0.3">
      <c r="A103" t="s">
        <v>20</v>
      </c>
      <c r="B103">
        <v>50</v>
      </c>
      <c r="C103">
        <v>1</v>
      </c>
      <c r="D103">
        <v>995.65300000000002</v>
      </c>
      <c r="E103">
        <v>14.691000000000001</v>
      </c>
      <c r="F103">
        <v>298</v>
      </c>
    </row>
    <row r="104" spans="1:6" x14ac:dyDescent="0.3">
      <c r="A104" t="s">
        <v>20</v>
      </c>
      <c r="B104">
        <v>50</v>
      </c>
      <c r="C104">
        <v>1</v>
      </c>
      <c r="D104">
        <v>990.80600000000004</v>
      </c>
      <c r="E104">
        <v>14.699</v>
      </c>
      <c r="F104">
        <v>291</v>
      </c>
    </row>
    <row r="105" spans="1:6" x14ac:dyDescent="0.3">
      <c r="A105" t="s">
        <v>20</v>
      </c>
      <c r="B105">
        <v>50</v>
      </c>
      <c r="C105">
        <v>1</v>
      </c>
      <c r="D105">
        <v>992.15700000000004</v>
      </c>
      <c r="E105">
        <v>14.694000000000001</v>
      </c>
      <c r="F105">
        <v>275</v>
      </c>
    </row>
    <row r="106" spans="1:6" x14ac:dyDescent="0.3">
      <c r="A106" t="s">
        <v>20</v>
      </c>
      <c r="B106">
        <v>50</v>
      </c>
      <c r="C106">
        <v>1</v>
      </c>
      <c r="D106">
        <v>995.846</v>
      </c>
      <c r="E106">
        <v>14.683999999999999</v>
      </c>
      <c r="F106">
        <v>292</v>
      </c>
    </row>
    <row r="107" spans="1:6" x14ac:dyDescent="0.3">
      <c r="A107" t="s">
        <v>20</v>
      </c>
      <c r="B107">
        <v>50</v>
      </c>
      <c r="C107">
        <v>1</v>
      </c>
      <c r="D107">
        <v>996.00099999999998</v>
      </c>
      <c r="E107">
        <v>14.715999999999999</v>
      </c>
      <c r="F107">
        <v>284</v>
      </c>
    </row>
    <row r="108" spans="1:6" x14ac:dyDescent="0.3">
      <c r="A108" t="s">
        <v>20</v>
      </c>
      <c r="B108">
        <v>50</v>
      </c>
      <c r="C108">
        <v>1</v>
      </c>
      <c r="D108">
        <v>994.55499999999995</v>
      </c>
      <c r="E108">
        <v>14.722</v>
      </c>
      <c r="F108">
        <v>279</v>
      </c>
    </row>
    <row r="109" spans="1:6" x14ac:dyDescent="0.3">
      <c r="A109" t="s">
        <v>20</v>
      </c>
      <c r="B109">
        <v>50</v>
      </c>
      <c r="C109">
        <v>1</v>
      </c>
      <c r="D109">
        <v>997.69500000000005</v>
      </c>
      <c r="E109">
        <v>14.715999999999999</v>
      </c>
      <c r="F109">
        <v>299</v>
      </c>
    </row>
    <row r="110" spans="1:6" x14ac:dyDescent="0.3">
      <c r="A110" t="s">
        <v>20</v>
      </c>
      <c r="B110">
        <v>50</v>
      </c>
      <c r="C110">
        <v>1</v>
      </c>
      <c r="D110">
        <v>991.03399999999999</v>
      </c>
      <c r="E110">
        <v>14.696999999999999</v>
      </c>
      <c r="F110">
        <v>283</v>
      </c>
    </row>
    <row r="111" spans="1:6" x14ac:dyDescent="0.3">
      <c r="A111" t="s">
        <v>20</v>
      </c>
      <c r="B111">
        <v>100</v>
      </c>
      <c r="C111">
        <v>1</v>
      </c>
      <c r="D111">
        <v>1754.471</v>
      </c>
      <c r="E111">
        <v>32.531999999999996</v>
      </c>
      <c r="F111">
        <v>173</v>
      </c>
    </row>
    <row r="112" spans="1:6" x14ac:dyDescent="0.3">
      <c r="A112" t="s">
        <v>20</v>
      </c>
      <c r="B112">
        <v>100</v>
      </c>
      <c r="C112">
        <v>1</v>
      </c>
      <c r="D112">
        <v>1760.9929999999999</v>
      </c>
      <c r="E112">
        <v>32.588999999999999</v>
      </c>
      <c r="F112">
        <v>177</v>
      </c>
    </row>
    <row r="113" spans="1:6" x14ac:dyDescent="0.3">
      <c r="A113" t="s">
        <v>20</v>
      </c>
      <c r="B113">
        <v>100</v>
      </c>
      <c r="C113">
        <v>1</v>
      </c>
      <c r="D113">
        <v>1757.3510000000001</v>
      </c>
      <c r="E113">
        <v>32.503</v>
      </c>
      <c r="F113">
        <v>178</v>
      </c>
    </row>
    <row r="114" spans="1:6" x14ac:dyDescent="0.3">
      <c r="A114" t="s">
        <v>20</v>
      </c>
      <c r="B114">
        <v>100</v>
      </c>
      <c r="C114">
        <v>1</v>
      </c>
      <c r="D114">
        <v>1757.61</v>
      </c>
      <c r="E114">
        <v>32.466000000000001</v>
      </c>
      <c r="F114">
        <v>171</v>
      </c>
    </row>
    <row r="115" spans="1:6" x14ac:dyDescent="0.3">
      <c r="A115" t="s">
        <v>20</v>
      </c>
      <c r="B115">
        <v>100</v>
      </c>
      <c r="C115">
        <v>1</v>
      </c>
      <c r="D115">
        <v>1755.57</v>
      </c>
      <c r="E115">
        <v>32.58</v>
      </c>
      <c r="F115">
        <v>178</v>
      </c>
    </row>
    <row r="116" spans="1:6" x14ac:dyDescent="0.3">
      <c r="A116" t="s">
        <v>20</v>
      </c>
      <c r="B116">
        <v>100</v>
      </c>
      <c r="C116">
        <v>1</v>
      </c>
      <c r="D116">
        <v>1756.229</v>
      </c>
      <c r="E116">
        <v>32.588000000000001</v>
      </c>
      <c r="F116">
        <v>174</v>
      </c>
    </row>
    <row r="117" spans="1:6" x14ac:dyDescent="0.3">
      <c r="A117" t="s">
        <v>20</v>
      </c>
      <c r="B117">
        <v>100</v>
      </c>
      <c r="C117">
        <v>1</v>
      </c>
      <c r="D117">
        <v>1757.3340000000001</v>
      </c>
      <c r="E117">
        <v>32.526000000000003</v>
      </c>
      <c r="F117">
        <v>150</v>
      </c>
    </row>
    <row r="118" spans="1:6" x14ac:dyDescent="0.3">
      <c r="A118" t="s">
        <v>20</v>
      </c>
      <c r="B118">
        <v>100</v>
      </c>
      <c r="C118">
        <v>1</v>
      </c>
      <c r="D118">
        <v>1754.5139999999999</v>
      </c>
      <c r="E118">
        <v>32.64</v>
      </c>
      <c r="F118">
        <v>151</v>
      </c>
    </row>
    <row r="119" spans="1:6" x14ac:dyDescent="0.3">
      <c r="A119" t="s">
        <v>20</v>
      </c>
      <c r="B119">
        <v>100</v>
      </c>
      <c r="C119">
        <v>1</v>
      </c>
      <c r="D119">
        <v>1760.12</v>
      </c>
      <c r="E119">
        <v>32.603999999999999</v>
      </c>
      <c r="F119">
        <v>151</v>
      </c>
    </row>
    <row r="120" spans="1:6" x14ac:dyDescent="0.3">
      <c r="A120" t="s">
        <v>20</v>
      </c>
      <c r="B120">
        <v>100</v>
      </c>
      <c r="C120">
        <v>1</v>
      </c>
      <c r="D120">
        <v>1755.662</v>
      </c>
      <c r="E120">
        <v>32.648000000000003</v>
      </c>
      <c r="F120">
        <v>150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1.3640000000000001</v>
      </c>
      <c r="F121">
        <v>244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1.383</v>
      </c>
      <c r="F122">
        <v>180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1.3759999999999999</v>
      </c>
      <c r="F123">
        <v>184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1.3919999999999999</v>
      </c>
      <c r="F124">
        <v>111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1.3959999999999999</v>
      </c>
      <c r="F125">
        <v>150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1.3640000000000001</v>
      </c>
      <c r="F126">
        <v>83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1.371</v>
      </c>
      <c r="F127">
        <v>152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1.365</v>
      </c>
      <c r="F128">
        <v>348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</v>
      </c>
      <c r="F129">
        <v>495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1.393</v>
      </c>
      <c r="F130">
        <v>184</v>
      </c>
    </row>
    <row r="131" spans="1:6" x14ac:dyDescent="0.3">
      <c r="A131" t="s">
        <v>33</v>
      </c>
      <c r="B131">
        <v>209</v>
      </c>
      <c r="C131">
        <v>1</v>
      </c>
      <c r="D131">
        <v>76.405000000000001</v>
      </c>
      <c r="E131">
        <v>181.179</v>
      </c>
      <c r="F131">
        <v>191</v>
      </c>
    </row>
    <row r="132" spans="1:6" x14ac:dyDescent="0.3">
      <c r="A132" t="s">
        <v>33</v>
      </c>
      <c r="B132">
        <v>209</v>
      </c>
      <c r="C132">
        <v>1</v>
      </c>
      <c r="D132">
        <v>76.233000000000004</v>
      </c>
      <c r="E132">
        <v>181.447</v>
      </c>
      <c r="F132">
        <v>195</v>
      </c>
    </row>
    <row r="133" spans="1:6" x14ac:dyDescent="0.3">
      <c r="A133" t="s">
        <v>33</v>
      </c>
      <c r="B133">
        <v>209</v>
      </c>
      <c r="C133">
        <v>1</v>
      </c>
      <c r="D133">
        <v>76.05</v>
      </c>
      <c r="E133">
        <v>180.80699999999999</v>
      </c>
      <c r="F133">
        <v>183</v>
      </c>
    </row>
    <row r="134" spans="1:6" x14ac:dyDescent="0.3">
      <c r="A134" t="s">
        <v>33</v>
      </c>
      <c r="B134">
        <v>209</v>
      </c>
      <c r="C134">
        <v>1</v>
      </c>
      <c r="D134">
        <v>76.382000000000005</v>
      </c>
      <c r="E134">
        <v>180.941</v>
      </c>
      <c r="F134">
        <v>182</v>
      </c>
    </row>
    <row r="135" spans="1:6" x14ac:dyDescent="0.3">
      <c r="A135" t="s">
        <v>33</v>
      </c>
      <c r="B135">
        <v>209</v>
      </c>
      <c r="C135">
        <v>1</v>
      </c>
      <c r="D135">
        <v>76.682000000000002</v>
      </c>
      <c r="E135">
        <v>181.10900000000001</v>
      </c>
      <c r="F135">
        <v>184</v>
      </c>
    </row>
    <row r="136" spans="1:6" x14ac:dyDescent="0.3">
      <c r="A136" t="s">
        <v>33</v>
      </c>
      <c r="B136">
        <v>209</v>
      </c>
      <c r="C136">
        <v>1</v>
      </c>
      <c r="D136">
        <v>76.622</v>
      </c>
      <c r="E136">
        <v>180.99199999999999</v>
      </c>
      <c r="F136">
        <v>180</v>
      </c>
    </row>
    <row r="137" spans="1:6" x14ac:dyDescent="0.3">
      <c r="A137" t="s">
        <v>33</v>
      </c>
      <c r="B137">
        <v>209</v>
      </c>
      <c r="C137">
        <v>1</v>
      </c>
      <c r="D137">
        <v>76.159000000000006</v>
      </c>
      <c r="E137">
        <v>181.172</v>
      </c>
      <c r="F137">
        <v>185</v>
      </c>
    </row>
    <row r="138" spans="1:6" x14ac:dyDescent="0.3">
      <c r="A138" t="s">
        <v>33</v>
      </c>
      <c r="B138">
        <v>209</v>
      </c>
      <c r="C138">
        <v>1</v>
      </c>
      <c r="D138">
        <v>76</v>
      </c>
      <c r="E138">
        <v>181.101</v>
      </c>
      <c r="F138">
        <v>192</v>
      </c>
    </row>
    <row r="139" spans="1:6" x14ac:dyDescent="0.3">
      <c r="A139" t="s">
        <v>33</v>
      </c>
      <c r="B139">
        <v>209</v>
      </c>
      <c r="C139">
        <v>1</v>
      </c>
      <c r="D139">
        <v>76.399000000000001</v>
      </c>
      <c r="E139">
        <v>181.459</v>
      </c>
      <c r="F139">
        <v>191</v>
      </c>
    </row>
    <row r="140" spans="1:6" x14ac:dyDescent="0.3">
      <c r="A140" t="s">
        <v>33</v>
      </c>
      <c r="B140">
        <v>209</v>
      </c>
      <c r="C140">
        <v>1</v>
      </c>
      <c r="D140">
        <v>76.427000000000007</v>
      </c>
      <c r="E140">
        <v>181.17500000000001</v>
      </c>
      <c r="F140">
        <v>183</v>
      </c>
    </row>
    <row r="141" spans="1:6" x14ac:dyDescent="0.3">
      <c r="A141" t="s">
        <v>33</v>
      </c>
      <c r="B141">
        <v>324</v>
      </c>
      <c r="C141">
        <v>1</v>
      </c>
      <c r="D141">
        <v>119.152</v>
      </c>
      <c r="E141">
        <v>421.02600000000001</v>
      </c>
      <c r="F141">
        <v>157</v>
      </c>
    </row>
    <row r="142" spans="1:6" x14ac:dyDescent="0.3">
      <c r="A142" t="s">
        <v>33</v>
      </c>
      <c r="B142">
        <v>324</v>
      </c>
      <c r="C142">
        <v>1</v>
      </c>
      <c r="D142">
        <v>119.015</v>
      </c>
      <c r="E142">
        <v>420.142</v>
      </c>
      <c r="F142">
        <v>159</v>
      </c>
    </row>
    <row r="143" spans="1:6" x14ac:dyDescent="0.3">
      <c r="A143" t="s">
        <v>33</v>
      </c>
      <c r="B143">
        <v>324</v>
      </c>
      <c r="C143">
        <v>1</v>
      </c>
      <c r="D143">
        <v>118.77500000000001</v>
      </c>
      <c r="E143">
        <v>421.178</v>
      </c>
      <c r="F143">
        <v>156</v>
      </c>
    </row>
    <row r="144" spans="1:6" x14ac:dyDescent="0.3">
      <c r="A144" t="s">
        <v>33</v>
      </c>
      <c r="B144">
        <v>324</v>
      </c>
      <c r="C144">
        <v>1</v>
      </c>
      <c r="D144">
        <v>118.486</v>
      </c>
      <c r="E144">
        <v>419.55200000000002</v>
      </c>
      <c r="F144">
        <v>158</v>
      </c>
    </row>
    <row r="145" spans="1:6" x14ac:dyDescent="0.3">
      <c r="A145" t="s">
        <v>33</v>
      </c>
      <c r="B145">
        <v>324</v>
      </c>
      <c r="C145">
        <v>1</v>
      </c>
      <c r="D145">
        <v>118.672</v>
      </c>
      <c r="E145">
        <v>420.51100000000002</v>
      </c>
      <c r="F145">
        <v>162</v>
      </c>
    </row>
    <row r="146" spans="1:6" x14ac:dyDescent="0.3">
      <c r="A146" t="s">
        <v>33</v>
      </c>
      <c r="B146">
        <v>324</v>
      </c>
      <c r="C146">
        <v>1</v>
      </c>
      <c r="D146">
        <v>118.676</v>
      </c>
      <c r="E146">
        <v>419.46600000000001</v>
      </c>
      <c r="F146">
        <v>155</v>
      </c>
    </row>
    <row r="147" spans="1:6" x14ac:dyDescent="0.3">
      <c r="A147" t="s">
        <v>33</v>
      </c>
      <c r="B147">
        <v>324</v>
      </c>
      <c r="C147">
        <v>1</v>
      </c>
      <c r="D147">
        <v>118.849</v>
      </c>
      <c r="E147">
        <v>421.18</v>
      </c>
      <c r="F147">
        <v>158</v>
      </c>
    </row>
    <row r="148" spans="1:6" x14ac:dyDescent="0.3">
      <c r="A148" t="s">
        <v>33</v>
      </c>
      <c r="B148">
        <v>324</v>
      </c>
      <c r="C148">
        <v>1</v>
      </c>
      <c r="D148">
        <v>119.26600000000001</v>
      </c>
      <c r="E148">
        <v>420.53</v>
      </c>
      <c r="F148">
        <v>159</v>
      </c>
    </row>
    <row r="149" spans="1:6" x14ac:dyDescent="0.3">
      <c r="A149" t="s">
        <v>33</v>
      </c>
      <c r="B149">
        <v>324</v>
      </c>
      <c r="C149">
        <v>1</v>
      </c>
      <c r="D149">
        <v>118.462</v>
      </c>
      <c r="E149">
        <v>420.54199999999997</v>
      </c>
      <c r="F149">
        <v>157</v>
      </c>
    </row>
    <row r="150" spans="1:6" x14ac:dyDescent="0.3">
      <c r="A150" t="s">
        <v>33</v>
      </c>
      <c r="B150">
        <v>324</v>
      </c>
      <c r="C150">
        <v>1</v>
      </c>
      <c r="D150">
        <v>119.18300000000001</v>
      </c>
      <c r="E150">
        <v>421.12599999999998</v>
      </c>
      <c r="F150">
        <v>156</v>
      </c>
    </row>
    <row r="151" spans="1:6" x14ac:dyDescent="0.3">
      <c r="A151" t="s">
        <v>34</v>
      </c>
      <c r="B151">
        <v>40</v>
      </c>
      <c r="C151">
        <v>1</v>
      </c>
      <c r="D151">
        <v>16.75</v>
      </c>
      <c r="E151">
        <v>11.64</v>
      </c>
      <c r="F151">
        <v>232</v>
      </c>
    </row>
    <row r="152" spans="1:6" x14ac:dyDescent="0.3">
      <c r="A152" t="s">
        <v>34</v>
      </c>
      <c r="B152">
        <v>40</v>
      </c>
      <c r="C152">
        <v>1</v>
      </c>
      <c r="D152">
        <v>16.733000000000001</v>
      </c>
      <c r="E152">
        <v>11.624000000000001</v>
      </c>
      <c r="F152">
        <v>229</v>
      </c>
    </row>
    <row r="153" spans="1:6" x14ac:dyDescent="0.3">
      <c r="A153" t="s">
        <v>34</v>
      </c>
      <c r="B153">
        <v>40</v>
      </c>
      <c r="C153">
        <v>1</v>
      </c>
      <c r="D153">
        <v>16.823</v>
      </c>
      <c r="E153">
        <v>11.635999999999999</v>
      </c>
      <c r="F153">
        <v>217</v>
      </c>
    </row>
    <row r="154" spans="1:6" x14ac:dyDescent="0.3">
      <c r="A154" t="s">
        <v>34</v>
      </c>
      <c r="B154">
        <v>40</v>
      </c>
      <c r="C154">
        <v>1</v>
      </c>
      <c r="D154">
        <v>16.608000000000001</v>
      </c>
      <c r="E154">
        <v>11.615</v>
      </c>
      <c r="F154">
        <v>212</v>
      </c>
    </row>
    <row r="155" spans="1:6" x14ac:dyDescent="0.3">
      <c r="A155" t="s">
        <v>34</v>
      </c>
      <c r="B155">
        <v>40</v>
      </c>
      <c r="C155">
        <v>1</v>
      </c>
      <c r="D155">
        <v>16.641999999999999</v>
      </c>
      <c r="E155">
        <v>11.628</v>
      </c>
      <c r="F155">
        <v>223</v>
      </c>
    </row>
    <row r="156" spans="1:6" x14ac:dyDescent="0.3">
      <c r="A156" t="s">
        <v>34</v>
      </c>
      <c r="B156">
        <v>40</v>
      </c>
      <c r="C156">
        <v>1</v>
      </c>
      <c r="D156">
        <v>16.574000000000002</v>
      </c>
      <c r="E156">
        <v>11.645</v>
      </c>
      <c r="F156">
        <v>230</v>
      </c>
    </row>
    <row r="157" spans="1:6" x14ac:dyDescent="0.3">
      <c r="A157" t="s">
        <v>34</v>
      </c>
      <c r="B157">
        <v>40</v>
      </c>
      <c r="C157">
        <v>1</v>
      </c>
      <c r="D157">
        <v>16.616</v>
      </c>
      <c r="E157">
        <v>11.64</v>
      </c>
      <c r="F157">
        <v>224</v>
      </c>
    </row>
    <row r="158" spans="1:6" x14ac:dyDescent="0.3">
      <c r="A158" t="s">
        <v>34</v>
      </c>
      <c r="B158">
        <v>40</v>
      </c>
      <c r="C158">
        <v>1</v>
      </c>
      <c r="D158">
        <v>16.641999999999999</v>
      </c>
      <c r="E158">
        <v>11.663</v>
      </c>
      <c r="F158">
        <v>236</v>
      </c>
    </row>
    <row r="159" spans="1:6" x14ac:dyDescent="0.3">
      <c r="A159" t="s">
        <v>34</v>
      </c>
      <c r="B159">
        <v>40</v>
      </c>
      <c r="C159">
        <v>1</v>
      </c>
      <c r="D159">
        <v>16.632999999999999</v>
      </c>
      <c r="E159">
        <v>11.637</v>
      </c>
      <c r="F159">
        <v>229</v>
      </c>
    </row>
    <row r="160" spans="1:6" x14ac:dyDescent="0.3">
      <c r="A160" t="s">
        <v>34</v>
      </c>
      <c r="B160">
        <v>40</v>
      </c>
      <c r="C160">
        <v>1</v>
      </c>
      <c r="D160">
        <v>16.75</v>
      </c>
      <c r="E160">
        <v>11.673</v>
      </c>
      <c r="F160">
        <v>221</v>
      </c>
    </row>
    <row r="161" spans="1:6" x14ac:dyDescent="0.3">
      <c r="A161" t="s">
        <v>34</v>
      </c>
      <c r="B161">
        <v>96</v>
      </c>
      <c r="C161">
        <v>1</v>
      </c>
      <c r="D161">
        <v>35.18</v>
      </c>
      <c r="E161">
        <v>51.405000000000001</v>
      </c>
      <c r="F161">
        <v>277</v>
      </c>
    </row>
    <row r="162" spans="1:6" x14ac:dyDescent="0.3">
      <c r="A162" t="s">
        <v>34</v>
      </c>
      <c r="B162">
        <v>96</v>
      </c>
      <c r="C162">
        <v>1</v>
      </c>
      <c r="D162">
        <v>35.103999999999999</v>
      </c>
      <c r="E162">
        <v>51.267000000000003</v>
      </c>
      <c r="F162">
        <v>249</v>
      </c>
    </row>
    <row r="163" spans="1:6" x14ac:dyDescent="0.3">
      <c r="A163" t="s">
        <v>34</v>
      </c>
      <c r="B163">
        <v>96</v>
      </c>
      <c r="C163">
        <v>1</v>
      </c>
      <c r="D163">
        <v>35.170999999999999</v>
      </c>
      <c r="E163">
        <v>51.406999999999996</v>
      </c>
      <c r="F163">
        <v>263</v>
      </c>
    </row>
    <row r="164" spans="1:6" x14ac:dyDescent="0.3">
      <c r="A164" t="s">
        <v>34</v>
      </c>
      <c r="B164">
        <v>96</v>
      </c>
      <c r="C164">
        <v>1</v>
      </c>
      <c r="D164">
        <v>35.136000000000003</v>
      </c>
      <c r="E164">
        <v>51.414000000000001</v>
      </c>
      <c r="F164">
        <v>263</v>
      </c>
    </row>
    <row r="165" spans="1:6" x14ac:dyDescent="0.3">
      <c r="A165" t="s">
        <v>34</v>
      </c>
      <c r="B165">
        <v>96</v>
      </c>
      <c r="C165">
        <v>1</v>
      </c>
      <c r="D165">
        <v>35.179000000000002</v>
      </c>
      <c r="E165">
        <v>51.378</v>
      </c>
      <c r="F165">
        <v>251</v>
      </c>
    </row>
    <row r="166" spans="1:6" x14ac:dyDescent="0.3">
      <c r="A166" t="s">
        <v>34</v>
      </c>
      <c r="B166">
        <v>96</v>
      </c>
      <c r="C166">
        <v>1</v>
      </c>
      <c r="D166">
        <v>35.21</v>
      </c>
      <c r="E166">
        <v>51.283999999999999</v>
      </c>
      <c r="F166">
        <v>266</v>
      </c>
    </row>
    <row r="167" spans="1:6" x14ac:dyDescent="0.3">
      <c r="A167" t="s">
        <v>34</v>
      </c>
      <c r="B167">
        <v>96</v>
      </c>
      <c r="C167">
        <v>1</v>
      </c>
      <c r="D167">
        <v>35.146000000000001</v>
      </c>
      <c r="E167">
        <v>51.442999999999998</v>
      </c>
      <c r="F167">
        <v>247</v>
      </c>
    </row>
    <row r="168" spans="1:6" x14ac:dyDescent="0.3">
      <c r="A168" t="s">
        <v>34</v>
      </c>
      <c r="B168">
        <v>96</v>
      </c>
      <c r="C168">
        <v>1</v>
      </c>
      <c r="D168">
        <v>35.134</v>
      </c>
      <c r="E168">
        <v>51.414000000000001</v>
      </c>
      <c r="F168">
        <v>275</v>
      </c>
    </row>
    <row r="169" spans="1:6" x14ac:dyDescent="0.3">
      <c r="A169" t="s">
        <v>34</v>
      </c>
      <c r="B169">
        <v>96</v>
      </c>
      <c r="C169">
        <v>1</v>
      </c>
      <c r="D169">
        <v>35.177999999999997</v>
      </c>
      <c r="E169">
        <v>51.31</v>
      </c>
      <c r="F169">
        <v>245</v>
      </c>
    </row>
    <row r="170" spans="1:6" x14ac:dyDescent="0.3">
      <c r="A170" t="s">
        <v>34</v>
      </c>
      <c r="B170">
        <v>96</v>
      </c>
      <c r="C170">
        <v>1</v>
      </c>
      <c r="D170">
        <v>35.119999999999997</v>
      </c>
      <c r="E170">
        <v>51.362000000000002</v>
      </c>
      <c r="F170">
        <v>273</v>
      </c>
    </row>
    <row r="171" spans="1:6" x14ac:dyDescent="0.3">
      <c r="A171" t="s">
        <v>34</v>
      </c>
      <c r="B171">
        <v>224</v>
      </c>
      <c r="C171">
        <v>1</v>
      </c>
      <c r="D171">
        <v>71.983999999999995</v>
      </c>
      <c r="E171">
        <v>255.82499999999999</v>
      </c>
      <c r="F171">
        <v>217</v>
      </c>
    </row>
    <row r="172" spans="1:6" x14ac:dyDescent="0.3">
      <c r="A172" t="s">
        <v>34</v>
      </c>
      <c r="B172">
        <v>224</v>
      </c>
      <c r="C172">
        <v>1</v>
      </c>
      <c r="D172">
        <v>71.975999999999999</v>
      </c>
      <c r="E172">
        <v>255.90600000000001</v>
      </c>
      <c r="F172">
        <v>226</v>
      </c>
    </row>
    <row r="173" spans="1:6" x14ac:dyDescent="0.3">
      <c r="A173" t="s">
        <v>34</v>
      </c>
      <c r="B173">
        <v>224</v>
      </c>
      <c r="C173">
        <v>1</v>
      </c>
      <c r="D173">
        <v>71.915000000000006</v>
      </c>
      <c r="E173">
        <v>256.267</v>
      </c>
      <c r="F173">
        <v>221</v>
      </c>
    </row>
    <row r="174" spans="1:6" x14ac:dyDescent="0.3">
      <c r="A174" t="s">
        <v>34</v>
      </c>
      <c r="B174">
        <v>224</v>
      </c>
      <c r="C174">
        <v>1</v>
      </c>
      <c r="D174">
        <v>71.998000000000005</v>
      </c>
      <c r="E174">
        <v>255.70099999999999</v>
      </c>
      <c r="F174">
        <v>222</v>
      </c>
    </row>
    <row r="175" spans="1:6" x14ac:dyDescent="0.3">
      <c r="A175" t="s">
        <v>34</v>
      </c>
      <c r="B175">
        <v>224</v>
      </c>
      <c r="C175">
        <v>1</v>
      </c>
      <c r="D175">
        <v>71.924000000000007</v>
      </c>
      <c r="E175">
        <v>256.03100000000001</v>
      </c>
      <c r="F175">
        <v>224</v>
      </c>
    </row>
    <row r="176" spans="1:6" x14ac:dyDescent="0.3">
      <c r="A176" t="s">
        <v>34</v>
      </c>
      <c r="B176">
        <v>224</v>
      </c>
      <c r="C176">
        <v>1</v>
      </c>
      <c r="D176">
        <v>71.942999999999998</v>
      </c>
      <c r="E176">
        <v>255.79599999999999</v>
      </c>
      <c r="F176">
        <v>225</v>
      </c>
    </row>
    <row r="177" spans="1:6" x14ac:dyDescent="0.3">
      <c r="A177" t="s">
        <v>34</v>
      </c>
      <c r="B177">
        <v>224</v>
      </c>
      <c r="C177">
        <v>1</v>
      </c>
      <c r="D177">
        <v>71.927000000000007</v>
      </c>
      <c r="E177">
        <v>255.50700000000001</v>
      </c>
      <c r="F177">
        <v>221</v>
      </c>
    </row>
    <row r="178" spans="1:6" x14ac:dyDescent="0.3">
      <c r="A178" t="s">
        <v>34</v>
      </c>
      <c r="B178">
        <v>224</v>
      </c>
      <c r="C178">
        <v>1</v>
      </c>
      <c r="D178">
        <v>71.924000000000007</v>
      </c>
      <c r="E178">
        <v>255.95099999999999</v>
      </c>
      <c r="F178">
        <v>227</v>
      </c>
    </row>
    <row r="179" spans="1:6" x14ac:dyDescent="0.3">
      <c r="A179" t="s">
        <v>34</v>
      </c>
      <c r="B179">
        <v>224</v>
      </c>
      <c r="C179">
        <v>1</v>
      </c>
      <c r="D179">
        <v>71.933999999999997</v>
      </c>
      <c r="E179">
        <v>256.20299999999997</v>
      </c>
      <c r="F179">
        <v>220</v>
      </c>
    </row>
    <row r="180" spans="1:6" x14ac:dyDescent="0.3">
      <c r="A180" t="s">
        <v>34</v>
      </c>
      <c r="B180">
        <v>224</v>
      </c>
      <c r="C180">
        <v>1</v>
      </c>
      <c r="D180">
        <v>71.912000000000006</v>
      </c>
      <c r="E180">
        <v>255.44900000000001</v>
      </c>
      <c r="F180">
        <v>227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25"/>
    <col min="2" max="2" width="4.33203125"/>
    <col min="3" max="3" width="2.58203125"/>
    <col min="4" max="4" width="10.5" bestFit="1" customWidth="1"/>
    <col min="5" max="5" width="7.25"/>
    <col min="6" max="6" width="5.6640625" customWidth="1"/>
    <col min="7" max="7" width="2.08203125"/>
    <col min="8" max="8" width="10.33203125"/>
    <col min="9" max="9" width="4.33203125"/>
    <col min="10" max="10" width="3.33203125"/>
    <col min="11" max="11" width="2.5"/>
    <col min="12" max="21" width="9.5"/>
    <col min="22" max="22" width="2.33203125"/>
    <col min="23" max="23" width="9.5"/>
    <col min="24" max="24" width="2.33203125"/>
    <col min="25" max="25" width="9.5"/>
    <col min="26" max="26" width="2.08203125"/>
    <col min="27" max="27" width="2.58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5.2830000000000004</v>
      </c>
      <c r="F1">
        <v>200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5.2869999999999999</v>
      </c>
      <c r="F2">
        <v>201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28.504000000000001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28.504000000000001</v>
      </c>
      <c r="W2" s="35">
        <f t="shared" ref="W2:W19" ca="1" si="10">AVERAGE(L2:U2)</f>
        <v>28.537599999999998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1.4734774066796953E-3</v>
      </c>
      <c r="AD2" s="35">
        <f t="shared" ref="AD2:AD19" ca="1" si="13">(N2-$Y2)/$Y2</f>
        <v>0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1.4734774066796953E-3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1.4734774066796953E-3</v>
      </c>
      <c r="AK2" s="35">
        <f t="shared" ref="AK2:AK19" ca="1" si="20">(U2-$Y2)/$Y2</f>
        <v>0</v>
      </c>
      <c r="AM2" s="35">
        <f t="shared" ref="AM2:AM19" ca="1" si="21">SUM(AB2:AK2)</f>
        <v>1.1787819253437564E-2</v>
      </c>
    </row>
    <row r="3" spans="1:39" x14ac:dyDescent="0.3">
      <c r="A3" t="s">
        <v>17</v>
      </c>
      <c r="B3">
        <v>25</v>
      </c>
      <c r="C3">
        <v>1</v>
      </c>
      <c r="D3">
        <v>28.504000000000001</v>
      </c>
      <c r="E3">
        <v>5.2759999999999998</v>
      </c>
      <c r="F3">
        <v>192</v>
      </c>
      <c r="H3" s="35" t="s">
        <v>17</v>
      </c>
      <c r="I3" s="35">
        <v>50</v>
      </c>
      <c r="J3" s="35">
        <v>1</v>
      </c>
      <c r="L3" s="35">
        <f t="shared" ca="1" si="0"/>
        <v>53.067999999999998</v>
      </c>
      <c r="M3" s="35">
        <f t="shared" ca="1" si="1"/>
        <v>53.037999999999997</v>
      </c>
      <c r="N3" s="35">
        <f t="shared" ca="1" si="2"/>
        <v>53.048000000000002</v>
      </c>
      <c r="O3" s="35">
        <f t="shared" ca="1" si="3"/>
        <v>52.933999999999997</v>
      </c>
      <c r="P3" s="35">
        <f t="shared" ca="1" si="4"/>
        <v>52.987000000000002</v>
      </c>
      <c r="Q3" s="35">
        <f t="shared" ca="1" si="5"/>
        <v>53.036999999999999</v>
      </c>
      <c r="R3" s="35">
        <f t="shared" ca="1" si="6"/>
        <v>52.933</v>
      </c>
      <c r="S3" s="35">
        <f t="shared" ca="1" si="7"/>
        <v>53.046999999999997</v>
      </c>
      <c r="T3" s="35">
        <f t="shared" ca="1" si="8"/>
        <v>53.097000000000001</v>
      </c>
      <c r="U3" s="35">
        <f t="shared" ca="1" si="9"/>
        <v>53.137</v>
      </c>
      <c r="W3" s="35">
        <f t="shared" ca="1" si="10"/>
        <v>53.032600000000002</v>
      </c>
      <c r="Y3" s="35">
        <f ca="1">Total!E3</f>
        <v>52.927</v>
      </c>
      <c r="AB3" s="35">
        <f t="shared" ca="1" si="11"/>
        <v>2.6640467058400862E-3</v>
      </c>
      <c r="AC3" s="35">
        <f t="shared" ca="1" si="12"/>
        <v>2.0972282577889755E-3</v>
      </c>
      <c r="AD3" s="35">
        <f t="shared" ca="1" si="13"/>
        <v>2.2861677404727686E-3</v>
      </c>
      <c r="AE3" s="35">
        <f t="shared" ca="1" si="14"/>
        <v>1.3225763787854774E-4</v>
      </c>
      <c r="AF3" s="35">
        <f t="shared" ca="1" si="15"/>
        <v>1.1336368961022214E-3</v>
      </c>
      <c r="AG3" s="35">
        <f t="shared" ca="1" si="16"/>
        <v>2.0783343095206498E-3</v>
      </c>
      <c r="AH3" s="35">
        <f t="shared" ca="1" si="17"/>
        <v>1.1336368961022215E-4</v>
      </c>
      <c r="AI3" s="35">
        <f t="shared" ca="1" si="18"/>
        <v>2.2672737922043084E-3</v>
      </c>
      <c r="AJ3" s="35">
        <f t="shared" ca="1" si="19"/>
        <v>3.2119712056228713E-3</v>
      </c>
      <c r="AK3" s="35">
        <f t="shared" ca="1" si="20"/>
        <v>3.967729136357641E-3</v>
      </c>
      <c r="AM3" s="35">
        <f t="shared" ca="1" si="21"/>
        <v>1.995200937139829E-2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5.2839999999999998</v>
      </c>
      <c r="F4">
        <v>188</v>
      </c>
      <c r="H4" s="35" t="s">
        <v>17</v>
      </c>
      <c r="I4" s="35">
        <v>100</v>
      </c>
      <c r="J4" s="35">
        <v>1</v>
      </c>
      <c r="L4" s="35">
        <f t="shared" ca="1" si="0"/>
        <v>103.232</v>
      </c>
      <c r="M4" s="35">
        <f t="shared" ca="1" si="1"/>
        <v>103.086</v>
      </c>
      <c r="N4" s="35">
        <f t="shared" ca="1" si="2"/>
        <v>103.21899999999999</v>
      </c>
      <c r="O4" s="35">
        <f t="shared" ca="1" si="3"/>
        <v>103.251</v>
      </c>
      <c r="P4" s="35">
        <f t="shared" ca="1" si="4"/>
        <v>103.307</v>
      </c>
      <c r="Q4" s="35">
        <f t="shared" ca="1" si="5"/>
        <v>103.294</v>
      </c>
      <c r="R4" s="35">
        <f t="shared" ca="1" si="6"/>
        <v>103.235</v>
      </c>
      <c r="S4" s="35">
        <f t="shared" ca="1" si="7"/>
        <v>103.249</v>
      </c>
      <c r="T4" s="35">
        <f t="shared" ca="1" si="8"/>
        <v>103.242</v>
      </c>
      <c r="U4" s="35">
        <f t="shared" ca="1" si="9"/>
        <v>103.25700000000001</v>
      </c>
      <c r="W4" s="35">
        <f t="shared" ca="1" si="10"/>
        <v>103.2372</v>
      </c>
      <c r="Y4" s="35">
        <f ca="1">Total!E4</f>
        <v>102.80200000000001</v>
      </c>
      <c r="AB4" s="35">
        <f t="shared" ca="1" si="11"/>
        <v>4.1827980000388376E-3</v>
      </c>
      <c r="AC4" s="35">
        <f t="shared" ca="1" si="12"/>
        <v>2.762592167467479E-3</v>
      </c>
      <c r="AD4" s="35">
        <f t="shared" ca="1" si="13"/>
        <v>4.0563413163166801E-3</v>
      </c>
      <c r="AE4" s="35">
        <f t="shared" ca="1" si="14"/>
        <v>4.3676193070173539E-3</v>
      </c>
      <c r="AF4" s="35">
        <f t="shared" ca="1" si="15"/>
        <v>4.912355790743326E-3</v>
      </c>
      <c r="AG4" s="35">
        <f t="shared" ca="1" si="16"/>
        <v>4.7858991070211685E-3</v>
      </c>
      <c r="AH4" s="35">
        <f t="shared" ca="1" si="17"/>
        <v>4.2119803116670174E-3</v>
      </c>
      <c r="AI4" s="35">
        <f t="shared" ca="1" si="18"/>
        <v>4.348164432598476E-3</v>
      </c>
      <c r="AJ4" s="35">
        <f t="shared" ca="1" si="19"/>
        <v>4.2800723721328152E-3</v>
      </c>
      <c r="AK4" s="35">
        <f t="shared" ca="1" si="20"/>
        <v>4.4259839302737136E-3</v>
      </c>
      <c r="AM4" s="35">
        <f t="shared" ca="1" si="21"/>
        <v>4.2333806735276862E-2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5.282</v>
      </c>
      <c r="F5">
        <v>239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5.2949999999999999</v>
      </c>
      <c r="F6">
        <v>207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179.93799999999999</v>
      </c>
      <c r="N6" s="35">
        <f t="shared" ca="1" si="2"/>
        <v>179.93799999999999</v>
      </c>
      <c r="O6" s="35">
        <f t="shared" ca="1" si="3"/>
        <v>179.93799999999999</v>
      </c>
      <c r="P6" s="35">
        <f t="shared" ca="1" si="4"/>
        <v>179.93799999999999</v>
      </c>
      <c r="Q6" s="35">
        <f t="shared" ca="1" si="5"/>
        <v>179.93799999999999</v>
      </c>
      <c r="R6" s="35">
        <f t="shared" ca="1" si="6"/>
        <v>179.93799999999999</v>
      </c>
      <c r="S6" s="35">
        <f t="shared" ca="1" si="7"/>
        <v>179.93799999999999</v>
      </c>
      <c r="T6" s="35">
        <f t="shared" ca="1" si="8"/>
        <v>179.953</v>
      </c>
      <c r="U6" s="35">
        <f t="shared" ca="1" si="9"/>
        <v>179.93799999999999</v>
      </c>
      <c r="W6" s="35">
        <f t="shared" ca="1" si="10"/>
        <v>179.93950000000001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1.4749016268442469E-3</v>
      </c>
      <c r="AD6" s="35">
        <f t="shared" ca="1" si="13"/>
        <v>1.4749016268442469E-3</v>
      </c>
      <c r="AE6" s="35">
        <f t="shared" ca="1" si="14"/>
        <v>1.4749016268442469E-3</v>
      </c>
      <c r="AF6" s="35">
        <f t="shared" ca="1" si="15"/>
        <v>1.4749016268442469E-3</v>
      </c>
      <c r="AG6" s="35">
        <f t="shared" ca="1" si="16"/>
        <v>1.4749016268442469E-3</v>
      </c>
      <c r="AH6" s="35">
        <f t="shared" ca="1" si="17"/>
        <v>1.4749016268442469E-3</v>
      </c>
      <c r="AI6" s="35">
        <f t="shared" ca="1" si="18"/>
        <v>1.4749016268442469E-3</v>
      </c>
      <c r="AJ6" s="35">
        <f t="shared" ca="1" si="19"/>
        <v>1.5583866245902341E-3</v>
      </c>
      <c r="AK6" s="35">
        <f t="shared" ca="1" si="20"/>
        <v>1.4749016268442469E-3</v>
      </c>
      <c r="AM6" s="35">
        <f t="shared" ca="1" si="21"/>
        <v>1.4832501266188458E-2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5.306</v>
      </c>
      <c r="F7">
        <v>216</v>
      </c>
      <c r="H7" s="35" t="s">
        <v>18</v>
      </c>
      <c r="I7" s="35">
        <v>100</v>
      </c>
      <c r="J7" s="35">
        <v>1</v>
      </c>
      <c r="L7" s="35">
        <f t="shared" ca="1" si="0"/>
        <v>239.173</v>
      </c>
      <c r="M7" s="35">
        <f t="shared" ca="1" si="1"/>
        <v>239.553</v>
      </c>
      <c r="N7" s="35">
        <f t="shared" ca="1" si="2"/>
        <v>239.36500000000001</v>
      </c>
      <c r="O7" s="35">
        <f t="shared" ca="1" si="3"/>
        <v>239.27699999999999</v>
      </c>
      <c r="P7" s="35">
        <f t="shared" ca="1" si="4"/>
        <v>239.02799999999999</v>
      </c>
      <c r="Q7" s="35">
        <f t="shared" ca="1" si="5"/>
        <v>239.14699999999999</v>
      </c>
      <c r="R7" s="35">
        <f t="shared" ca="1" si="6"/>
        <v>238.953</v>
      </c>
      <c r="S7" s="35">
        <f t="shared" ca="1" si="7"/>
        <v>239.47</v>
      </c>
      <c r="T7" s="35">
        <f t="shared" ca="1" si="8"/>
        <v>239.51599999999999</v>
      </c>
      <c r="U7" s="35">
        <f t="shared" ca="1" si="9"/>
        <v>239.547</v>
      </c>
      <c r="W7" s="35">
        <f t="shared" ca="1" si="10"/>
        <v>239.30289999999999</v>
      </c>
      <c r="Y7" s="35">
        <f ca="1">Total!E7</f>
        <v>238.86699999999999</v>
      </c>
      <c r="AB7" s="35">
        <f t="shared" ca="1" si="11"/>
        <v>1.281047612269638E-3</v>
      </c>
      <c r="AC7" s="35">
        <f t="shared" ca="1" si="12"/>
        <v>2.8718910523429651E-3</v>
      </c>
      <c r="AD7" s="35">
        <f t="shared" ca="1" si="13"/>
        <v>2.0848421925172538E-3</v>
      </c>
      <c r="AE7" s="35">
        <f t="shared" ca="1" si="14"/>
        <v>1.7164363432370174E-3</v>
      </c>
      <c r="AF7" s="35">
        <f t="shared" ca="1" si="15"/>
        <v>6.7401524697844977E-4</v>
      </c>
      <c r="AG7" s="35">
        <f t="shared" ca="1" si="16"/>
        <v>1.1722004295277337E-3</v>
      </c>
      <c r="AH7" s="35">
        <f t="shared" ca="1" si="17"/>
        <v>3.600329890692843E-4</v>
      </c>
      <c r="AI7" s="35">
        <f t="shared" ca="1" si="18"/>
        <v>2.5244173535901096E-3</v>
      </c>
      <c r="AJ7" s="35">
        <f t="shared" ca="1" si="19"/>
        <v>2.7169931384410611E-3</v>
      </c>
      <c r="AK7" s="35">
        <f t="shared" ca="1" si="20"/>
        <v>2.8467724717102273E-3</v>
      </c>
      <c r="AM7" s="35">
        <f t="shared" ca="1" si="21"/>
        <v>1.8248648829683741E-2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5.2859999999999996</v>
      </c>
      <c r="F8">
        <v>184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5.2750000000000004</v>
      </c>
      <c r="F9">
        <v>209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4318.4880000000003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4314.0978000000005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1.130839366563183E-3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1.130839366563183E-3</v>
      </c>
    </row>
    <row r="10" spans="1:39" x14ac:dyDescent="0.3">
      <c r="A10" t="s">
        <v>17</v>
      </c>
      <c r="B10">
        <v>25</v>
      </c>
      <c r="C10">
        <v>1</v>
      </c>
      <c r="D10">
        <v>28.504000000000001</v>
      </c>
      <c r="E10">
        <v>5.2919999999999998</v>
      </c>
      <c r="F10">
        <v>221</v>
      </c>
      <c r="H10" s="35" t="s">
        <v>19</v>
      </c>
      <c r="I10" s="35">
        <v>100</v>
      </c>
      <c r="J10" s="35">
        <v>1</v>
      </c>
      <c r="L10" s="35">
        <f t="shared" ca="1" si="0"/>
        <v>35218.055</v>
      </c>
      <c r="M10" s="35">
        <f t="shared" ca="1" si="1"/>
        <v>35253.707000000002</v>
      </c>
      <c r="N10" s="35">
        <f t="shared" ca="1" si="2"/>
        <v>35246.612000000001</v>
      </c>
      <c r="O10" s="35">
        <f t="shared" ca="1" si="3"/>
        <v>35221.472999999998</v>
      </c>
      <c r="P10" s="35">
        <f t="shared" ca="1" si="4"/>
        <v>35258.817999999999</v>
      </c>
      <c r="Q10" s="35">
        <f t="shared" ca="1" si="5"/>
        <v>35224.968000000001</v>
      </c>
      <c r="R10" s="35">
        <f t="shared" ca="1" si="6"/>
        <v>35261.440000000002</v>
      </c>
      <c r="S10" s="35">
        <f t="shared" ca="1" si="7"/>
        <v>35253.512999999999</v>
      </c>
      <c r="T10" s="35">
        <f t="shared" ca="1" si="8"/>
        <v>35272.953000000001</v>
      </c>
      <c r="U10" s="35">
        <f t="shared" ca="1" si="9"/>
        <v>35258.428</v>
      </c>
      <c r="W10" s="35">
        <f t="shared" ca="1" si="10"/>
        <v>35246.996700000003</v>
      </c>
      <c r="Y10" s="35">
        <f ca="1">Total!E10</f>
        <v>35210.383000000002</v>
      </c>
      <c r="AB10" s="35">
        <f t="shared" ca="1" si="11"/>
        <v>2.1789027401373796E-4</v>
      </c>
      <c r="AC10" s="35">
        <f t="shared" ca="1" si="12"/>
        <v>1.2304325119099251E-3</v>
      </c>
      <c r="AD10" s="35">
        <f t="shared" ca="1" si="13"/>
        <v>1.028929449588758E-3</v>
      </c>
      <c r="AE10" s="35">
        <f t="shared" ca="1" si="14"/>
        <v>3.1496391277528865E-4</v>
      </c>
      <c r="AF10" s="35">
        <f t="shared" ca="1" si="15"/>
        <v>1.3755885586361747E-3</v>
      </c>
      <c r="AG10" s="35">
        <f t="shared" ca="1" si="16"/>
        <v>4.1422440647689423E-4</v>
      </c>
      <c r="AH10" s="35">
        <f t="shared" ca="1" si="17"/>
        <v>1.4500552294475382E-3</v>
      </c>
      <c r="AI10" s="35">
        <f t="shared" ca="1" si="18"/>
        <v>1.2249227734897794E-3</v>
      </c>
      <c r="AJ10" s="35">
        <f t="shared" ca="1" si="19"/>
        <v>1.7770326440357013E-3</v>
      </c>
      <c r="AK10" s="35">
        <f t="shared" ca="1" si="20"/>
        <v>1.3645122803690676E-3</v>
      </c>
      <c r="AM10" s="35">
        <f t="shared" ca="1" si="21"/>
        <v>1.0398552040742866E-2</v>
      </c>
    </row>
    <row r="11" spans="1:39" x14ac:dyDescent="0.3">
      <c r="A11" t="s">
        <v>17</v>
      </c>
      <c r="B11">
        <v>50</v>
      </c>
      <c r="C11">
        <v>1</v>
      </c>
      <c r="D11">
        <v>53.067999999999998</v>
      </c>
      <c r="E11">
        <v>19.593</v>
      </c>
      <c r="F11">
        <v>259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658.23299999999995</v>
      </c>
      <c r="N11" s="35">
        <f t="shared" ca="1" si="2"/>
        <v>658.23299999999995</v>
      </c>
      <c r="O11" s="35">
        <f t="shared" ca="1" si="3"/>
        <v>658.23299999999995</v>
      </c>
      <c r="P11" s="35">
        <f t="shared" ca="1" si="4"/>
        <v>658.23299999999995</v>
      </c>
      <c r="Q11" s="35">
        <f t="shared" ca="1" si="5"/>
        <v>657.35599999999999</v>
      </c>
      <c r="R11" s="35">
        <f t="shared" ca="1" si="6"/>
        <v>657.35599999999999</v>
      </c>
      <c r="S11" s="35">
        <f t="shared" ca="1" si="7"/>
        <v>658.23299999999995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657.79449999999986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4.2229562219186613E-3</v>
      </c>
      <c r="AD11" s="35">
        <f t="shared" ca="1" si="13"/>
        <v>4.2229562219186613E-3</v>
      </c>
      <c r="AE11" s="35">
        <f t="shared" ca="1" si="14"/>
        <v>4.2229562219186613E-3</v>
      </c>
      <c r="AF11" s="35">
        <f t="shared" ca="1" si="15"/>
        <v>4.2229562219186613E-3</v>
      </c>
      <c r="AG11" s="35">
        <f t="shared" ca="1" si="16"/>
        <v>2.8849747888902728E-3</v>
      </c>
      <c r="AH11" s="35">
        <f t="shared" ca="1" si="17"/>
        <v>2.8849747888902728E-3</v>
      </c>
      <c r="AI11" s="35">
        <f t="shared" ca="1" si="18"/>
        <v>4.2229562219186613E-3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3.5539655054044668E-2</v>
      </c>
    </row>
    <row r="12" spans="1:39" x14ac:dyDescent="0.3">
      <c r="A12" t="s">
        <v>17</v>
      </c>
      <c r="B12">
        <v>50</v>
      </c>
      <c r="C12">
        <v>1</v>
      </c>
      <c r="D12">
        <v>53.037999999999997</v>
      </c>
      <c r="E12">
        <v>19.574000000000002</v>
      </c>
      <c r="F12">
        <v>256</v>
      </c>
      <c r="H12" s="35" t="s">
        <v>20</v>
      </c>
      <c r="I12" s="35">
        <v>50</v>
      </c>
      <c r="J12" s="35">
        <v>1</v>
      </c>
      <c r="L12" s="35">
        <f t="shared" ca="1" si="0"/>
        <v>994.43499999999995</v>
      </c>
      <c r="M12" s="35">
        <f t="shared" ca="1" si="1"/>
        <v>994.10599999999999</v>
      </c>
      <c r="N12" s="35">
        <f t="shared" ca="1" si="2"/>
        <v>991.62699999999995</v>
      </c>
      <c r="O12" s="35">
        <f t="shared" ca="1" si="3"/>
        <v>992.34</v>
      </c>
      <c r="P12" s="35">
        <f t="shared" ca="1" si="4"/>
        <v>995.87599999999998</v>
      </c>
      <c r="Q12" s="35">
        <f t="shared" ca="1" si="5"/>
        <v>994.029</v>
      </c>
      <c r="R12" s="35">
        <f t="shared" ca="1" si="6"/>
        <v>995.02099999999996</v>
      </c>
      <c r="S12" s="35">
        <f t="shared" ca="1" si="7"/>
        <v>992.41600000000005</v>
      </c>
      <c r="T12" s="35">
        <f t="shared" ca="1" si="8"/>
        <v>991.51900000000001</v>
      </c>
      <c r="U12" s="35">
        <f t="shared" ca="1" si="9"/>
        <v>991.82899999999995</v>
      </c>
      <c r="W12" s="35">
        <f t="shared" ca="1" si="10"/>
        <v>993.31979999999999</v>
      </c>
      <c r="Y12" s="35">
        <f ca="1">Total!E12</f>
        <v>990.096</v>
      </c>
      <c r="AB12" s="35">
        <f t="shared" ca="1" si="11"/>
        <v>4.3824033225060418E-3</v>
      </c>
      <c r="AC12" s="35">
        <f t="shared" ca="1" si="12"/>
        <v>4.0501123123414199E-3</v>
      </c>
      <c r="AD12" s="35">
        <f t="shared" ca="1" si="13"/>
        <v>1.5463147007966391E-3</v>
      </c>
      <c r="AE12" s="35">
        <f t="shared" ca="1" si="14"/>
        <v>2.2664468899985741E-3</v>
      </c>
      <c r="AF12" s="35">
        <f t="shared" ca="1" si="15"/>
        <v>5.8378177469659235E-3</v>
      </c>
      <c r="AG12" s="35">
        <f t="shared" ca="1" si="16"/>
        <v>3.9723420759199034E-3</v>
      </c>
      <c r="AH12" s="35">
        <f t="shared" ca="1" si="17"/>
        <v>4.974265121765924E-3</v>
      </c>
      <c r="AI12" s="35">
        <f t="shared" ca="1" si="18"/>
        <v>2.3432071233497054E-3</v>
      </c>
      <c r="AJ12" s="35">
        <f t="shared" ca="1" si="19"/>
        <v>1.4372343691924842E-3</v>
      </c>
      <c r="AK12" s="35">
        <f t="shared" ca="1" si="20"/>
        <v>1.7503353210193227E-3</v>
      </c>
      <c r="AM12" s="35">
        <f t="shared" ca="1" si="21"/>
        <v>3.2560478983855938E-2</v>
      </c>
    </row>
    <row r="13" spans="1:39" x14ac:dyDescent="0.3">
      <c r="A13" t="s">
        <v>17</v>
      </c>
      <c r="B13">
        <v>50</v>
      </c>
      <c r="C13">
        <v>1</v>
      </c>
      <c r="D13">
        <v>53.048000000000002</v>
      </c>
      <c r="E13">
        <v>19.57</v>
      </c>
      <c r="F13">
        <v>255</v>
      </c>
      <c r="H13" s="35" t="s">
        <v>20</v>
      </c>
      <c r="I13" s="35">
        <v>100</v>
      </c>
      <c r="J13" s="35">
        <v>1</v>
      </c>
      <c r="L13" s="35">
        <f t="shared" ca="1" si="0"/>
        <v>1758.335</v>
      </c>
      <c r="M13" s="35">
        <f t="shared" ca="1" si="1"/>
        <v>1756.287</v>
      </c>
      <c r="N13" s="35">
        <f t="shared" ca="1" si="2"/>
        <v>1756.3869999999999</v>
      </c>
      <c r="O13" s="35">
        <f t="shared" ca="1" si="3"/>
        <v>1757.27</v>
      </c>
      <c r="P13" s="35">
        <f t="shared" ca="1" si="4"/>
        <v>1755.1369999999999</v>
      </c>
      <c r="Q13" s="35">
        <f t="shared" ca="1" si="5"/>
        <v>1757.316</v>
      </c>
      <c r="R13" s="35">
        <f t="shared" ca="1" si="6"/>
        <v>1756.56</v>
      </c>
      <c r="S13" s="35">
        <f t="shared" ca="1" si="7"/>
        <v>1759.0930000000001</v>
      </c>
      <c r="T13" s="35">
        <f t="shared" ca="1" si="8"/>
        <v>1757.8019999999999</v>
      </c>
      <c r="U13" s="35">
        <f t="shared" ca="1" si="9"/>
        <v>1756.75</v>
      </c>
      <c r="W13" s="35">
        <f t="shared" ca="1" si="10"/>
        <v>1757.0937000000001</v>
      </c>
      <c r="Y13" s="35">
        <f ca="1">Total!E13</f>
        <v>1753.79</v>
      </c>
      <c r="AB13" s="35">
        <f t="shared" ca="1" si="11"/>
        <v>2.5915303428575101E-3</v>
      </c>
      <c r="AC13" s="35">
        <f t="shared" ca="1" si="12"/>
        <v>1.4237736559109535E-3</v>
      </c>
      <c r="AD13" s="35">
        <f t="shared" ca="1" si="13"/>
        <v>1.4807930253907138E-3</v>
      </c>
      <c r="AE13" s="35">
        <f t="shared" ca="1" si="14"/>
        <v>1.9842740578974783E-3</v>
      </c>
      <c r="AF13" s="35">
        <f t="shared" ca="1" si="15"/>
        <v>7.6805090689306015E-4</v>
      </c>
      <c r="AG13" s="35">
        <f t="shared" ca="1" si="16"/>
        <v>2.0105029678582197E-3</v>
      </c>
      <c r="AH13" s="35">
        <f t="shared" ca="1" si="17"/>
        <v>1.5794365345907901E-3</v>
      </c>
      <c r="AI13" s="35">
        <f t="shared" ca="1" si="18"/>
        <v>3.0237371635145091E-3</v>
      </c>
      <c r="AJ13" s="35">
        <f t="shared" ca="1" si="19"/>
        <v>2.287617103530037E-3</v>
      </c>
      <c r="AK13" s="35">
        <f t="shared" ca="1" si="20"/>
        <v>1.6877733366024647E-3</v>
      </c>
      <c r="AM13" s="35">
        <f t="shared" ca="1" si="21"/>
        <v>1.8837489095045738E-2</v>
      </c>
    </row>
    <row r="14" spans="1:39" x14ac:dyDescent="0.3">
      <c r="A14" t="s">
        <v>17</v>
      </c>
      <c r="B14">
        <v>50</v>
      </c>
      <c r="C14">
        <v>1</v>
      </c>
      <c r="D14">
        <v>52.933999999999997</v>
      </c>
      <c r="E14">
        <v>19.593</v>
      </c>
      <c r="F14">
        <v>257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52.987000000000002</v>
      </c>
      <c r="E15">
        <v>19.545999999999999</v>
      </c>
      <c r="F15">
        <v>276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76.144999999999996</v>
      </c>
      <c r="M15" s="35">
        <f t="shared" ca="1" si="1"/>
        <v>76.41</v>
      </c>
      <c r="N15" s="35">
        <f t="shared" ca="1" si="1"/>
        <v>76.558000000000007</v>
      </c>
      <c r="O15" s="35">
        <f t="shared" ca="1" si="1"/>
        <v>76.430999999999997</v>
      </c>
      <c r="P15" s="35">
        <f t="shared" ca="1" si="1"/>
        <v>76.335999999999999</v>
      </c>
      <c r="Q15" s="35">
        <f t="shared" ca="1" si="1"/>
        <v>75.998000000000005</v>
      </c>
      <c r="R15" s="35">
        <f t="shared" ca="1" si="1"/>
        <v>76.515000000000001</v>
      </c>
      <c r="S15" s="35">
        <f t="shared" ca="1" si="1"/>
        <v>76.353999999999999</v>
      </c>
      <c r="T15" s="35">
        <f t="shared" ca="1" si="1"/>
        <v>76.290999999999997</v>
      </c>
      <c r="U15" s="35">
        <f t="shared" ca="1" si="1"/>
        <v>76.733000000000004</v>
      </c>
      <c r="W15" s="35">
        <f t="shared" ca="1" si="10"/>
        <v>76.377099999999999</v>
      </c>
      <c r="Y15" s="35">
        <f ca="1">Total!E15</f>
        <v>75.998000000000005</v>
      </c>
      <c r="AB15" s="35">
        <f t="shared" ca="1" si="11"/>
        <v>1.9342614279322001E-3</v>
      </c>
      <c r="AC15" s="35">
        <f t="shared" ca="1" si="12"/>
        <v>5.4211952946129098E-3</v>
      </c>
      <c r="AD15" s="35">
        <f t="shared" ca="1" si="13"/>
        <v>7.3686149635517019E-3</v>
      </c>
      <c r="AE15" s="35">
        <f t="shared" ca="1" si="14"/>
        <v>5.6975183557461074E-3</v>
      </c>
      <c r="AF15" s="35">
        <f t="shared" ca="1" si="15"/>
        <v>4.4474854601436065E-3</v>
      </c>
      <c r="AG15" s="35">
        <f t="shared" ca="1" si="16"/>
        <v>0</v>
      </c>
      <c r="AH15" s="35">
        <f t="shared" ca="1" si="17"/>
        <v>6.8028106002789007E-3</v>
      </c>
      <c r="AI15" s="35">
        <f t="shared" ca="1" si="18"/>
        <v>4.6843337982577764E-3</v>
      </c>
      <c r="AJ15" s="35">
        <f t="shared" ca="1" si="19"/>
        <v>3.8553646148581822E-3</v>
      </c>
      <c r="AK15" s="35">
        <f t="shared" ca="1" si="20"/>
        <v>9.6713071396615623E-3</v>
      </c>
      <c r="AM15" s="35">
        <f t="shared" ca="1" si="21"/>
        <v>4.9882891655042956E-2</v>
      </c>
    </row>
    <row r="16" spans="1:39" x14ac:dyDescent="0.3">
      <c r="A16" t="s">
        <v>17</v>
      </c>
      <c r="B16">
        <v>50</v>
      </c>
      <c r="C16">
        <v>1</v>
      </c>
      <c r="D16">
        <v>53.036999999999999</v>
      </c>
      <c r="E16">
        <v>19.584</v>
      </c>
      <c r="F16">
        <v>347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118.538</v>
      </c>
      <c r="M16" s="35">
        <f t="shared" ca="1" si="1"/>
        <v>119.43899999999999</v>
      </c>
      <c r="N16" s="35">
        <f t="shared" ca="1" si="1"/>
        <v>118.55</v>
      </c>
      <c r="O16" s="35">
        <f t="shared" ca="1" si="1"/>
        <v>119.04</v>
      </c>
      <c r="P16" s="35">
        <f t="shared" ca="1" si="1"/>
        <v>119.20699999999999</v>
      </c>
      <c r="Q16" s="35">
        <f t="shared" ca="1" si="1"/>
        <v>118.80800000000001</v>
      </c>
      <c r="R16" s="35">
        <f t="shared" ca="1" si="1"/>
        <v>119.595</v>
      </c>
      <c r="S16" s="35">
        <f t="shared" ca="1" si="1"/>
        <v>119.13500000000001</v>
      </c>
      <c r="T16" s="35">
        <f t="shared" ca="1" si="1"/>
        <v>118.81399999999999</v>
      </c>
      <c r="U16" s="35">
        <f t="shared" ca="1" si="1"/>
        <v>118.994</v>
      </c>
      <c r="W16" s="35">
        <f t="shared" ca="1" si="10"/>
        <v>119.01199999999999</v>
      </c>
      <c r="Y16" s="35">
        <f ca="1">Total!E16</f>
        <v>118.01</v>
      </c>
      <c r="AB16" s="35">
        <f t="shared" ca="1" si="11"/>
        <v>4.4741971019404423E-3</v>
      </c>
      <c r="AC16" s="35">
        <f t="shared" ca="1" si="12"/>
        <v>1.2109143292941172E-2</v>
      </c>
      <c r="AD16" s="35">
        <f t="shared" ca="1" si="13"/>
        <v>4.5758833997118211E-3</v>
      </c>
      <c r="AE16" s="35">
        <f t="shared" ca="1" si="14"/>
        <v>8.7280738920430569E-3</v>
      </c>
      <c r="AF16" s="35">
        <f t="shared" ca="1" si="15"/>
        <v>1.0143208202694589E-2</v>
      </c>
      <c r="AG16" s="35">
        <f t="shared" ca="1" si="16"/>
        <v>6.762138801796473E-3</v>
      </c>
      <c r="AH16" s="35">
        <f t="shared" ca="1" si="17"/>
        <v>1.3431065163969101E-2</v>
      </c>
      <c r="AI16" s="35">
        <f t="shared" ca="1" si="18"/>
        <v>9.5330904160664341E-3</v>
      </c>
      <c r="AJ16" s="35">
        <f t="shared" ca="1" si="19"/>
        <v>6.8129819506820418E-3</v>
      </c>
      <c r="AK16" s="35">
        <f t="shared" ca="1" si="20"/>
        <v>8.3382764172527293E-3</v>
      </c>
      <c r="AM16" s="35">
        <f t="shared" ca="1" si="21"/>
        <v>8.4908058639097853E-2</v>
      </c>
    </row>
    <row r="17" spans="1:39" x14ac:dyDescent="0.3">
      <c r="A17" t="s">
        <v>17</v>
      </c>
      <c r="B17">
        <v>50</v>
      </c>
      <c r="C17">
        <v>1</v>
      </c>
      <c r="D17">
        <v>52.933</v>
      </c>
      <c r="E17">
        <v>19.584</v>
      </c>
      <c r="F17">
        <v>360</v>
      </c>
      <c r="H17" s="35" t="s">
        <v>34</v>
      </c>
      <c r="I17" s="35">
        <v>40</v>
      </c>
      <c r="J17" s="35">
        <v>1</v>
      </c>
      <c r="L17" s="35">
        <f t="shared" ca="1" si="22"/>
        <v>16.693999999999999</v>
      </c>
      <c r="M17" s="35">
        <f t="shared" ca="1" si="1"/>
        <v>16.803999999999998</v>
      </c>
      <c r="N17" s="35">
        <f t="shared" ca="1" si="1"/>
        <v>16.75</v>
      </c>
      <c r="O17" s="35">
        <f t="shared" ca="1" si="1"/>
        <v>16.616</v>
      </c>
      <c r="P17" s="35">
        <f t="shared" ca="1" si="1"/>
        <v>16.696000000000002</v>
      </c>
      <c r="Q17" s="35">
        <f t="shared" ca="1" si="1"/>
        <v>16.760000000000002</v>
      </c>
      <c r="R17" s="35">
        <f t="shared" ca="1" si="1"/>
        <v>16.672000000000001</v>
      </c>
      <c r="S17" s="35">
        <f t="shared" ca="1" si="1"/>
        <v>16.725000000000001</v>
      </c>
      <c r="T17" s="35">
        <f t="shared" ca="1" si="1"/>
        <v>16.539000000000001</v>
      </c>
      <c r="U17" s="35">
        <f t="shared" ca="1" si="1"/>
        <v>16.753</v>
      </c>
      <c r="W17" s="35">
        <f t="shared" ca="1" si="10"/>
        <v>16.700900000000001</v>
      </c>
      <c r="Y17" s="35">
        <f ca="1">Total!E17</f>
        <v>16.481999999999999</v>
      </c>
      <c r="AB17" s="35">
        <f t="shared" ca="1" si="11"/>
        <v>1.2862516684868326E-2</v>
      </c>
      <c r="AC17" s="35">
        <f t="shared" ca="1" si="12"/>
        <v>1.9536464021356583E-2</v>
      </c>
      <c r="AD17" s="35">
        <f t="shared" ca="1" si="13"/>
        <v>1.626016260162606E-2</v>
      </c>
      <c r="AE17" s="35">
        <f t="shared" ca="1" si="14"/>
        <v>8.1300813008130298E-3</v>
      </c>
      <c r="AF17" s="35">
        <f t="shared" ca="1" si="15"/>
        <v>1.2983861181895534E-2</v>
      </c>
      <c r="AG17" s="35">
        <f t="shared" ca="1" si="16"/>
        <v>1.6866885086761454E-2</v>
      </c>
      <c r="AH17" s="35">
        <f t="shared" ca="1" si="17"/>
        <v>1.1527727217570762E-2</v>
      </c>
      <c r="AI17" s="35">
        <f t="shared" ca="1" si="18"/>
        <v>1.4743356388787897E-2</v>
      </c>
      <c r="AJ17" s="35">
        <f t="shared" ca="1" si="19"/>
        <v>3.4583181652713363E-3</v>
      </c>
      <c r="AK17" s="35">
        <f t="shared" ca="1" si="20"/>
        <v>1.6442179347166654E-2</v>
      </c>
      <c r="AM17" s="35">
        <f t="shared" ca="1" si="21"/>
        <v>0.13281155199611766</v>
      </c>
    </row>
    <row r="18" spans="1:39" x14ac:dyDescent="0.3">
      <c r="A18" t="s">
        <v>17</v>
      </c>
      <c r="B18">
        <v>50</v>
      </c>
      <c r="C18">
        <v>1</v>
      </c>
      <c r="D18">
        <v>53.046999999999997</v>
      </c>
      <c r="E18">
        <v>19.582999999999998</v>
      </c>
      <c r="F18">
        <v>325</v>
      </c>
      <c r="H18" s="35" t="s">
        <v>34</v>
      </c>
      <c r="I18" s="35">
        <v>96</v>
      </c>
      <c r="J18" s="35">
        <v>1</v>
      </c>
      <c r="L18" s="35">
        <f t="shared" ca="1" si="22"/>
        <v>35.154000000000003</v>
      </c>
      <c r="M18" s="35">
        <f t="shared" ca="1" si="22"/>
        <v>35.100999999999999</v>
      </c>
      <c r="N18" s="35">
        <f t="shared" ca="1" si="22"/>
        <v>35.173000000000002</v>
      </c>
      <c r="O18" s="35">
        <f t="shared" ca="1" si="22"/>
        <v>35.189</v>
      </c>
      <c r="P18" s="35">
        <f t="shared" ca="1" si="22"/>
        <v>35.210999999999999</v>
      </c>
      <c r="Q18" s="35">
        <f t="shared" ca="1" si="22"/>
        <v>35.128999999999998</v>
      </c>
      <c r="R18" s="35">
        <f t="shared" ca="1" si="22"/>
        <v>35.174999999999997</v>
      </c>
      <c r="S18" s="35">
        <f t="shared" ca="1" si="22"/>
        <v>35.085999999999999</v>
      </c>
      <c r="T18" s="35">
        <f t="shared" ca="1" si="22"/>
        <v>35.19</v>
      </c>
      <c r="U18" s="35">
        <f t="shared" ca="1" si="22"/>
        <v>35.156999999999996</v>
      </c>
      <c r="W18" s="35">
        <f t="shared" ca="1" si="10"/>
        <v>35.156499999999994</v>
      </c>
      <c r="Y18" s="35">
        <f ca="1">Total!E18</f>
        <v>35.069000000000003</v>
      </c>
      <c r="AB18" s="35">
        <f t="shared" ca="1" si="11"/>
        <v>2.4237930936154678E-3</v>
      </c>
      <c r="AC18" s="35">
        <f t="shared" ca="1" si="12"/>
        <v>9.1248681171394888E-4</v>
      </c>
      <c r="AD18" s="35">
        <f t="shared" ca="1" si="13"/>
        <v>2.9655821380706378E-3</v>
      </c>
      <c r="AE18" s="35">
        <f t="shared" ca="1" si="14"/>
        <v>3.421825543927612E-3</v>
      </c>
      <c r="AF18" s="35">
        <f t="shared" ca="1" si="15"/>
        <v>4.049160226980977E-3</v>
      </c>
      <c r="AG18" s="35">
        <f t="shared" ca="1" si="16"/>
        <v>1.7109127719637047E-3</v>
      </c>
      <c r="AH18" s="35">
        <f t="shared" ca="1" si="17"/>
        <v>3.0226125638026331E-3</v>
      </c>
      <c r="AI18" s="35">
        <f t="shared" ca="1" si="18"/>
        <v>4.8475861872297201E-4</v>
      </c>
      <c r="AJ18" s="35">
        <f t="shared" ca="1" si="19"/>
        <v>3.4503407567936096E-3</v>
      </c>
      <c r="AK18" s="35">
        <f t="shared" ca="1" si="20"/>
        <v>2.5093387322134607E-3</v>
      </c>
      <c r="AM18" s="35">
        <f t="shared" ca="1" si="21"/>
        <v>2.4950811257805024E-2</v>
      </c>
    </row>
    <row r="19" spans="1:39" x14ac:dyDescent="0.3">
      <c r="A19" t="s">
        <v>17</v>
      </c>
      <c r="B19">
        <v>50</v>
      </c>
      <c r="C19">
        <v>1</v>
      </c>
      <c r="D19">
        <v>53.097000000000001</v>
      </c>
      <c r="E19">
        <v>19.608000000000001</v>
      </c>
      <c r="F19">
        <v>262</v>
      </c>
      <c r="H19" s="35" t="s">
        <v>34</v>
      </c>
      <c r="I19" s="35">
        <v>224</v>
      </c>
      <c r="J19" s="35">
        <v>1</v>
      </c>
      <c r="L19" s="35">
        <f t="shared" ca="1" si="22"/>
        <v>71.94</v>
      </c>
      <c r="M19" s="35">
        <f t="shared" ca="1" si="22"/>
        <v>71.947999999999993</v>
      </c>
      <c r="N19" s="35">
        <f t="shared" ca="1" si="22"/>
        <v>71.945999999999998</v>
      </c>
      <c r="O19" s="35">
        <f t="shared" ca="1" si="22"/>
        <v>71.92</v>
      </c>
      <c r="P19" s="35">
        <f t="shared" ca="1" si="22"/>
        <v>72.018000000000001</v>
      </c>
      <c r="Q19" s="35">
        <f t="shared" ca="1" si="22"/>
        <v>71.965999999999994</v>
      </c>
      <c r="R19" s="35">
        <f t="shared" ca="1" si="22"/>
        <v>71.992999999999995</v>
      </c>
      <c r="S19" s="35">
        <f t="shared" ca="1" si="22"/>
        <v>71.938999999999993</v>
      </c>
      <c r="T19" s="35">
        <f t="shared" ca="1" si="22"/>
        <v>71.918000000000006</v>
      </c>
      <c r="U19" s="35">
        <f t="shared" ca="1" si="22"/>
        <v>71.918999999999997</v>
      </c>
      <c r="W19" s="35">
        <f t="shared" ca="1" si="10"/>
        <v>71.950699999999998</v>
      </c>
      <c r="Y19" s="35">
        <f ca="1">Total!E19</f>
        <v>71.908000000000001</v>
      </c>
      <c r="AB19" s="35">
        <f t="shared" ca="1" si="11"/>
        <v>4.4501307225894857E-4</v>
      </c>
      <c r="AC19" s="35">
        <f t="shared" ca="1" si="12"/>
        <v>5.5626634032363638E-4</v>
      </c>
      <c r="AD19" s="35">
        <f t="shared" ca="1" si="13"/>
        <v>5.2845302330751381E-4</v>
      </c>
      <c r="AE19" s="35">
        <f t="shared" ca="1" si="14"/>
        <v>1.6687990209713043E-4</v>
      </c>
      <c r="AF19" s="35">
        <f t="shared" ca="1" si="15"/>
        <v>1.5297324358902963E-3</v>
      </c>
      <c r="AG19" s="35">
        <f t="shared" ca="1" si="16"/>
        <v>8.06586193469332E-4</v>
      </c>
      <c r="AH19" s="35">
        <f t="shared" ca="1" si="17"/>
        <v>1.1820659731878755E-3</v>
      </c>
      <c r="AI19" s="35">
        <f t="shared" ca="1" si="18"/>
        <v>4.3110641375078852E-4</v>
      </c>
      <c r="AJ19" s="35">
        <f t="shared" ca="1" si="19"/>
        <v>1.3906658508100789E-4</v>
      </c>
      <c r="AK19" s="35">
        <f t="shared" ca="1" si="20"/>
        <v>1.5297324358897035E-4</v>
      </c>
      <c r="AM19" s="35">
        <f t="shared" ca="1" si="21"/>
        <v>5.9381431829554996E-3</v>
      </c>
    </row>
    <row r="20" spans="1:39" x14ac:dyDescent="0.3">
      <c r="A20" t="s">
        <v>17</v>
      </c>
      <c r="B20">
        <v>50</v>
      </c>
      <c r="C20">
        <v>1</v>
      </c>
      <c r="D20">
        <v>53.137</v>
      </c>
      <c r="E20">
        <v>19.568999999999999</v>
      </c>
      <c r="F20">
        <v>253</v>
      </c>
    </row>
    <row r="21" spans="1:39" x14ac:dyDescent="0.3">
      <c r="A21" t="s">
        <v>17</v>
      </c>
      <c r="B21">
        <v>100</v>
      </c>
      <c r="C21">
        <v>1</v>
      </c>
      <c r="D21">
        <v>103.232</v>
      </c>
      <c r="E21">
        <v>102.005</v>
      </c>
      <c r="F21">
        <v>457</v>
      </c>
    </row>
    <row r="22" spans="1:39" x14ac:dyDescent="0.3">
      <c r="A22" t="s">
        <v>17</v>
      </c>
      <c r="B22">
        <v>100</v>
      </c>
      <c r="C22">
        <v>1</v>
      </c>
      <c r="D22">
        <v>103.086</v>
      </c>
      <c r="E22">
        <v>102.191</v>
      </c>
      <c r="F22">
        <v>412</v>
      </c>
    </row>
    <row r="23" spans="1:39" x14ac:dyDescent="0.3">
      <c r="A23" t="s">
        <v>17</v>
      </c>
      <c r="B23">
        <v>100</v>
      </c>
      <c r="C23">
        <v>1</v>
      </c>
      <c r="D23">
        <v>103.21899999999999</v>
      </c>
      <c r="E23">
        <v>102.176</v>
      </c>
      <c r="F23">
        <v>407</v>
      </c>
    </row>
    <row r="24" spans="1:39" x14ac:dyDescent="0.3">
      <c r="A24" t="s">
        <v>17</v>
      </c>
      <c r="B24">
        <v>100</v>
      </c>
      <c r="C24">
        <v>1</v>
      </c>
      <c r="D24">
        <v>103.251</v>
      </c>
      <c r="E24">
        <v>102.184</v>
      </c>
      <c r="F24">
        <v>410</v>
      </c>
    </row>
    <row r="25" spans="1:39" x14ac:dyDescent="0.3">
      <c r="A25" t="s">
        <v>17</v>
      </c>
      <c r="B25">
        <v>100</v>
      </c>
      <c r="C25">
        <v>1</v>
      </c>
      <c r="D25">
        <v>103.307</v>
      </c>
      <c r="E25">
        <v>102.077</v>
      </c>
      <c r="F25">
        <v>409</v>
      </c>
    </row>
    <row r="26" spans="1:39" x14ac:dyDescent="0.3">
      <c r="A26" t="s">
        <v>17</v>
      </c>
      <c r="B26">
        <v>100</v>
      </c>
      <c r="C26">
        <v>1</v>
      </c>
      <c r="D26">
        <v>103.294</v>
      </c>
      <c r="E26">
        <v>102.122</v>
      </c>
      <c r="F26">
        <v>406</v>
      </c>
    </row>
    <row r="27" spans="1:39" x14ac:dyDescent="0.3">
      <c r="A27" t="s">
        <v>17</v>
      </c>
      <c r="B27">
        <v>100</v>
      </c>
      <c r="C27">
        <v>1</v>
      </c>
      <c r="D27">
        <v>103.235</v>
      </c>
      <c r="E27">
        <v>102.056</v>
      </c>
      <c r="F27">
        <v>424</v>
      </c>
    </row>
    <row r="28" spans="1:39" x14ac:dyDescent="0.3">
      <c r="A28" t="s">
        <v>17</v>
      </c>
      <c r="B28">
        <v>100</v>
      </c>
      <c r="C28">
        <v>1</v>
      </c>
      <c r="D28">
        <v>103.249</v>
      </c>
      <c r="E28">
        <v>102.152</v>
      </c>
      <c r="F28">
        <v>478</v>
      </c>
    </row>
    <row r="29" spans="1:39" x14ac:dyDescent="0.3">
      <c r="A29" t="s">
        <v>17</v>
      </c>
      <c r="B29">
        <v>100</v>
      </c>
      <c r="C29">
        <v>1</v>
      </c>
      <c r="D29">
        <v>103.242</v>
      </c>
      <c r="E29">
        <v>102.008</v>
      </c>
      <c r="F29">
        <v>459</v>
      </c>
    </row>
    <row r="30" spans="1:39" x14ac:dyDescent="0.3">
      <c r="A30" t="s">
        <v>17</v>
      </c>
      <c r="B30">
        <v>100</v>
      </c>
      <c r="C30">
        <v>1</v>
      </c>
      <c r="D30">
        <v>103.25700000000001</v>
      </c>
      <c r="E30">
        <v>102.172</v>
      </c>
      <c r="F30">
        <v>434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8.0090000000000003</v>
      </c>
      <c r="F31">
        <v>237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8.0129999999999999</v>
      </c>
      <c r="F32">
        <v>246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8.0310000000000006</v>
      </c>
      <c r="F33">
        <v>234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8.0109999999999992</v>
      </c>
      <c r="F34">
        <v>241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8.0180000000000007</v>
      </c>
      <c r="F35">
        <v>224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8.0169999999999995</v>
      </c>
      <c r="F36">
        <v>222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8.0470000000000006</v>
      </c>
      <c r="F37">
        <v>254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8.01</v>
      </c>
      <c r="F38">
        <v>254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8.0389999999999997</v>
      </c>
      <c r="F39">
        <v>226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8.0120000000000005</v>
      </c>
      <c r="F40">
        <v>221</v>
      </c>
    </row>
    <row r="41" spans="1:6" x14ac:dyDescent="0.3">
      <c r="A41" t="s">
        <v>18</v>
      </c>
      <c r="B41">
        <v>50</v>
      </c>
      <c r="C41">
        <v>1</v>
      </c>
      <c r="D41">
        <v>179.93799999999999</v>
      </c>
      <c r="E41">
        <v>22.449000000000002</v>
      </c>
      <c r="F41">
        <v>364</v>
      </c>
    </row>
    <row r="42" spans="1:6" x14ac:dyDescent="0.3">
      <c r="A42" t="s">
        <v>18</v>
      </c>
      <c r="B42">
        <v>50</v>
      </c>
      <c r="C42">
        <v>1</v>
      </c>
      <c r="D42">
        <v>179.93799999999999</v>
      </c>
      <c r="E42">
        <v>22.404</v>
      </c>
      <c r="F42">
        <v>359</v>
      </c>
    </row>
    <row r="43" spans="1:6" x14ac:dyDescent="0.3">
      <c r="A43" t="s">
        <v>18</v>
      </c>
      <c r="B43">
        <v>50</v>
      </c>
      <c r="C43">
        <v>1</v>
      </c>
      <c r="D43">
        <v>179.93799999999999</v>
      </c>
      <c r="E43">
        <v>22.445</v>
      </c>
      <c r="F43">
        <v>343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22.427</v>
      </c>
      <c r="F44">
        <v>382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22.417000000000002</v>
      </c>
      <c r="F45">
        <v>352</v>
      </c>
    </row>
    <row r="46" spans="1:6" x14ac:dyDescent="0.3">
      <c r="A46" t="s">
        <v>18</v>
      </c>
      <c r="B46">
        <v>50</v>
      </c>
      <c r="C46">
        <v>1</v>
      </c>
      <c r="D46">
        <v>179.93799999999999</v>
      </c>
      <c r="E46">
        <v>22.439</v>
      </c>
      <c r="F46">
        <v>375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22.41</v>
      </c>
      <c r="F47">
        <v>368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22.422999999999998</v>
      </c>
      <c r="F48">
        <v>372</v>
      </c>
    </row>
    <row r="49" spans="1:6" x14ac:dyDescent="0.3">
      <c r="A49" t="s">
        <v>18</v>
      </c>
      <c r="B49">
        <v>50</v>
      </c>
      <c r="C49">
        <v>1</v>
      </c>
      <c r="D49">
        <v>179.953</v>
      </c>
      <c r="E49">
        <v>22.428000000000001</v>
      </c>
      <c r="F49">
        <v>373</v>
      </c>
    </row>
    <row r="50" spans="1:6" x14ac:dyDescent="0.3">
      <c r="A50" t="s">
        <v>18</v>
      </c>
      <c r="B50">
        <v>50</v>
      </c>
      <c r="C50">
        <v>1</v>
      </c>
      <c r="D50">
        <v>179.93799999999999</v>
      </c>
      <c r="E50">
        <v>22.417000000000002</v>
      </c>
      <c r="F50">
        <v>263</v>
      </c>
    </row>
    <row r="51" spans="1:6" x14ac:dyDescent="0.3">
      <c r="A51" t="s">
        <v>18</v>
      </c>
      <c r="B51">
        <v>100</v>
      </c>
      <c r="C51">
        <v>1</v>
      </c>
      <c r="D51">
        <v>239.173</v>
      </c>
      <c r="E51">
        <v>138.65100000000001</v>
      </c>
      <c r="F51">
        <v>511</v>
      </c>
    </row>
    <row r="52" spans="1:6" x14ac:dyDescent="0.3">
      <c r="A52" t="s">
        <v>18</v>
      </c>
      <c r="B52">
        <v>100</v>
      </c>
      <c r="C52">
        <v>1</v>
      </c>
      <c r="D52">
        <v>239.553</v>
      </c>
      <c r="E52">
        <v>138.46199999999999</v>
      </c>
      <c r="F52">
        <v>461</v>
      </c>
    </row>
    <row r="53" spans="1:6" x14ac:dyDescent="0.3">
      <c r="A53" t="s">
        <v>18</v>
      </c>
      <c r="B53">
        <v>100</v>
      </c>
      <c r="C53">
        <v>1</v>
      </c>
      <c r="D53">
        <v>239.36500000000001</v>
      </c>
      <c r="E53">
        <v>138.71</v>
      </c>
      <c r="F53">
        <v>461</v>
      </c>
    </row>
    <row r="54" spans="1:6" x14ac:dyDescent="0.3">
      <c r="A54" t="s">
        <v>18</v>
      </c>
      <c r="B54">
        <v>100</v>
      </c>
      <c r="C54">
        <v>1</v>
      </c>
      <c r="D54">
        <v>239.27699999999999</v>
      </c>
      <c r="E54">
        <v>138.489</v>
      </c>
      <c r="F54">
        <v>458</v>
      </c>
    </row>
    <row r="55" spans="1:6" x14ac:dyDescent="0.3">
      <c r="A55" t="s">
        <v>18</v>
      </c>
      <c r="B55">
        <v>100</v>
      </c>
      <c r="C55">
        <v>1</v>
      </c>
      <c r="D55">
        <v>239.02799999999999</v>
      </c>
      <c r="E55">
        <v>138.691</v>
      </c>
      <c r="F55">
        <v>462</v>
      </c>
    </row>
    <row r="56" spans="1:6" x14ac:dyDescent="0.3">
      <c r="A56" t="s">
        <v>18</v>
      </c>
      <c r="B56">
        <v>100</v>
      </c>
      <c r="C56">
        <v>1</v>
      </c>
      <c r="D56">
        <v>239.14699999999999</v>
      </c>
      <c r="E56">
        <v>138.506</v>
      </c>
      <c r="F56">
        <v>496</v>
      </c>
    </row>
    <row r="57" spans="1:6" x14ac:dyDescent="0.3">
      <c r="A57" t="s">
        <v>18</v>
      </c>
      <c r="B57">
        <v>100</v>
      </c>
      <c r="C57">
        <v>1</v>
      </c>
      <c r="D57">
        <v>238.953</v>
      </c>
      <c r="E57">
        <v>138.60400000000001</v>
      </c>
      <c r="F57">
        <v>513</v>
      </c>
    </row>
    <row r="58" spans="1:6" x14ac:dyDescent="0.3">
      <c r="A58" t="s">
        <v>18</v>
      </c>
      <c r="B58">
        <v>100</v>
      </c>
      <c r="C58">
        <v>1</v>
      </c>
      <c r="D58">
        <v>239.47</v>
      </c>
      <c r="E58">
        <v>138.70400000000001</v>
      </c>
      <c r="F58">
        <v>470</v>
      </c>
    </row>
    <row r="59" spans="1:6" x14ac:dyDescent="0.3">
      <c r="A59" t="s">
        <v>18</v>
      </c>
      <c r="B59">
        <v>100</v>
      </c>
      <c r="C59">
        <v>1</v>
      </c>
      <c r="D59">
        <v>239.51599999999999</v>
      </c>
      <c r="E59">
        <v>138.68899999999999</v>
      </c>
      <c r="F59">
        <v>464</v>
      </c>
    </row>
    <row r="60" spans="1:6" x14ac:dyDescent="0.3">
      <c r="A60" t="s">
        <v>18</v>
      </c>
      <c r="B60">
        <v>100</v>
      </c>
      <c r="C60">
        <v>1</v>
      </c>
      <c r="D60">
        <v>239.547</v>
      </c>
      <c r="E60">
        <v>138.72</v>
      </c>
      <c r="F60">
        <v>458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4.3360000000000003</v>
      </c>
      <c r="F61">
        <v>182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4.3209999999999997</v>
      </c>
      <c r="F62">
        <v>196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4.3529999999999998</v>
      </c>
      <c r="F63">
        <v>199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4.327</v>
      </c>
      <c r="F64">
        <v>174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4.3449999999999998</v>
      </c>
      <c r="F65">
        <v>167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4.3209999999999997</v>
      </c>
      <c r="F66">
        <v>208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4.3159999999999998</v>
      </c>
      <c r="F67">
        <v>157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4.34</v>
      </c>
      <c r="F68">
        <v>167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4.3140000000000001</v>
      </c>
      <c r="F69">
        <v>201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4.3220000000000001</v>
      </c>
      <c r="F70">
        <v>184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13.242000000000001</v>
      </c>
      <c r="F71">
        <v>201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13.252000000000001</v>
      </c>
      <c r="F72">
        <v>209</v>
      </c>
    </row>
    <row r="73" spans="1:6" x14ac:dyDescent="0.3">
      <c r="A73" t="s">
        <v>19</v>
      </c>
      <c r="B73">
        <v>47</v>
      </c>
      <c r="C73">
        <v>1</v>
      </c>
      <c r="D73">
        <v>4318.4880000000003</v>
      </c>
      <c r="E73">
        <v>13.192</v>
      </c>
      <c r="F73">
        <v>208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13.204000000000001</v>
      </c>
      <c r="F74">
        <v>270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13.208</v>
      </c>
      <c r="F75">
        <v>277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13.227</v>
      </c>
      <c r="F76">
        <v>260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13.19</v>
      </c>
      <c r="F77">
        <v>295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13.206</v>
      </c>
      <c r="F78">
        <v>299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13.198</v>
      </c>
      <c r="F79">
        <v>280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13.202999999999999</v>
      </c>
      <c r="F80">
        <v>283</v>
      </c>
    </row>
    <row r="81" spans="1:6" x14ac:dyDescent="0.3">
      <c r="A81" t="s">
        <v>19</v>
      </c>
      <c r="B81">
        <v>100</v>
      </c>
      <c r="C81">
        <v>1</v>
      </c>
      <c r="D81">
        <v>35218.055</v>
      </c>
      <c r="E81">
        <v>55.014000000000003</v>
      </c>
      <c r="F81">
        <v>245</v>
      </c>
    </row>
    <row r="82" spans="1:6" x14ac:dyDescent="0.3">
      <c r="A82" t="s">
        <v>19</v>
      </c>
      <c r="B82">
        <v>100</v>
      </c>
      <c r="C82">
        <v>1</v>
      </c>
      <c r="D82">
        <v>35253.707000000002</v>
      </c>
      <c r="E82">
        <v>54.905000000000001</v>
      </c>
      <c r="F82">
        <v>231</v>
      </c>
    </row>
    <row r="83" spans="1:6" x14ac:dyDescent="0.3">
      <c r="A83" t="s">
        <v>19</v>
      </c>
      <c r="B83">
        <v>100</v>
      </c>
      <c r="C83">
        <v>1</v>
      </c>
      <c r="D83">
        <v>35246.612000000001</v>
      </c>
      <c r="E83">
        <v>54.875</v>
      </c>
      <c r="F83">
        <v>223</v>
      </c>
    </row>
    <row r="84" spans="1:6" x14ac:dyDescent="0.3">
      <c r="A84" t="s">
        <v>19</v>
      </c>
      <c r="B84">
        <v>100</v>
      </c>
      <c r="C84">
        <v>1</v>
      </c>
      <c r="D84">
        <v>35221.472999999998</v>
      </c>
      <c r="E84">
        <v>54.798999999999999</v>
      </c>
      <c r="F84">
        <v>225</v>
      </c>
    </row>
    <row r="85" spans="1:6" x14ac:dyDescent="0.3">
      <c r="A85" t="s">
        <v>19</v>
      </c>
      <c r="B85">
        <v>100</v>
      </c>
      <c r="C85">
        <v>1</v>
      </c>
      <c r="D85">
        <v>35258.817999999999</v>
      </c>
      <c r="E85">
        <v>54.982999999999997</v>
      </c>
      <c r="F85">
        <v>228</v>
      </c>
    </row>
    <row r="86" spans="1:6" x14ac:dyDescent="0.3">
      <c r="A86" t="s">
        <v>19</v>
      </c>
      <c r="B86">
        <v>100</v>
      </c>
      <c r="C86">
        <v>1</v>
      </c>
      <c r="D86">
        <v>35224.968000000001</v>
      </c>
      <c r="E86">
        <v>54.887</v>
      </c>
      <c r="F86">
        <v>225</v>
      </c>
    </row>
    <row r="87" spans="1:6" x14ac:dyDescent="0.3">
      <c r="A87" t="s">
        <v>19</v>
      </c>
      <c r="B87">
        <v>100</v>
      </c>
      <c r="C87">
        <v>1</v>
      </c>
      <c r="D87">
        <v>35261.440000000002</v>
      </c>
      <c r="E87">
        <v>54.902999999999999</v>
      </c>
      <c r="F87">
        <v>228</v>
      </c>
    </row>
    <row r="88" spans="1:6" x14ac:dyDescent="0.3">
      <c r="A88" t="s">
        <v>19</v>
      </c>
      <c r="B88">
        <v>100</v>
      </c>
      <c r="C88">
        <v>1</v>
      </c>
      <c r="D88">
        <v>35253.512999999999</v>
      </c>
      <c r="E88">
        <v>54.976999999999997</v>
      </c>
      <c r="F88">
        <v>235</v>
      </c>
    </row>
    <row r="89" spans="1:6" x14ac:dyDescent="0.3">
      <c r="A89" t="s">
        <v>19</v>
      </c>
      <c r="B89">
        <v>100</v>
      </c>
      <c r="C89">
        <v>1</v>
      </c>
      <c r="D89">
        <v>35272.953000000001</v>
      </c>
      <c r="E89">
        <v>54.844000000000001</v>
      </c>
      <c r="F89">
        <v>227</v>
      </c>
    </row>
    <row r="90" spans="1:6" x14ac:dyDescent="0.3">
      <c r="A90" t="s">
        <v>19</v>
      </c>
      <c r="B90">
        <v>100</v>
      </c>
      <c r="C90">
        <v>1</v>
      </c>
      <c r="D90">
        <v>35258.428</v>
      </c>
      <c r="E90">
        <v>54.959000000000003</v>
      </c>
      <c r="F90">
        <v>226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6.4770000000000003</v>
      </c>
      <c r="F91">
        <v>253</v>
      </c>
    </row>
    <row r="92" spans="1:6" x14ac:dyDescent="0.3">
      <c r="A92" t="s">
        <v>20</v>
      </c>
      <c r="B92">
        <v>30</v>
      </c>
      <c r="C92">
        <v>1</v>
      </c>
      <c r="D92">
        <v>658.23299999999995</v>
      </c>
      <c r="E92">
        <v>6.4790000000000001</v>
      </c>
      <c r="F92">
        <v>280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6.4930000000000003</v>
      </c>
      <c r="F93">
        <v>275</v>
      </c>
    </row>
    <row r="94" spans="1:6" x14ac:dyDescent="0.3">
      <c r="A94" t="s">
        <v>20</v>
      </c>
      <c r="B94">
        <v>30</v>
      </c>
      <c r="C94">
        <v>1</v>
      </c>
      <c r="D94">
        <v>658.23299999999995</v>
      </c>
      <c r="E94">
        <v>6.4770000000000003</v>
      </c>
      <c r="F94">
        <v>280</v>
      </c>
    </row>
    <row r="95" spans="1:6" x14ac:dyDescent="0.3">
      <c r="A95" t="s">
        <v>20</v>
      </c>
      <c r="B95">
        <v>30</v>
      </c>
      <c r="C95">
        <v>1</v>
      </c>
      <c r="D95">
        <v>658.23299999999995</v>
      </c>
      <c r="E95">
        <v>6.4779999999999998</v>
      </c>
      <c r="F95">
        <v>222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6.4960000000000004</v>
      </c>
      <c r="F96">
        <v>199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6.4980000000000002</v>
      </c>
      <c r="F97">
        <v>195</v>
      </c>
    </row>
    <row r="98" spans="1:6" x14ac:dyDescent="0.3">
      <c r="A98" t="s">
        <v>20</v>
      </c>
      <c r="B98">
        <v>30</v>
      </c>
      <c r="C98">
        <v>1</v>
      </c>
      <c r="D98">
        <v>658.23299999999995</v>
      </c>
      <c r="E98">
        <v>6.4669999999999996</v>
      </c>
      <c r="F98">
        <v>199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6.5250000000000004</v>
      </c>
      <c r="F99">
        <v>202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6.4989999999999997</v>
      </c>
      <c r="F100">
        <v>214</v>
      </c>
    </row>
    <row r="101" spans="1:6" x14ac:dyDescent="0.3">
      <c r="A101" t="s">
        <v>20</v>
      </c>
      <c r="B101">
        <v>50</v>
      </c>
      <c r="C101">
        <v>1</v>
      </c>
      <c r="D101">
        <v>994.43499999999995</v>
      </c>
      <c r="E101">
        <v>14.693</v>
      </c>
      <c r="F101">
        <v>294</v>
      </c>
    </row>
    <row r="102" spans="1:6" x14ac:dyDescent="0.3">
      <c r="A102" t="s">
        <v>20</v>
      </c>
      <c r="B102">
        <v>50</v>
      </c>
      <c r="C102">
        <v>1</v>
      </c>
      <c r="D102">
        <v>994.10599999999999</v>
      </c>
      <c r="E102">
        <v>14.714</v>
      </c>
      <c r="F102">
        <v>290</v>
      </c>
    </row>
    <row r="103" spans="1:6" x14ac:dyDescent="0.3">
      <c r="A103" t="s">
        <v>20</v>
      </c>
      <c r="B103">
        <v>50</v>
      </c>
      <c r="C103">
        <v>1</v>
      </c>
      <c r="D103">
        <v>991.62699999999995</v>
      </c>
      <c r="E103">
        <v>14.696999999999999</v>
      </c>
      <c r="F103">
        <v>306</v>
      </c>
    </row>
    <row r="104" spans="1:6" x14ac:dyDescent="0.3">
      <c r="A104" t="s">
        <v>20</v>
      </c>
      <c r="B104">
        <v>50</v>
      </c>
      <c r="C104">
        <v>1</v>
      </c>
      <c r="D104">
        <v>992.34</v>
      </c>
      <c r="E104">
        <v>14.721</v>
      </c>
      <c r="F104">
        <v>285</v>
      </c>
    </row>
    <row r="105" spans="1:6" x14ac:dyDescent="0.3">
      <c r="A105" t="s">
        <v>20</v>
      </c>
      <c r="B105">
        <v>50</v>
      </c>
      <c r="C105">
        <v>1</v>
      </c>
      <c r="D105">
        <v>995.87599999999998</v>
      </c>
      <c r="E105">
        <v>14.683999999999999</v>
      </c>
      <c r="F105">
        <v>302</v>
      </c>
    </row>
    <row r="106" spans="1:6" x14ac:dyDescent="0.3">
      <c r="A106" t="s">
        <v>20</v>
      </c>
      <c r="B106">
        <v>50</v>
      </c>
      <c r="C106">
        <v>1</v>
      </c>
      <c r="D106">
        <v>994.029</v>
      </c>
      <c r="E106">
        <v>14.712</v>
      </c>
      <c r="F106">
        <v>231</v>
      </c>
    </row>
    <row r="107" spans="1:6" x14ac:dyDescent="0.3">
      <c r="A107" t="s">
        <v>20</v>
      </c>
      <c r="B107">
        <v>50</v>
      </c>
      <c r="C107">
        <v>1</v>
      </c>
      <c r="D107">
        <v>995.02099999999996</v>
      </c>
      <c r="E107">
        <v>14.747</v>
      </c>
      <c r="F107">
        <v>210</v>
      </c>
    </row>
    <row r="108" spans="1:6" x14ac:dyDescent="0.3">
      <c r="A108" t="s">
        <v>20</v>
      </c>
      <c r="B108">
        <v>50</v>
      </c>
      <c r="C108">
        <v>1</v>
      </c>
      <c r="D108">
        <v>992.41600000000005</v>
      </c>
      <c r="E108">
        <v>14.693</v>
      </c>
      <c r="F108">
        <v>203</v>
      </c>
    </row>
    <row r="109" spans="1:6" x14ac:dyDescent="0.3">
      <c r="A109" t="s">
        <v>20</v>
      </c>
      <c r="B109">
        <v>50</v>
      </c>
      <c r="C109">
        <v>1</v>
      </c>
      <c r="D109">
        <v>991.51900000000001</v>
      </c>
      <c r="E109">
        <v>14.692</v>
      </c>
      <c r="F109">
        <v>210</v>
      </c>
    </row>
    <row r="110" spans="1:6" x14ac:dyDescent="0.3">
      <c r="A110" t="s">
        <v>20</v>
      </c>
      <c r="B110">
        <v>50</v>
      </c>
      <c r="C110">
        <v>1</v>
      </c>
      <c r="D110">
        <v>991.82899999999995</v>
      </c>
      <c r="E110">
        <v>14.768000000000001</v>
      </c>
      <c r="F110">
        <v>208</v>
      </c>
    </row>
    <row r="111" spans="1:6" x14ac:dyDescent="0.3">
      <c r="A111" t="s">
        <v>20</v>
      </c>
      <c r="B111">
        <v>100</v>
      </c>
      <c r="C111">
        <v>1</v>
      </c>
      <c r="D111">
        <v>1758.335</v>
      </c>
      <c r="E111">
        <v>32.466000000000001</v>
      </c>
      <c r="F111">
        <v>145</v>
      </c>
    </row>
    <row r="112" spans="1:6" x14ac:dyDescent="0.3">
      <c r="A112" t="s">
        <v>20</v>
      </c>
      <c r="B112">
        <v>100</v>
      </c>
      <c r="C112">
        <v>1</v>
      </c>
      <c r="D112">
        <v>1756.287</v>
      </c>
      <c r="E112">
        <v>32.582999999999998</v>
      </c>
      <c r="F112">
        <v>150</v>
      </c>
    </row>
    <row r="113" spans="1:6" x14ac:dyDescent="0.3">
      <c r="A113" t="s">
        <v>20</v>
      </c>
      <c r="B113">
        <v>100</v>
      </c>
      <c r="C113">
        <v>1</v>
      </c>
      <c r="D113">
        <v>1756.3869999999999</v>
      </c>
      <c r="E113">
        <v>32.590000000000003</v>
      </c>
      <c r="F113">
        <v>149</v>
      </c>
    </row>
    <row r="114" spans="1:6" x14ac:dyDescent="0.3">
      <c r="A114" t="s">
        <v>20</v>
      </c>
      <c r="B114">
        <v>100</v>
      </c>
      <c r="C114">
        <v>1</v>
      </c>
      <c r="D114">
        <v>1757.27</v>
      </c>
      <c r="E114">
        <v>32.497999999999998</v>
      </c>
      <c r="F114">
        <v>149</v>
      </c>
    </row>
    <row r="115" spans="1:6" x14ac:dyDescent="0.3">
      <c r="A115" t="s">
        <v>20</v>
      </c>
      <c r="B115">
        <v>100</v>
      </c>
      <c r="C115">
        <v>1</v>
      </c>
      <c r="D115">
        <v>1755.1369999999999</v>
      </c>
      <c r="E115">
        <v>32.555</v>
      </c>
      <c r="F115">
        <v>149</v>
      </c>
    </row>
    <row r="116" spans="1:6" x14ac:dyDescent="0.3">
      <c r="A116" t="s">
        <v>20</v>
      </c>
      <c r="B116">
        <v>100</v>
      </c>
      <c r="C116">
        <v>1</v>
      </c>
      <c r="D116">
        <v>1757.316</v>
      </c>
      <c r="E116">
        <v>32.475000000000001</v>
      </c>
      <c r="F116">
        <v>148</v>
      </c>
    </row>
    <row r="117" spans="1:6" x14ac:dyDescent="0.3">
      <c r="A117" t="s">
        <v>20</v>
      </c>
      <c r="B117">
        <v>100</v>
      </c>
      <c r="C117">
        <v>1</v>
      </c>
      <c r="D117">
        <v>1756.56</v>
      </c>
      <c r="E117">
        <v>32.593000000000004</v>
      </c>
      <c r="F117">
        <v>149</v>
      </c>
    </row>
    <row r="118" spans="1:6" x14ac:dyDescent="0.3">
      <c r="A118" t="s">
        <v>20</v>
      </c>
      <c r="B118">
        <v>100</v>
      </c>
      <c r="C118">
        <v>1</v>
      </c>
      <c r="D118">
        <v>1759.0930000000001</v>
      </c>
      <c r="E118">
        <v>32.646000000000001</v>
      </c>
      <c r="F118">
        <v>148</v>
      </c>
    </row>
    <row r="119" spans="1:6" x14ac:dyDescent="0.3">
      <c r="A119" t="s">
        <v>20</v>
      </c>
      <c r="B119">
        <v>100</v>
      </c>
      <c r="C119">
        <v>1</v>
      </c>
      <c r="D119">
        <v>1757.8019999999999</v>
      </c>
      <c r="E119">
        <v>32.481000000000002</v>
      </c>
      <c r="F119">
        <v>148</v>
      </c>
    </row>
    <row r="120" spans="1:6" x14ac:dyDescent="0.3">
      <c r="A120" t="s">
        <v>20</v>
      </c>
      <c r="B120">
        <v>100</v>
      </c>
      <c r="C120">
        <v>1</v>
      </c>
      <c r="D120">
        <v>1756.75</v>
      </c>
      <c r="E120">
        <v>32.616</v>
      </c>
      <c r="F120">
        <v>150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1.365</v>
      </c>
      <c r="F121">
        <v>402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1.3879999999999999</v>
      </c>
      <c r="F122">
        <v>429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1.4059999999999999</v>
      </c>
      <c r="F123">
        <v>165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1.3640000000000001</v>
      </c>
      <c r="F124">
        <v>427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1.37</v>
      </c>
      <c r="F125">
        <v>82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1.375</v>
      </c>
      <c r="F126">
        <v>379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1.3720000000000001</v>
      </c>
      <c r="F127">
        <v>330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1.375</v>
      </c>
      <c r="F128">
        <v>158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1.38</v>
      </c>
      <c r="F129">
        <v>194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1.3720000000000001</v>
      </c>
      <c r="F130">
        <v>127</v>
      </c>
    </row>
    <row r="131" spans="1:6" x14ac:dyDescent="0.3">
      <c r="A131" t="s">
        <v>33</v>
      </c>
      <c r="B131">
        <v>209</v>
      </c>
      <c r="C131">
        <v>1</v>
      </c>
      <c r="D131">
        <v>76.144999999999996</v>
      </c>
      <c r="E131">
        <v>181.41300000000001</v>
      </c>
      <c r="F131">
        <v>181</v>
      </c>
    </row>
    <row r="132" spans="1:6" x14ac:dyDescent="0.3">
      <c r="A132" t="s">
        <v>33</v>
      </c>
      <c r="B132">
        <v>209</v>
      </c>
      <c r="C132">
        <v>1</v>
      </c>
      <c r="D132">
        <v>76.41</v>
      </c>
      <c r="E132">
        <v>180.83099999999999</v>
      </c>
      <c r="F132">
        <v>179</v>
      </c>
    </row>
    <row r="133" spans="1:6" x14ac:dyDescent="0.3">
      <c r="A133" t="s">
        <v>33</v>
      </c>
      <c r="B133">
        <v>209</v>
      </c>
      <c r="C133">
        <v>1</v>
      </c>
      <c r="D133">
        <v>76.558000000000007</v>
      </c>
      <c r="E133">
        <v>181.45099999999999</v>
      </c>
      <c r="F133">
        <v>181</v>
      </c>
    </row>
    <row r="134" spans="1:6" x14ac:dyDescent="0.3">
      <c r="A134" t="s">
        <v>33</v>
      </c>
      <c r="B134">
        <v>209</v>
      </c>
      <c r="C134">
        <v>1</v>
      </c>
      <c r="D134">
        <v>76.430999999999997</v>
      </c>
      <c r="E134">
        <v>181.137</v>
      </c>
      <c r="F134">
        <v>183</v>
      </c>
    </row>
    <row r="135" spans="1:6" x14ac:dyDescent="0.3">
      <c r="A135" t="s">
        <v>33</v>
      </c>
      <c r="B135">
        <v>209</v>
      </c>
      <c r="C135">
        <v>1</v>
      </c>
      <c r="D135">
        <v>76.335999999999999</v>
      </c>
      <c r="E135">
        <v>180.732</v>
      </c>
      <c r="F135">
        <v>188</v>
      </c>
    </row>
    <row r="136" spans="1:6" x14ac:dyDescent="0.3">
      <c r="A136" t="s">
        <v>33</v>
      </c>
      <c r="B136">
        <v>209</v>
      </c>
      <c r="C136">
        <v>1</v>
      </c>
      <c r="D136">
        <v>75.998000000000005</v>
      </c>
      <c r="E136">
        <v>181.215</v>
      </c>
      <c r="F136">
        <v>182</v>
      </c>
    </row>
    <row r="137" spans="1:6" x14ac:dyDescent="0.3">
      <c r="A137" t="s">
        <v>33</v>
      </c>
      <c r="B137">
        <v>209</v>
      </c>
      <c r="C137">
        <v>1</v>
      </c>
      <c r="D137">
        <v>76.515000000000001</v>
      </c>
      <c r="E137">
        <v>181.13399999999999</v>
      </c>
      <c r="F137">
        <v>178</v>
      </c>
    </row>
    <row r="138" spans="1:6" x14ac:dyDescent="0.3">
      <c r="A138" t="s">
        <v>33</v>
      </c>
      <c r="B138">
        <v>209</v>
      </c>
      <c r="C138">
        <v>1</v>
      </c>
      <c r="D138">
        <v>76.353999999999999</v>
      </c>
      <c r="E138">
        <v>181.238</v>
      </c>
      <c r="F138">
        <v>181</v>
      </c>
    </row>
    <row r="139" spans="1:6" x14ac:dyDescent="0.3">
      <c r="A139" t="s">
        <v>33</v>
      </c>
      <c r="B139">
        <v>209</v>
      </c>
      <c r="C139">
        <v>1</v>
      </c>
      <c r="D139">
        <v>76.290999999999997</v>
      </c>
      <c r="E139">
        <v>180.94499999999999</v>
      </c>
      <c r="F139">
        <v>179</v>
      </c>
    </row>
    <row r="140" spans="1:6" x14ac:dyDescent="0.3">
      <c r="A140" t="s">
        <v>33</v>
      </c>
      <c r="B140">
        <v>209</v>
      </c>
      <c r="C140">
        <v>1</v>
      </c>
      <c r="D140">
        <v>76.733000000000004</v>
      </c>
      <c r="E140">
        <v>181.27500000000001</v>
      </c>
      <c r="F140">
        <v>177</v>
      </c>
    </row>
    <row r="141" spans="1:6" x14ac:dyDescent="0.3">
      <c r="A141" t="s">
        <v>33</v>
      </c>
      <c r="B141">
        <v>324</v>
      </c>
      <c r="C141">
        <v>1</v>
      </c>
      <c r="D141">
        <v>118.538</v>
      </c>
      <c r="E141">
        <v>419.73700000000002</v>
      </c>
      <c r="F141">
        <v>157</v>
      </c>
    </row>
    <row r="142" spans="1:6" x14ac:dyDescent="0.3">
      <c r="A142" t="s">
        <v>33</v>
      </c>
      <c r="B142">
        <v>324</v>
      </c>
      <c r="C142">
        <v>1</v>
      </c>
      <c r="D142">
        <v>119.43899999999999</v>
      </c>
      <c r="E142">
        <v>419.58699999999999</v>
      </c>
      <c r="F142">
        <v>150</v>
      </c>
    </row>
    <row r="143" spans="1:6" x14ac:dyDescent="0.3">
      <c r="A143" t="s">
        <v>33</v>
      </c>
      <c r="B143">
        <v>324</v>
      </c>
      <c r="C143">
        <v>1</v>
      </c>
      <c r="D143">
        <v>118.55</v>
      </c>
      <c r="E143">
        <v>420.49200000000002</v>
      </c>
      <c r="F143">
        <v>154</v>
      </c>
    </row>
    <row r="144" spans="1:6" x14ac:dyDescent="0.3">
      <c r="A144" t="s">
        <v>33</v>
      </c>
      <c r="B144">
        <v>324</v>
      </c>
      <c r="C144">
        <v>1</v>
      </c>
      <c r="D144">
        <v>119.04</v>
      </c>
      <c r="E144">
        <v>419.64800000000002</v>
      </c>
      <c r="F144">
        <v>154</v>
      </c>
    </row>
    <row r="145" spans="1:6" x14ac:dyDescent="0.3">
      <c r="A145" t="s">
        <v>33</v>
      </c>
      <c r="B145">
        <v>324</v>
      </c>
      <c r="C145">
        <v>1</v>
      </c>
      <c r="D145">
        <v>119.20699999999999</v>
      </c>
      <c r="E145">
        <v>419.91800000000001</v>
      </c>
      <c r="F145">
        <v>152</v>
      </c>
    </row>
    <row r="146" spans="1:6" x14ac:dyDescent="0.3">
      <c r="A146" t="s">
        <v>33</v>
      </c>
      <c r="B146">
        <v>324</v>
      </c>
      <c r="C146">
        <v>1</v>
      </c>
      <c r="D146">
        <v>118.80800000000001</v>
      </c>
      <c r="E146">
        <v>419.72399999999999</v>
      </c>
      <c r="F146">
        <v>154</v>
      </c>
    </row>
    <row r="147" spans="1:6" x14ac:dyDescent="0.3">
      <c r="A147" t="s">
        <v>33</v>
      </c>
      <c r="B147">
        <v>324</v>
      </c>
      <c r="C147">
        <v>1</v>
      </c>
      <c r="D147">
        <v>119.595</v>
      </c>
      <c r="E147">
        <v>419.495</v>
      </c>
      <c r="F147">
        <v>153</v>
      </c>
    </row>
    <row r="148" spans="1:6" x14ac:dyDescent="0.3">
      <c r="A148" t="s">
        <v>33</v>
      </c>
      <c r="B148">
        <v>324</v>
      </c>
      <c r="C148">
        <v>1</v>
      </c>
      <c r="D148">
        <v>119.13500000000001</v>
      </c>
      <c r="E148">
        <v>419.47399999999999</v>
      </c>
      <c r="F148">
        <v>154</v>
      </c>
    </row>
    <row r="149" spans="1:6" x14ac:dyDescent="0.3">
      <c r="A149" t="s">
        <v>33</v>
      </c>
      <c r="B149">
        <v>324</v>
      </c>
      <c r="C149">
        <v>1</v>
      </c>
      <c r="D149">
        <v>118.81399999999999</v>
      </c>
      <c r="E149">
        <v>421.44799999999998</v>
      </c>
      <c r="F149">
        <v>154</v>
      </c>
    </row>
    <row r="150" spans="1:6" x14ac:dyDescent="0.3">
      <c r="A150" t="s">
        <v>33</v>
      </c>
      <c r="B150">
        <v>324</v>
      </c>
      <c r="C150">
        <v>1</v>
      </c>
      <c r="D150">
        <v>118.994</v>
      </c>
      <c r="E150">
        <v>420.74900000000002</v>
      </c>
      <c r="F150">
        <v>156</v>
      </c>
    </row>
    <row r="151" spans="1:6" x14ac:dyDescent="0.3">
      <c r="A151" t="s">
        <v>34</v>
      </c>
      <c r="B151">
        <v>40</v>
      </c>
      <c r="C151">
        <v>1</v>
      </c>
      <c r="D151">
        <v>16.693999999999999</v>
      </c>
      <c r="E151">
        <v>11.635999999999999</v>
      </c>
      <c r="F151">
        <v>237</v>
      </c>
    </row>
    <row r="152" spans="1:6" x14ac:dyDescent="0.3">
      <c r="A152" t="s">
        <v>34</v>
      </c>
      <c r="B152">
        <v>40</v>
      </c>
      <c r="C152">
        <v>1</v>
      </c>
      <c r="D152">
        <v>16.803999999999998</v>
      </c>
      <c r="E152">
        <v>11.618</v>
      </c>
      <c r="F152">
        <v>231</v>
      </c>
    </row>
    <row r="153" spans="1:6" x14ac:dyDescent="0.3">
      <c r="A153" t="s">
        <v>34</v>
      </c>
      <c r="B153">
        <v>40</v>
      </c>
      <c r="C153">
        <v>1</v>
      </c>
      <c r="D153">
        <v>16.75</v>
      </c>
      <c r="E153">
        <v>11.651999999999999</v>
      </c>
      <c r="F153">
        <v>231</v>
      </c>
    </row>
    <row r="154" spans="1:6" x14ac:dyDescent="0.3">
      <c r="A154" t="s">
        <v>34</v>
      </c>
      <c r="B154">
        <v>40</v>
      </c>
      <c r="C154">
        <v>1</v>
      </c>
      <c r="D154">
        <v>16.616</v>
      </c>
      <c r="E154">
        <v>11.635999999999999</v>
      </c>
      <c r="F154">
        <v>220</v>
      </c>
    </row>
    <row r="155" spans="1:6" x14ac:dyDescent="0.3">
      <c r="A155" t="s">
        <v>34</v>
      </c>
      <c r="B155">
        <v>40</v>
      </c>
      <c r="C155">
        <v>1</v>
      </c>
      <c r="D155">
        <v>16.696000000000002</v>
      </c>
      <c r="E155">
        <v>11.62</v>
      </c>
      <c r="F155">
        <v>229</v>
      </c>
    </row>
    <row r="156" spans="1:6" x14ac:dyDescent="0.3">
      <c r="A156" t="s">
        <v>34</v>
      </c>
      <c r="B156">
        <v>40</v>
      </c>
      <c r="C156">
        <v>1</v>
      </c>
      <c r="D156">
        <v>16.760000000000002</v>
      </c>
      <c r="E156">
        <v>11.629</v>
      </c>
      <c r="F156">
        <v>215</v>
      </c>
    </row>
    <row r="157" spans="1:6" x14ac:dyDescent="0.3">
      <c r="A157" t="s">
        <v>34</v>
      </c>
      <c r="B157">
        <v>40</v>
      </c>
      <c r="C157">
        <v>1</v>
      </c>
      <c r="D157">
        <v>16.672000000000001</v>
      </c>
      <c r="E157">
        <v>11.634</v>
      </c>
      <c r="F157">
        <v>219</v>
      </c>
    </row>
    <row r="158" spans="1:6" x14ac:dyDescent="0.3">
      <c r="A158" t="s">
        <v>34</v>
      </c>
      <c r="B158">
        <v>40</v>
      </c>
      <c r="C158">
        <v>1</v>
      </c>
      <c r="D158">
        <v>16.725000000000001</v>
      </c>
      <c r="E158">
        <v>11.617000000000001</v>
      </c>
      <c r="F158">
        <v>225</v>
      </c>
    </row>
    <row r="159" spans="1:6" x14ac:dyDescent="0.3">
      <c r="A159" t="s">
        <v>34</v>
      </c>
      <c r="B159">
        <v>40</v>
      </c>
      <c r="C159">
        <v>1</v>
      </c>
      <c r="D159">
        <v>16.539000000000001</v>
      </c>
      <c r="E159">
        <v>11.631</v>
      </c>
      <c r="F159">
        <v>219</v>
      </c>
    </row>
    <row r="160" spans="1:6" x14ac:dyDescent="0.3">
      <c r="A160" t="s">
        <v>34</v>
      </c>
      <c r="B160">
        <v>40</v>
      </c>
      <c r="C160">
        <v>1</v>
      </c>
      <c r="D160">
        <v>16.753</v>
      </c>
      <c r="E160">
        <v>11.628</v>
      </c>
      <c r="F160">
        <v>213</v>
      </c>
    </row>
    <row r="161" spans="1:6" x14ac:dyDescent="0.3">
      <c r="A161" t="s">
        <v>34</v>
      </c>
      <c r="B161">
        <v>96</v>
      </c>
      <c r="C161">
        <v>1</v>
      </c>
      <c r="D161">
        <v>35.154000000000003</v>
      </c>
      <c r="E161">
        <v>51.353999999999999</v>
      </c>
      <c r="F161">
        <v>252</v>
      </c>
    </row>
    <row r="162" spans="1:6" x14ac:dyDescent="0.3">
      <c r="A162" t="s">
        <v>34</v>
      </c>
      <c r="B162">
        <v>96</v>
      </c>
      <c r="C162">
        <v>1</v>
      </c>
      <c r="D162">
        <v>35.100999999999999</v>
      </c>
      <c r="E162">
        <v>51.319000000000003</v>
      </c>
      <c r="F162">
        <v>257</v>
      </c>
    </row>
    <row r="163" spans="1:6" x14ac:dyDescent="0.3">
      <c r="A163" t="s">
        <v>34</v>
      </c>
      <c r="B163">
        <v>96</v>
      </c>
      <c r="C163">
        <v>1</v>
      </c>
      <c r="D163">
        <v>35.173000000000002</v>
      </c>
      <c r="E163">
        <v>51.374000000000002</v>
      </c>
      <c r="F163">
        <v>255</v>
      </c>
    </row>
    <row r="164" spans="1:6" x14ac:dyDescent="0.3">
      <c r="A164" t="s">
        <v>34</v>
      </c>
      <c r="B164">
        <v>96</v>
      </c>
      <c r="C164">
        <v>1</v>
      </c>
      <c r="D164">
        <v>35.189</v>
      </c>
      <c r="E164">
        <v>51.381999999999998</v>
      </c>
      <c r="F164">
        <v>247</v>
      </c>
    </row>
    <row r="165" spans="1:6" x14ac:dyDescent="0.3">
      <c r="A165" t="s">
        <v>34</v>
      </c>
      <c r="B165">
        <v>96</v>
      </c>
      <c r="C165">
        <v>1</v>
      </c>
      <c r="D165">
        <v>35.210999999999999</v>
      </c>
      <c r="E165">
        <v>51.42</v>
      </c>
      <c r="F165">
        <v>266</v>
      </c>
    </row>
    <row r="166" spans="1:6" x14ac:dyDescent="0.3">
      <c r="A166" t="s">
        <v>34</v>
      </c>
      <c r="B166">
        <v>96</v>
      </c>
      <c r="C166">
        <v>1</v>
      </c>
      <c r="D166">
        <v>35.128999999999998</v>
      </c>
      <c r="E166">
        <v>51.384999999999998</v>
      </c>
      <c r="F166">
        <v>245</v>
      </c>
    </row>
    <row r="167" spans="1:6" x14ac:dyDescent="0.3">
      <c r="A167" t="s">
        <v>34</v>
      </c>
      <c r="B167">
        <v>96</v>
      </c>
      <c r="C167">
        <v>1</v>
      </c>
      <c r="D167">
        <v>35.174999999999997</v>
      </c>
      <c r="E167">
        <v>51.276000000000003</v>
      </c>
      <c r="F167">
        <v>259</v>
      </c>
    </row>
    <row r="168" spans="1:6" x14ac:dyDescent="0.3">
      <c r="A168" t="s">
        <v>34</v>
      </c>
      <c r="B168">
        <v>96</v>
      </c>
      <c r="C168">
        <v>1</v>
      </c>
      <c r="D168">
        <v>35.085999999999999</v>
      </c>
      <c r="E168">
        <v>51.402000000000001</v>
      </c>
      <c r="F168">
        <v>247</v>
      </c>
    </row>
    <row r="169" spans="1:6" x14ac:dyDescent="0.3">
      <c r="A169" t="s">
        <v>34</v>
      </c>
      <c r="B169">
        <v>96</v>
      </c>
      <c r="C169">
        <v>1</v>
      </c>
      <c r="D169">
        <v>35.19</v>
      </c>
      <c r="E169">
        <v>51.308</v>
      </c>
      <c r="F169">
        <v>263</v>
      </c>
    </row>
    <row r="170" spans="1:6" x14ac:dyDescent="0.3">
      <c r="A170" t="s">
        <v>34</v>
      </c>
      <c r="B170">
        <v>96</v>
      </c>
      <c r="C170">
        <v>1</v>
      </c>
      <c r="D170">
        <v>35.156999999999996</v>
      </c>
      <c r="E170">
        <v>51.356000000000002</v>
      </c>
      <c r="F170">
        <v>249</v>
      </c>
    </row>
    <row r="171" spans="1:6" x14ac:dyDescent="0.3">
      <c r="A171" t="s">
        <v>34</v>
      </c>
      <c r="B171">
        <v>224</v>
      </c>
      <c r="C171">
        <v>1</v>
      </c>
      <c r="D171">
        <v>71.94</v>
      </c>
      <c r="E171">
        <v>255.45699999999999</v>
      </c>
      <c r="F171">
        <v>222</v>
      </c>
    </row>
    <row r="172" spans="1:6" x14ac:dyDescent="0.3">
      <c r="A172" t="s">
        <v>34</v>
      </c>
      <c r="B172">
        <v>224</v>
      </c>
      <c r="C172">
        <v>1</v>
      </c>
      <c r="D172">
        <v>71.947999999999993</v>
      </c>
      <c r="E172">
        <v>256.387</v>
      </c>
      <c r="F172">
        <v>220</v>
      </c>
    </row>
    <row r="173" spans="1:6" x14ac:dyDescent="0.3">
      <c r="A173" t="s">
        <v>34</v>
      </c>
      <c r="B173">
        <v>224</v>
      </c>
      <c r="C173">
        <v>1</v>
      </c>
      <c r="D173">
        <v>71.945999999999998</v>
      </c>
      <c r="E173">
        <v>255.726</v>
      </c>
      <c r="F173">
        <v>218</v>
      </c>
    </row>
    <row r="174" spans="1:6" x14ac:dyDescent="0.3">
      <c r="A174" t="s">
        <v>34</v>
      </c>
      <c r="B174">
        <v>224</v>
      </c>
      <c r="C174">
        <v>1</v>
      </c>
      <c r="D174">
        <v>71.92</v>
      </c>
      <c r="E174">
        <v>256.43599999999998</v>
      </c>
      <c r="F174">
        <v>219</v>
      </c>
    </row>
    <row r="175" spans="1:6" x14ac:dyDescent="0.3">
      <c r="A175" t="s">
        <v>34</v>
      </c>
      <c r="B175">
        <v>224</v>
      </c>
      <c r="C175">
        <v>1</v>
      </c>
      <c r="D175">
        <v>72.018000000000001</v>
      </c>
      <c r="E175">
        <v>255.73</v>
      </c>
      <c r="F175">
        <v>217</v>
      </c>
    </row>
    <row r="176" spans="1:6" x14ac:dyDescent="0.3">
      <c r="A176" t="s">
        <v>34</v>
      </c>
      <c r="B176">
        <v>224</v>
      </c>
      <c r="C176">
        <v>1</v>
      </c>
      <c r="D176">
        <v>71.965999999999994</v>
      </c>
      <c r="E176">
        <v>255.45500000000001</v>
      </c>
      <c r="F176">
        <v>215</v>
      </c>
    </row>
    <row r="177" spans="1:6" x14ac:dyDescent="0.3">
      <c r="A177" t="s">
        <v>34</v>
      </c>
      <c r="B177">
        <v>224</v>
      </c>
      <c r="C177">
        <v>1</v>
      </c>
      <c r="D177">
        <v>71.992999999999995</v>
      </c>
      <c r="E177">
        <v>255.65199999999999</v>
      </c>
      <c r="F177">
        <v>220</v>
      </c>
    </row>
    <row r="178" spans="1:6" x14ac:dyDescent="0.3">
      <c r="A178" t="s">
        <v>34</v>
      </c>
      <c r="B178">
        <v>224</v>
      </c>
      <c r="C178">
        <v>1</v>
      </c>
      <c r="D178">
        <v>71.938999999999993</v>
      </c>
      <c r="E178">
        <v>255.55500000000001</v>
      </c>
      <c r="F178">
        <v>216</v>
      </c>
    </row>
    <row r="179" spans="1:6" x14ac:dyDescent="0.3">
      <c r="A179" t="s">
        <v>34</v>
      </c>
      <c r="B179">
        <v>224</v>
      </c>
      <c r="C179">
        <v>1</v>
      </c>
      <c r="D179">
        <v>71.918000000000006</v>
      </c>
      <c r="E179">
        <v>256.12200000000001</v>
      </c>
      <c r="F179">
        <v>222</v>
      </c>
    </row>
    <row r="180" spans="1:6" x14ac:dyDescent="0.3">
      <c r="A180" t="s">
        <v>34</v>
      </c>
      <c r="B180">
        <v>224</v>
      </c>
      <c r="C180">
        <v>1</v>
      </c>
      <c r="D180">
        <v>71.918999999999997</v>
      </c>
      <c r="E180">
        <v>255.7</v>
      </c>
      <c r="F180">
        <v>219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08203125"/>
    <col min="2" max="2" width="4.33203125"/>
    <col min="3" max="3" width="2.58203125"/>
    <col min="4" max="4" width="10.5" bestFit="1" customWidth="1"/>
    <col min="5" max="5" width="7.25"/>
    <col min="6" max="6" width="5.08203125" customWidth="1"/>
    <col min="7" max="7" width="2.33203125"/>
    <col min="8" max="8" width="10.25"/>
    <col min="9" max="9" width="4.33203125"/>
    <col min="10" max="10" width="3.33203125"/>
    <col min="11" max="11" width="2.5"/>
    <col min="12" max="21" width="9.5"/>
    <col min="22" max="22" width="2.5"/>
    <col min="23" max="23" width="9.5"/>
    <col min="24" max="24" width="2"/>
    <col min="25" max="25" width="9.5"/>
    <col min="26" max="26" width="2.58203125"/>
    <col min="27" max="27" width="2.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28.606000000000002</v>
      </c>
      <c r="E1">
        <v>5.2789999999999999</v>
      </c>
      <c r="F1">
        <v>181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28.504000000000001</v>
      </c>
      <c r="E2">
        <v>5.2770000000000001</v>
      </c>
      <c r="F2">
        <v>229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28.606000000000002</v>
      </c>
      <c r="M2" s="35">
        <f t="shared" ref="M2:U17" ca="1" si="1">INDIRECT("D"&amp;1+(ROW(E1)-1)*10+COLUMN(B1)-1)</f>
        <v>28.504000000000001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28.547799999999995</v>
      </c>
      <c r="Y2" s="35">
        <f ca="1">Total!E2</f>
        <v>28.504000000000001</v>
      </c>
      <c r="AB2" s="35">
        <f t="shared" ref="AB2:AB19" ca="1" si="11">(L2-$Y2)/$Y2</f>
        <v>3.5784451305080098E-3</v>
      </c>
      <c r="AC2" s="35">
        <f t="shared" ref="AC2:AC19" ca="1" si="12">(M2-$Y2)/$Y2</f>
        <v>0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1.4734774066796953E-3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1.5366264383945576E-2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5.282</v>
      </c>
      <c r="F3">
        <v>207</v>
      </c>
      <c r="H3" s="35" t="s">
        <v>17</v>
      </c>
      <c r="I3" s="35">
        <v>50</v>
      </c>
      <c r="J3" s="35">
        <v>1</v>
      </c>
      <c r="L3" s="35">
        <f t="shared" ca="1" si="0"/>
        <v>53.128</v>
      </c>
      <c r="M3" s="35">
        <f t="shared" ca="1" si="1"/>
        <v>53.127000000000002</v>
      </c>
      <c r="N3" s="35">
        <f t="shared" ca="1" si="2"/>
        <v>52.957000000000001</v>
      </c>
      <c r="O3" s="35">
        <f t="shared" ca="1" si="3"/>
        <v>52.957999999999998</v>
      </c>
      <c r="P3" s="35">
        <f t="shared" ca="1" si="4"/>
        <v>53.008000000000003</v>
      </c>
      <c r="Q3" s="35">
        <f t="shared" ca="1" si="5"/>
        <v>53.127000000000002</v>
      </c>
      <c r="R3" s="35">
        <f t="shared" ca="1" si="6"/>
        <v>52.957000000000001</v>
      </c>
      <c r="S3" s="35">
        <f t="shared" ca="1" si="7"/>
        <v>53.127000000000002</v>
      </c>
      <c r="T3" s="35">
        <f t="shared" ca="1" si="8"/>
        <v>52.957999999999998</v>
      </c>
      <c r="U3" s="35">
        <f t="shared" ca="1" si="9"/>
        <v>53.097000000000001</v>
      </c>
      <c r="W3" s="35">
        <f t="shared" ca="1" si="10"/>
        <v>53.044399999999996</v>
      </c>
      <c r="Y3" s="35">
        <f ca="1">Total!E3</f>
        <v>52.927</v>
      </c>
      <c r="AB3" s="35">
        <f t="shared" ca="1" si="11"/>
        <v>3.7976836019423077E-3</v>
      </c>
      <c r="AC3" s="35">
        <f t="shared" ca="1" si="12"/>
        <v>3.778789653673982E-3</v>
      </c>
      <c r="AD3" s="35">
        <f t="shared" ca="1" si="13"/>
        <v>5.6681844805111072E-4</v>
      </c>
      <c r="AE3" s="35">
        <f t="shared" ca="1" si="14"/>
        <v>5.8571239631943631E-4</v>
      </c>
      <c r="AF3" s="35">
        <f t="shared" ca="1" si="15"/>
        <v>1.530409809737999E-3</v>
      </c>
      <c r="AG3" s="35">
        <f t="shared" ca="1" si="16"/>
        <v>3.778789653673982E-3</v>
      </c>
      <c r="AH3" s="35">
        <f t="shared" ca="1" si="17"/>
        <v>5.6681844805111072E-4</v>
      </c>
      <c r="AI3" s="35">
        <f t="shared" ca="1" si="18"/>
        <v>3.778789653673982E-3</v>
      </c>
      <c r="AJ3" s="35">
        <f t="shared" ca="1" si="19"/>
        <v>5.8571239631943631E-4</v>
      </c>
      <c r="AK3" s="35">
        <f t="shared" ca="1" si="20"/>
        <v>3.2119712056228713E-3</v>
      </c>
      <c r="AM3" s="35">
        <f t="shared" ca="1" si="21"/>
        <v>2.2181495267066219E-2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5.29</v>
      </c>
      <c r="F4">
        <v>249</v>
      </c>
      <c r="H4" s="35" t="s">
        <v>17</v>
      </c>
      <c r="I4" s="35">
        <v>100</v>
      </c>
      <c r="J4" s="35">
        <v>1</v>
      </c>
      <c r="L4" s="35">
        <f t="shared" ca="1" si="0"/>
        <v>103.098</v>
      </c>
      <c r="M4" s="35">
        <f t="shared" ca="1" si="1"/>
        <v>103.26600000000001</v>
      </c>
      <c r="N4" s="35">
        <f t="shared" ca="1" si="2"/>
        <v>103.27200000000001</v>
      </c>
      <c r="O4" s="35">
        <f t="shared" ca="1" si="3"/>
        <v>103.288</v>
      </c>
      <c r="P4" s="35">
        <f t="shared" ca="1" si="4"/>
        <v>103.26300000000001</v>
      </c>
      <c r="Q4" s="35">
        <f t="shared" ca="1" si="5"/>
        <v>103.328</v>
      </c>
      <c r="R4" s="35">
        <f t="shared" ca="1" si="6"/>
        <v>103.221</v>
      </c>
      <c r="S4" s="35">
        <f t="shared" ca="1" si="7"/>
        <v>103.146</v>
      </c>
      <c r="T4" s="35">
        <f t="shared" ca="1" si="8"/>
        <v>103.312</v>
      </c>
      <c r="U4" s="35">
        <f t="shared" ca="1" si="9"/>
        <v>103.292</v>
      </c>
      <c r="W4" s="35">
        <f t="shared" ca="1" si="10"/>
        <v>103.24859999999998</v>
      </c>
      <c r="Y4" s="35">
        <f ca="1">Total!E4</f>
        <v>102.80200000000001</v>
      </c>
      <c r="AB4" s="35">
        <f t="shared" ca="1" si="11"/>
        <v>2.8793214139801976E-3</v>
      </c>
      <c r="AC4" s="35">
        <f t="shared" ca="1" si="12"/>
        <v>4.5135308651582514E-3</v>
      </c>
      <c r="AD4" s="35">
        <f t="shared" ca="1" si="13"/>
        <v>4.5718954884146111E-3</v>
      </c>
      <c r="AE4" s="35">
        <f t="shared" ca="1" si="14"/>
        <v>4.7275344837648097E-3</v>
      </c>
      <c r="AF4" s="35">
        <f t="shared" ca="1" si="15"/>
        <v>4.4843485535300725E-3</v>
      </c>
      <c r="AG4" s="35">
        <f t="shared" ca="1" si="16"/>
        <v>5.1166319721405833E-3</v>
      </c>
      <c r="AH4" s="35">
        <f t="shared" ca="1" si="17"/>
        <v>4.0757961907355589E-3</v>
      </c>
      <c r="AI4" s="35">
        <f t="shared" ca="1" si="18"/>
        <v>3.34623840003107E-3</v>
      </c>
      <c r="AJ4" s="35">
        <f t="shared" ca="1" si="19"/>
        <v>4.9609929767902459E-3</v>
      </c>
      <c r="AK4" s="35">
        <f t="shared" ca="1" si="20"/>
        <v>4.7664442326024285E-3</v>
      </c>
      <c r="AM4" s="35">
        <f t="shared" ca="1" si="21"/>
        <v>4.3442734577147826E-2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5.2850000000000001</v>
      </c>
      <c r="F5">
        <v>170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5.29</v>
      </c>
      <c r="F6">
        <v>183</v>
      </c>
      <c r="H6" s="35" t="s">
        <v>18</v>
      </c>
      <c r="I6" s="35">
        <v>50</v>
      </c>
      <c r="J6" s="35">
        <v>1</v>
      </c>
      <c r="L6" s="35">
        <f t="shared" ca="1" si="0"/>
        <v>180.87100000000001</v>
      </c>
      <c r="M6" s="35">
        <f t="shared" ca="1" si="1"/>
        <v>181.89</v>
      </c>
      <c r="N6" s="35">
        <f t="shared" ca="1" si="2"/>
        <v>180.685</v>
      </c>
      <c r="O6" s="35">
        <f t="shared" ca="1" si="3"/>
        <v>181.89</v>
      </c>
      <c r="P6" s="35">
        <f t="shared" ca="1" si="4"/>
        <v>180.87100000000001</v>
      </c>
      <c r="Q6" s="35">
        <f t="shared" ca="1" si="5"/>
        <v>179.953</v>
      </c>
      <c r="R6" s="35">
        <f t="shared" ca="1" si="6"/>
        <v>179.93799999999999</v>
      </c>
      <c r="S6" s="35">
        <f t="shared" ca="1" si="7"/>
        <v>180.053</v>
      </c>
      <c r="T6" s="35">
        <f t="shared" ca="1" si="8"/>
        <v>181.89</v>
      </c>
      <c r="U6" s="35">
        <f t="shared" ca="1" si="9"/>
        <v>179.953</v>
      </c>
      <c r="W6" s="35">
        <f t="shared" ca="1" si="10"/>
        <v>180.79939999999996</v>
      </c>
      <c r="Y6" s="35">
        <f ca="1">Total!E6</f>
        <v>179.673</v>
      </c>
      <c r="AB6" s="35">
        <f t="shared" ca="1" si="11"/>
        <v>6.667668486639659E-3</v>
      </c>
      <c r="AC6" s="35">
        <f t="shared" ca="1" si="12"/>
        <v>1.2339082666844681E-2</v>
      </c>
      <c r="AD6" s="35">
        <f t="shared" ca="1" si="13"/>
        <v>5.6324545145903975E-3</v>
      </c>
      <c r="AE6" s="35">
        <f t="shared" ca="1" si="14"/>
        <v>1.2339082666844681E-2</v>
      </c>
      <c r="AF6" s="35">
        <f t="shared" ca="1" si="15"/>
        <v>6.667668486639659E-3</v>
      </c>
      <c r="AG6" s="35">
        <f t="shared" ca="1" si="16"/>
        <v>1.5583866245902341E-3</v>
      </c>
      <c r="AH6" s="35">
        <f t="shared" ca="1" si="17"/>
        <v>1.4749016268442469E-3</v>
      </c>
      <c r="AI6" s="35">
        <f t="shared" ca="1" si="18"/>
        <v>2.1149532762295697E-3</v>
      </c>
      <c r="AJ6" s="35">
        <f t="shared" ca="1" si="19"/>
        <v>1.2339082666844681E-2</v>
      </c>
      <c r="AK6" s="35">
        <f t="shared" ca="1" si="20"/>
        <v>1.5583866245902341E-3</v>
      </c>
      <c r="AM6" s="35">
        <f t="shared" ca="1" si="21"/>
        <v>6.2691667640658047E-2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5.282</v>
      </c>
      <c r="F7">
        <v>254</v>
      </c>
      <c r="H7" s="35" t="s">
        <v>18</v>
      </c>
      <c r="I7" s="35">
        <v>100</v>
      </c>
      <c r="J7" s="35">
        <v>1</v>
      </c>
      <c r="L7" s="35">
        <f t="shared" ca="1" si="0"/>
        <v>239.28</v>
      </c>
      <c r="M7" s="35">
        <f t="shared" ca="1" si="1"/>
        <v>240.767</v>
      </c>
      <c r="N7" s="35">
        <f t="shared" ca="1" si="2"/>
        <v>239.16499999999999</v>
      </c>
      <c r="O7" s="35">
        <f t="shared" ca="1" si="3"/>
        <v>239.74</v>
      </c>
      <c r="P7" s="35">
        <f t="shared" ca="1" si="4"/>
        <v>239.5</v>
      </c>
      <c r="Q7" s="35">
        <f t="shared" ca="1" si="5"/>
        <v>239.179</v>
      </c>
      <c r="R7" s="35">
        <f t="shared" ca="1" si="6"/>
        <v>239.50399999999999</v>
      </c>
      <c r="S7" s="35">
        <f t="shared" ca="1" si="7"/>
        <v>239.523</v>
      </c>
      <c r="T7" s="35">
        <f t="shared" ca="1" si="8"/>
        <v>239.15600000000001</v>
      </c>
      <c r="U7" s="35">
        <f t="shared" ca="1" si="9"/>
        <v>239.18299999999999</v>
      </c>
      <c r="W7" s="35">
        <f t="shared" ca="1" si="10"/>
        <v>239.49969999999999</v>
      </c>
      <c r="Y7" s="35">
        <f ca="1">Total!E7</f>
        <v>238.86699999999999</v>
      </c>
      <c r="AB7" s="35">
        <f t="shared" ca="1" si="11"/>
        <v>1.7289956335534457E-3</v>
      </c>
      <c r="AC7" s="35">
        <f t="shared" ca="1" si="12"/>
        <v>7.9542172003667557E-3</v>
      </c>
      <c r="AD7" s="35">
        <f t="shared" ca="1" si="13"/>
        <v>1.2475561714259476E-3</v>
      </c>
      <c r="AE7" s="35">
        <f t="shared" ca="1" si="14"/>
        <v>3.6547534820633196E-3</v>
      </c>
      <c r="AF7" s="35">
        <f t="shared" ca="1" si="15"/>
        <v>2.6500102567537996E-3</v>
      </c>
      <c r="AG7" s="35">
        <f t="shared" ca="1" si="16"/>
        <v>1.306166192902376E-3</v>
      </c>
      <c r="AH7" s="35">
        <f t="shared" ca="1" si="17"/>
        <v>2.6667559771755851E-3</v>
      </c>
      <c r="AI7" s="35">
        <f t="shared" ca="1" si="18"/>
        <v>2.7462981491792752E-3</v>
      </c>
      <c r="AJ7" s="35">
        <f t="shared" ca="1" si="19"/>
        <v>1.2098783004769E-3</v>
      </c>
      <c r="AK7" s="35">
        <f t="shared" ca="1" si="20"/>
        <v>1.3229119133241617E-3</v>
      </c>
      <c r="AM7" s="35">
        <f t="shared" ca="1" si="21"/>
        <v>2.6487543277221571E-2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5.2889999999999997</v>
      </c>
      <c r="F8">
        <v>190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5.2839999999999998</v>
      </c>
      <c r="F9">
        <v>198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4318.4880000000003</v>
      </c>
      <c r="T9" s="35">
        <f t="shared" ca="1" si="8"/>
        <v>4313.6099999999997</v>
      </c>
      <c r="U9" s="35">
        <f t="shared" ca="1" si="9"/>
        <v>4318.4880000000003</v>
      </c>
      <c r="W9" s="35">
        <f t="shared" ca="1" si="10"/>
        <v>4314.5856000000003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1.130839366563183E-3</v>
      </c>
      <c r="AJ9" s="35">
        <f t="shared" ca="1" si="19"/>
        <v>0</v>
      </c>
      <c r="AK9" s="35">
        <f t="shared" ca="1" si="20"/>
        <v>1.130839366563183E-3</v>
      </c>
      <c r="AM9" s="35">
        <f t="shared" ca="1" si="21"/>
        <v>2.2616787331263661E-3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5.2809999999999997</v>
      </c>
      <c r="F10">
        <v>209</v>
      </c>
      <c r="H10" s="35" t="s">
        <v>19</v>
      </c>
      <c r="I10" s="35">
        <v>100</v>
      </c>
      <c r="J10" s="35">
        <v>1</v>
      </c>
      <c r="L10" s="35">
        <f t="shared" ca="1" si="0"/>
        <v>35248.165000000001</v>
      </c>
      <c r="M10" s="35">
        <f t="shared" ca="1" si="1"/>
        <v>35258.817999999999</v>
      </c>
      <c r="N10" s="35">
        <f t="shared" ca="1" si="2"/>
        <v>35247.360000000001</v>
      </c>
      <c r="O10" s="35">
        <f t="shared" ca="1" si="3"/>
        <v>35272.953000000001</v>
      </c>
      <c r="P10" s="35">
        <f t="shared" ca="1" si="4"/>
        <v>35219.264999999999</v>
      </c>
      <c r="Q10" s="35">
        <f t="shared" ca="1" si="5"/>
        <v>35272.826999999997</v>
      </c>
      <c r="R10" s="35">
        <f t="shared" ca="1" si="6"/>
        <v>35217.79</v>
      </c>
      <c r="S10" s="35">
        <f t="shared" ca="1" si="7"/>
        <v>35272.661</v>
      </c>
      <c r="T10" s="35">
        <f t="shared" ca="1" si="8"/>
        <v>35272.862000000001</v>
      </c>
      <c r="U10" s="35">
        <f t="shared" ca="1" si="9"/>
        <v>35242.858</v>
      </c>
      <c r="W10" s="35">
        <f t="shared" ca="1" si="10"/>
        <v>35252.555899999999</v>
      </c>
      <c r="Y10" s="35">
        <f ca="1">Total!E10</f>
        <v>35210.383000000002</v>
      </c>
      <c r="AB10" s="35">
        <f t="shared" ca="1" si="11"/>
        <v>1.073035757662711E-3</v>
      </c>
      <c r="AC10" s="35">
        <f t="shared" ca="1" si="12"/>
        <v>1.3755885586361747E-3</v>
      </c>
      <c r="AD10" s="35">
        <f t="shared" ca="1" si="13"/>
        <v>1.0501731832908193E-3</v>
      </c>
      <c r="AE10" s="35">
        <f t="shared" ca="1" si="14"/>
        <v>1.7770326440357013E-3</v>
      </c>
      <c r="AF10" s="35">
        <f t="shared" ca="1" si="15"/>
        <v>2.5225513735530194E-4</v>
      </c>
      <c r="AG10" s="35">
        <f t="shared" ca="1" si="16"/>
        <v>1.773454154133906E-3</v>
      </c>
      <c r="AH10" s="35">
        <f t="shared" ca="1" si="17"/>
        <v>2.1036408493481151E-4</v>
      </c>
      <c r="AI10" s="35">
        <f t="shared" ca="1" si="18"/>
        <v>1.7687396356920748E-3</v>
      </c>
      <c r="AJ10" s="35">
        <f t="shared" ca="1" si="19"/>
        <v>1.7744481791066957E-3</v>
      </c>
      <c r="AK10" s="35">
        <f t="shared" ca="1" si="20"/>
        <v>9.2231317108929325E-4</v>
      </c>
      <c r="AM10" s="35">
        <f t="shared" ca="1" si="21"/>
        <v>1.197740450593749E-2</v>
      </c>
    </row>
    <row r="11" spans="1:39" x14ac:dyDescent="0.3">
      <c r="A11" t="s">
        <v>17</v>
      </c>
      <c r="B11">
        <v>50</v>
      </c>
      <c r="C11">
        <v>1</v>
      </c>
      <c r="D11">
        <v>53.128</v>
      </c>
      <c r="E11">
        <v>19.594999999999999</v>
      </c>
      <c r="F11">
        <v>267</v>
      </c>
      <c r="H11" s="35" t="s">
        <v>20</v>
      </c>
      <c r="I11" s="35">
        <v>30</v>
      </c>
      <c r="J11" s="35">
        <v>1</v>
      </c>
      <c r="L11" s="35">
        <f t="shared" ca="1" si="0"/>
        <v>659.79600000000005</v>
      </c>
      <c r="M11" s="35">
        <f t="shared" ca="1" si="1"/>
        <v>657.35599999999999</v>
      </c>
      <c r="N11" s="35">
        <f t="shared" ca="1" si="2"/>
        <v>658.23299999999995</v>
      </c>
      <c r="O11" s="35">
        <f t="shared" ca="1" si="3"/>
        <v>659.84500000000003</v>
      </c>
      <c r="P11" s="35">
        <f t="shared" ca="1" si="4"/>
        <v>657.35599999999999</v>
      </c>
      <c r="Q11" s="35">
        <f t="shared" ca="1" si="5"/>
        <v>657.35599999999999</v>
      </c>
      <c r="R11" s="35">
        <f t="shared" ca="1" si="6"/>
        <v>657.35599999999999</v>
      </c>
      <c r="S11" s="35">
        <f t="shared" ca="1" si="7"/>
        <v>657.35599999999999</v>
      </c>
      <c r="T11" s="35">
        <f t="shared" ca="1" si="8"/>
        <v>657.35599999999999</v>
      </c>
      <c r="U11" s="35">
        <f t="shared" ca="1" si="9"/>
        <v>659.79600000000005</v>
      </c>
      <c r="W11" s="35">
        <f t="shared" ca="1" si="10"/>
        <v>658.18059999999991</v>
      </c>
      <c r="Y11" s="35">
        <f ca="1">Total!E11</f>
        <v>655.46500000000003</v>
      </c>
      <c r="AB11" s="35">
        <f t="shared" ca="1" si="11"/>
        <v>6.6075229035875557E-3</v>
      </c>
      <c r="AC11" s="35">
        <f t="shared" ca="1" si="12"/>
        <v>2.8849747888902728E-3</v>
      </c>
      <c r="AD11" s="35">
        <f t="shared" ca="1" si="13"/>
        <v>4.2229562219186613E-3</v>
      </c>
      <c r="AE11" s="35">
        <f t="shared" ca="1" si="14"/>
        <v>6.6822789927761138E-3</v>
      </c>
      <c r="AF11" s="35">
        <f t="shared" ca="1" si="15"/>
        <v>2.8849747888902728E-3</v>
      </c>
      <c r="AG11" s="35">
        <f t="shared" ca="1" si="16"/>
        <v>2.8849747888902728E-3</v>
      </c>
      <c r="AH11" s="35">
        <f t="shared" ca="1" si="17"/>
        <v>2.8849747888902728E-3</v>
      </c>
      <c r="AI11" s="35">
        <f t="shared" ca="1" si="18"/>
        <v>2.8849747888902728E-3</v>
      </c>
      <c r="AJ11" s="35">
        <f t="shared" ca="1" si="19"/>
        <v>2.8849747888902728E-3</v>
      </c>
      <c r="AK11" s="35">
        <f t="shared" ca="1" si="20"/>
        <v>6.6075229035875557E-3</v>
      </c>
      <c r="AM11" s="35">
        <f t="shared" ca="1" si="21"/>
        <v>4.1430129755211514E-2</v>
      </c>
    </row>
    <row r="12" spans="1:39" x14ac:dyDescent="0.3">
      <c r="A12" t="s">
        <v>17</v>
      </c>
      <c r="B12">
        <v>50</v>
      </c>
      <c r="C12">
        <v>1</v>
      </c>
      <c r="D12">
        <v>53.127000000000002</v>
      </c>
      <c r="E12">
        <v>19.582999999999998</v>
      </c>
      <c r="F12">
        <v>265</v>
      </c>
      <c r="H12" s="35" t="s">
        <v>20</v>
      </c>
      <c r="I12" s="35">
        <v>50</v>
      </c>
      <c r="J12" s="35">
        <v>1</v>
      </c>
      <c r="L12" s="35">
        <f t="shared" ca="1" si="0"/>
        <v>995.721</v>
      </c>
      <c r="M12" s="35">
        <f t="shared" ca="1" si="1"/>
        <v>990.096</v>
      </c>
      <c r="N12" s="35">
        <f t="shared" ca="1" si="2"/>
        <v>992.51099999999997</v>
      </c>
      <c r="O12" s="35">
        <f t="shared" ca="1" si="3"/>
        <v>997.09299999999996</v>
      </c>
      <c r="P12" s="35">
        <f t="shared" ca="1" si="4"/>
        <v>994.54499999999996</v>
      </c>
      <c r="Q12" s="35">
        <f t="shared" ca="1" si="5"/>
        <v>993.57600000000002</v>
      </c>
      <c r="R12" s="35">
        <f t="shared" ca="1" si="6"/>
        <v>996.14</v>
      </c>
      <c r="S12" s="35">
        <f t="shared" ca="1" si="7"/>
        <v>993.89300000000003</v>
      </c>
      <c r="T12" s="35">
        <f t="shared" ca="1" si="8"/>
        <v>996.05100000000004</v>
      </c>
      <c r="U12" s="35">
        <f t="shared" ca="1" si="9"/>
        <v>996.85599999999999</v>
      </c>
      <c r="W12" s="35">
        <f t="shared" ca="1" si="10"/>
        <v>994.64819999999997</v>
      </c>
      <c r="Y12" s="35">
        <f ca="1">Total!E12</f>
        <v>990.096</v>
      </c>
      <c r="AB12" s="35">
        <f t="shared" ca="1" si="11"/>
        <v>5.6812672710525036E-3</v>
      </c>
      <c r="AC12" s="35">
        <f t="shared" ca="1" si="12"/>
        <v>0</v>
      </c>
      <c r="AD12" s="35">
        <f t="shared" ca="1" si="13"/>
        <v>2.4391574150385048E-3</v>
      </c>
      <c r="AE12" s="35">
        <f t="shared" ca="1" si="14"/>
        <v>7.0669914836540672E-3</v>
      </c>
      <c r="AF12" s="35">
        <f t="shared" ca="1" si="15"/>
        <v>4.4935036602510824E-3</v>
      </c>
      <c r="AG12" s="35">
        <f t="shared" ca="1" si="16"/>
        <v>3.5148106850245008E-3</v>
      </c>
      <c r="AH12" s="35">
        <f t="shared" ca="1" si="17"/>
        <v>6.1044585575539979E-3</v>
      </c>
      <c r="AI12" s="35">
        <f t="shared" ca="1" si="18"/>
        <v>3.834981658344267E-3</v>
      </c>
      <c r="AJ12" s="35">
        <f t="shared" ca="1" si="19"/>
        <v>6.0145682842876252E-3</v>
      </c>
      <c r="AK12" s="35">
        <f t="shared" ca="1" si="20"/>
        <v>6.8276207559670888E-3</v>
      </c>
      <c r="AM12" s="35">
        <f t="shared" ca="1" si="21"/>
        <v>4.5977359771173634E-2</v>
      </c>
    </row>
    <row r="13" spans="1:39" x14ac:dyDescent="0.3">
      <c r="A13" t="s">
        <v>17</v>
      </c>
      <c r="B13">
        <v>50</v>
      </c>
      <c r="C13">
        <v>1</v>
      </c>
      <c r="D13">
        <v>52.957000000000001</v>
      </c>
      <c r="E13">
        <v>19.600000000000001</v>
      </c>
      <c r="F13">
        <v>271</v>
      </c>
      <c r="H13" s="35" t="s">
        <v>20</v>
      </c>
      <c r="I13" s="35">
        <v>100</v>
      </c>
      <c r="J13" s="35">
        <v>1</v>
      </c>
      <c r="L13" s="35">
        <f t="shared" ca="1" si="0"/>
        <v>1754.153</v>
      </c>
      <c r="M13" s="35">
        <f t="shared" ca="1" si="1"/>
        <v>1757.1969999999999</v>
      </c>
      <c r="N13" s="35">
        <f t="shared" ca="1" si="2"/>
        <v>1758.0540000000001</v>
      </c>
      <c r="O13" s="35">
        <f t="shared" ca="1" si="3"/>
        <v>1755.11</v>
      </c>
      <c r="P13" s="35">
        <f t="shared" ca="1" si="4"/>
        <v>1755.41</v>
      </c>
      <c r="Q13" s="35">
        <f t="shared" ca="1" si="5"/>
        <v>1757.375</v>
      </c>
      <c r="R13" s="35">
        <f t="shared" ca="1" si="6"/>
        <v>1755.9</v>
      </c>
      <c r="S13" s="35">
        <f t="shared" ca="1" si="7"/>
        <v>1756.6669999999999</v>
      </c>
      <c r="T13" s="35">
        <f t="shared" ca="1" si="8"/>
        <v>1758.0630000000001</v>
      </c>
      <c r="U13" s="35">
        <f t="shared" ca="1" si="9"/>
        <v>1757.297</v>
      </c>
      <c r="W13" s="35">
        <f t="shared" ca="1" si="10"/>
        <v>1756.5225999999998</v>
      </c>
      <c r="Y13" s="35">
        <f ca="1">Total!E13</f>
        <v>1753.79</v>
      </c>
      <c r="AB13" s="35">
        <f t="shared" ca="1" si="11"/>
        <v>2.0698031121175079E-4</v>
      </c>
      <c r="AC13" s="35">
        <f t="shared" ca="1" si="12"/>
        <v>1.9426499181771624E-3</v>
      </c>
      <c r="AD13" s="35">
        <f t="shared" ca="1" si="13"/>
        <v>2.4313059146192665E-3</v>
      </c>
      <c r="AE13" s="35">
        <f t="shared" ca="1" si="14"/>
        <v>7.5265567713348597E-4</v>
      </c>
      <c r="AF13" s="35">
        <f t="shared" ca="1" si="15"/>
        <v>9.237137855730266E-4</v>
      </c>
      <c r="AG13" s="35">
        <f t="shared" ca="1" si="16"/>
        <v>2.0441443958512913E-3</v>
      </c>
      <c r="AH13" s="35">
        <f t="shared" ca="1" si="17"/>
        <v>1.2031086960241121E-3</v>
      </c>
      <c r="AI13" s="35">
        <f t="shared" ca="1" si="18"/>
        <v>1.6404472599341727E-3</v>
      </c>
      <c r="AJ13" s="35">
        <f t="shared" ca="1" si="19"/>
        <v>2.436437657872458E-3</v>
      </c>
      <c r="AK13" s="35">
        <f t="shared" ca="1" si="20"/>
        <v>1.9996692876570522E-3</v>
      </c>
      <c r="AM13" s="35">
        <f t="shared" ca="1" si="21"/>
        <v>1.5581112904053777E-2</v>
      </c>
    </row>
    <row r="14" spans="1:39" x14ac:dyDescent="0.3">
      <c r="A14" t="s">
        <v>17</v>
      </c>
      <c r="B14">
        <v>50</v>
      </c>
      <c r="C14">
        <v>1</v>
      </c>
      <c r="D14">
        <v>52.957999999999998</v>
      </c>
      <c r="E14">
        <v>19.556999999999999</v>
      </c>
      <c r="F14">
        <v>258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53.008000000000003</v>
      </c>
      <c r="E15">
        <v>19.585000000000001</v>
      </c>
      <c r="F15">
        <v>277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76.183000000000007</v>
      </c>
      <c r="M15" s="35">
        <f t="shared" ca="1" si="1"/>
        <v>76.444999999999993</v>
      </c>
      <c r="N15" s="35">
        <f t="shared" ca="1" si="1"/>
        <v>76.358000000000004</v>
      </c>
      <c r="O15" s="35">
        <f t="shared" ca="1" si="1"/>
        <v>76.13</v>
      </c>
      <c r="P15" s="35">
        <f t="shared" ca="1" si="1"/>
        <v>76.850999999999999</v>
      </c>
      <c r="Q15" s="35">
        <f t="shared" ca="1" si="1"/>
        <v>76.292000000000002</v>
      </c>
      <c r="R15" s="35">
        <f t="shared" ca="1" si="1"/>
        <v>76.798000000000002</v>
      </c>
      <c r="S15" s="35">
        <f t="shared" ca="1" si="1"/>
        <v>76.554000000000002</v>
      </c>
      <c r="T15" s="35">
        <f t="shared" ca="1" si="1"/>
        <v>76.760000000000005</v>
      </c>
      <c r="U15" s="35">
        <f t="shared" ca="1" si="1"/>
        <v>76.611999999999995</v>
      </c>
      <c r="W15" s="35">
        <f t="shared" ca="1" si="10"/>
        <v>76.4983</v>
      </c>
      <c r="Y15" s="35">
        <f ca="1">Total!E15</f>
        <v>75.998000000000005</v>
      </c>
      <c r="AB15" s="35">
        <f t="shared" ca="1" si="11"/>
        <v>2.43427458617335E-3</v>
      </c>
      <c r="AC15" s="35">
        <f t="shared" ca="1" si="12"/>
        <v>5.8817337298348446E-3</v>
      </c>
      <c r="AD15" s="35">
        <f t="shared" ca="1" si="13"/>
        <v>4.7369667622832101E-3</v>
      </c>
      <c r="AE15" s="35">
        <f t="shared" ca="1" si="14"/>
        <v>1.7368878128370586E-3</v>
      </c>
      <c r="AF15" s="35">
        <f t="shared" ca="1" si="15"/>
        <v>1.1223979578409884E-2</v>
      </c>
      <c r="AG15" s="35">
        <f t="shared" ca="1" si="16"/>
        <v>3.8685228558645872E-3</v>
      </c>
      <c r="AH15" s="35">
        <f t="shared" ca="1" si="17"/>
        <v>1.052659280507378E-2</v>
      </c>
      <c r="AI15" s="35">
        <f t="shared" ca="1" si="18"/>
        <v>7.3159819995262682E-3</v>
      </c>
      <c r="AJ15" s="35">
        <f t="shared" ca="1" si="19"/>
        <v>1.0026579646832817E-2</v>
      </c>
      <c r="AK15" s="35">
        <f t="shared" ca="1" si="20"/>
        <v>8.0791599778940251E-3</v>
      </c>
      <c r="AM15" s="35">
        <f t="shared" ca="1" si="21"/>
        <v>6.5830679754729823E-2</v>
      </c>
    </row>
    <row r="16" spans="1:39" x14ac:dyDescent="0.3">
      <c r="A16" t="s">
        <v>17</v>
      </c>
      <c r="B16">
        <v>50</v>
      </c>
      <c r="C16">
        <v>1</v>
      </c>
      <c r="D16">
        <v>53.127000000000002</v>
      </c>
      <c r="E16">
        <v>19.577999999999999</v>
      </c>
      <c r="F16">
        <v>357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118.62</v>
      </c>
      <c r="M16" s="35">
        <f t="shared" ca="1" si="1"/>
        <v>119.17100000000001</v>
      </c>
      <c r="N16" s="35">
        <f t="shared" ca="1" si="1"/>
        <v>118.931</v>
      </c>
      <c r="O16" s="35">
        <f t="shared" ca="1" si="1"/>
        <v>119.402</v>
      </c>
      <c r="P16" s="35">
        <f t="shared" ca="1" si="1"/>
        <v>118.773</v>
      </c>
      <c r="Q16" s="35">
        <f t="shared" ca="1" si="1"/>
        <v>118.875</v>
      </c>
      <c r="R16" s="35">
        <f t="shared" ca="1" si="1"/>
        <v>119.327</v>
      </c>
      <c r="S16" s="35">
        <f t="shared" ca="1" si="1"/>
        <v>118.794</v>
      </c>
      <c r="T16" s="35">
        <f t="shared" ca="1" si="1"/>
        <v>118.961</v>
      </c>
      <c r="U16" s="35">
        <f t="shared" ca="1" si="1"/>
        <v>118.886</v>
      </c>
      <c r="W16" s="35">
        <f t="shared" ca="1" si="10"/>
        <v>118.97399999999998</v>
      </c>
      <c r="Y16" s="35">
        <f ca="1">Total!E16</f>
        <v>118.01</v>
      </c>
      <c r="AB16" s="35">
        <f t="shared" ca="1" si="11"/>
        <v>5.1690534700449065E-3</v>
      </c>
      <c r="AC16" s="35">
        <f t="shared" ca="1" si="12"/>
        <v>9.8381493093805724E-3</v>
      </c>
      <c r="AD16" s="35">
        <f t="shared" ca="1" si="13"/>
        <v>7.8044233539529889E-3</v>
      </c>
      <c r="AE16" s="35">
        <f t="shared" ca="1" si="14"/>
        <v>1.17956105414795E-2</v>
      </c>
      <c r="AF16" s="35">
        <f t="shared" ca="1" si="15"/>
        <v>6.4655537666298704E-3</v>
      </c>
      <c r="AG16" s="35">
        <f t="shared" ca="1" si="16"/>
        <v>7.3298872976865935E-3</v>
      </c>
      <c r="AH16" s="35">
        <f t="shared" ca="1" si="17"/>
        <v>1.1160071180408382E-2</v>
      </c>
      <c r="AI16" s="35">
        <f t="shared" ca="1" si="18"/>
        <v>6.6435047877297839E-3</v>
      </c>
      <c r="AJ16" s="35">
        <f t="shared" ca="1" si="19"/>
        <v>8.0586390983814361E-3</v>
      </c>
      <c r="AK16" s="35">
        <f t="shared" ca="1" si="20"/>
        <v>7.4230997373103168E-3</v>
      </c>
      <c r="AM16" s="35">
        <f t="shared" ca="1" si="21"/>
        <v>8.1687992543004337E-2</v>
      </c>
    </row>
    <row r="17" spans="1:39" x14ac:dyDescent="0.3">
      <c r="A17" t="s">
        <v>17</v>
      </c>
      <c r="B17">
        <v>50</v>
      </c>
      <c r="C17">
        <v>1</v>
      </c>
      <c r="D17">
        <v>52.957000000000001</v>
      </c>
      <c r="E17">
        <v>19.555</v>
      </c>
      <c r="F17">
        <v>348</v>
      </c>
      <c r="H17" s="35" t="s">
        <v>34</v>
      </c>
      <c r="I17" s="35">
        <v>40</v>
      </c>
      <c r="J17" s="35">
        <v>1</v>
      </c>
      <c r="L17" s="35">
        <f t="shared" ca="1" si="22"/>
        <v>16.75</v>
      </c>
      <c r="M17" s="35">
        <f t="shared" ca="1" si="1"/>
        <v>16.75</v>
      </c>
      <c r="N17" s="35">
        <f t="shared" ca="1" si="1"/>
        <v>16.658999999999999</v>
      </c>
      <c r="O17" s="35">
        <f t="shared" ca="1" si="1"/>
        <v>16.774999999999999</v>
      </c>
      <c r="P17" s="35">
        <f t="shared" ca="1" si="1"/>
        <v>16.559999999999999</v>
      </c>
      <c r="Q17" s="35">
        <f t="shared" ca="1" si="1"/>
        <v>16.616</v>
      </c>
      <c r="R17" s="35">
        <f t="shared" ca="1" si="1"/>
        <v>16.876999999999999</v>
      </c>
      <c r="S17" s="35">
        <f t="shared" ca="1" si="1"/>
        <v>16.803999999999998</v>
      </c>
      <c r="T17" s="35">
        <f t="shared" ca="1" si="1"/>
        <v>16.75</v>
      </c>
      <c r="U17" s="35">
        <f t="shared" ca="1" si="1"/>
        <v>16.78</v>
      </c>
      <c r="W17" s="35">
        <f t="shared" ca="1" si="10"/>
        <v>16.732099999999999</v>
      </c>
      <c r="Y17" s="35">
        <f ca="1">Total!E17</f>
        <v>16.481999999999999</v>
      </c>
      <c r="AB17" s="35">
        <f t="shared" ca="1" si="11"/>
        <v>1.626016260162606E-2</v>
      </c>
      <c r="AC17" s="35">
        <f t="shared" ca="1" si="12"/>
        <v>1.626016260162606E-2</v>
      </c>
      <c r="AD17" s="35">
        <f t="shared" ca="1" si="13"/>
        <v>1.0738987986894771E-2</v>
      </c>
      <c r="AE17" s="35">
        <f t="shared" ca="1" si="14"/>
        <v>1.7776968814464219E-2</v>
      </c>
      <c r="AF17" s="35">
        <f t="shared" ca="1" si="15"/>
        <v>4.7324353840552972E-3</v>
      </c>
      <c r="AG17" s="35">
        <f t="shared" ca="1" si="16"/>
        <v>8.1300813008130298E-3</v>
      </c>
      <c r="AH17" s="35">
        <f t="shared" ca="1" si="17"/>
        <v>2.3965538162844292E-2</v>
      </c>
      <c r="AI17" s="35">
        <f t="shared" ca="1" si="18"/>
        <v>1.9536464021356583E-2</v>
      </c>
      <c r="AJ17" s="35">
        <f t="shared" ca="1" si="19"/>
        <v>1.626016260162606E-2</v>
      </c>
      <c r="AK17" s="35">
        <f t="shared" ca="1" si="20"/>
        <v>1.8080330057032024E-2</v>
      </c>
      <c r="AM17" s="35">
        <f t="shared" ca="1" si="21"/>
        <v>0.15174129353233839</v>
      </c>
    </row>
    <row r="18" spans="1:39" x14ac:dyDescent="0.3">
      <c r="A18" t="s">
        <v>17</v>
      </c>
      <c r="B18">
        <v>50</v>
      </c>
      <c r="C18">
        <v>1</v>
      </c>
      <c r="D18">
        <v>53.127000000000002</v>
      </c>
      <c r="E18">
        <v>19.609000000000002</v>
      </c>
      <c r="F18">
        <v>332</v>
      </c>
      <c r="H18" s="35" t="s">
        <v>34</v>
      </c>
      <c r="I18" s="35">
        <v>96</v>
      </c>
      <c r="J18" s="35">
        <v>1</v>
      </c>
      <c r="L18" s="35">
        <f t="shared" ca="1" si="22"/>
        <v>35.177999999999997</v>
      </c>
      <c r="M18" s="35">
        <f t="shared" ca="1" si="22"/>
        <v>35.151000000000003</v>
      </c>
      <c r="N18" s="35">
        <f t="shared" ca="1" si="22"/>
        <v>35.225000000000001</v>
      </c>
      <c r="O18" s="35">
        <f t="shared" ca="1" si="22"/>
        <v>35.183</v>
      </c>
      <c r="P18" s="35">
        <f t="shared" ca="1" si="22"/>
        <v>35.185000000000002</v>
      </c>
      <c r="Q18" s="35">
        <f t="shared" ca="1" si="22"/>
        <v>35.194000000000003</v>
      </c>
      <c r="R18" s="35">
        <f t="shared" ca="1" si="22"/>
        <v>35.14</v>
      </c>
      <c r="S18" s="35">
        <f t="shared" ca="1" si="22"/>
        <v>35.161999999999999</v>
      </c>
      <c r="T18" s="35">
        <f t="shared" ca="1" si="22"/>
        <v>35.218000000000004</v>
      </c>
      <c r="U18" s="35">
        <f t="shared" ca="1" si="22"/>
        <v>35.101999999999997</v>
      </c>
      <c r="W18" s="35">
        <f t="shared" ca="1" si="10"/>
        <v>35.173799999999993</v>
      </c>
      <c r="Y18" s="35">
        <f ca="1">Total!E18</f>
        <v>35.069000000000003</v>
      </c>
      <c r="AB18" s="35">
        <f t="shared" ca="1" si="11"/>
        <v>3.1081582024008285E-3</v>
      </c>
      <c r="AC18" s="35">
        <f t="shared" ca="1" si="12"/>
        <v>2.3382474550172725E-3</v>
      </c>
      <c r="AD18" s="35">
        <f t="shared" ca="1" si="13"/>
        <v>4.4483732071059568E-3</v>
      </c>
      <c r="AE18" s="35">
        <f t="shared" ca="1" si="14"/>
        <v>3.2507342667312217E-3</v>
      </c>
      <c r="AF18" s="35">
        <f t="shared" ca="1" si="15"/>
        <v>3.3077646924634194E-3</v>
      </c>
      <c r="AG18" s="35">
        <f t="shared" ca="1" si="16"/>
        <v>3.5644016082580052E-3</v>
      </c>
      <c r="AH18" s="35">
        <f t="shared" ca="1" si="17"/>
        <v>2.0245801134904885E-3</v>
      </c>
      <c r="AI18" s="35">
        <f t="shared" ca="1" si="18"/>
        <v>2.6519147965438539E-3</v>
      </c>
      <c r="AJ18" s="35">
        <f t="shared" ca="1" si="19"/>
        <v>4.2487667170435679E-3</v>
      </c>
      <c r="AK18" s="35">
        <f t="shared" ca="1" si="20"/>
        <v>9.410020245799465E-4</v>
      </c>
      <c r="AM18" s="35">
        <f t="shared" ca="1" si="21"/>
        <v>2.9883943083634561E-2</v>
      </c>
    </row>
    <row r="19" spans="1:39" x14ac:dyDescent="0.3">
      <c r="A19" t="s">
        <v>17</v>
      </c>
      <c r="B19">
        <v>50</v>
      </c>
      <c r="C19">
        <v>1</v>
      </c>
      <c r="D19">
        <v>52.957999999999998</v>
      </c>
      <c r="E19">
        <v>19.596</v>
      </c>
      <c r="F19">
        <v>267</v>
      </c>
      <c r="H19" s="35" t="s">
        <v>34</v>
      </c>
      <c r="I19" s="35">
        <v>224</v>
      </c>
      <c r="J19" s="35">
        <v>1</v>
      </c>
      <c r="L19" s="35">
        <f t="shared" ca="1" si="22"/>
        <v>71.92</v>
      </c>
      <c r="M19" s="35">
        <f t="shared" ca="1" si="22"/>
        <v>71.926000000000002</v>
      </c>
      <c r="N19" s="35">
        <f t="shared" ca="1" si="22"/>
        <v>71.926000000000002</v>
      </c>
      <c r="O19" s="35">
        <f t="shared" ca="1" si="22"/>
        <v>71.971000000000004</v>
      </c>
      <c r="P19" s="35">
        <f t="shared" ca="1" si="22"/>
        <v>71.938999999999993</v>
      </c>
      <c r="Q19" s="35">
        <f t="shared" ca="1" si="22"/>
        <v>71.915999999999997</v>
      </c>
      <c r="R19" s="35">
        <f t="shared" ca="1" si="22"/>
        <v>71.974000000000004</v>
      </c>
      <c r="S19" s="35">
        <f t="shared" ca="1" si="22"/>
        <v>71.930000000000007</v>
      </c>
      <c r="T19" s="35">
        <f t="shared" ca="1" si="22"/>
        <v>71.924999999999997</v>
      </c>
      <c r="U19" s="35">
        <f t="shared" ca="1" si="22"/>
        <v>71.924000000000007</v>
      </c>
      <c r="W19" s="35">
        <f t="shared" ca="1" si="10"/>
        <v>71.935099999999991</v>
      </c>
      <c r="Y19" s="35">
        <f ca="1">Total!E19</f>
        <v>71.908000000000001</v>
      </c>
      <c r="AB19" s="35">
        <f t="shared" ca="1" si="11"/>
        <v>1.6687990209713043E-4</v>
      </c>
      <c r="AC19" s="35">
        <f t="shared" ca="1" si="12"/>
        <v>2.5031985314569562E-4</v>
      </c>
      <c r="AD19" s="35">
        <f t="shared" ca="1" si="13"/>
        <v>2.5031985314569562E-4</v>
      </c>
      <c r="AE19" s="35">
        <f t="shared" ca="1" si="14"/>
        <v>8.7611948600993474E-4</v>
      </c>
      <c r="AF19" s="35">
        <f t="shared" ca="1" si="15"/>
        <v>4.3110641375078852E-4</v>
      </c>
      <c r="AG19" s="35">
        <f t="shared" ca="1" si="16"/>
        <v>1.1125326806468774E-4</v>
      </c>
      <c r="AH19" s="35">
        <f t="shared" ca="1" si="17"/>
        <v>9.1783946153421736E-4</v>
      </c>
      <c r="AI19" s="35">
        <f t="shared" ca="1" si="18"/>
        <v>3.059464871781383E-4</v>
      </c>
      <c r="AJ19" s="35">
        <f t="shared" ca="1" si="19"/>
        <v>2.3641319463753557E-4</v>
      </c>
      <c r="AK19" s="35">
        <f t="shared" ca="1" si="20"/>
        <v>2.2250653612957311E-4</v>
      </c>
      <c r="AM19" s="35">
        <f t="shared" ca="1" si="21"/>
        <v>3.7687044556933965E-3</v>
      </c>
    </row>
    <row r="20" spans="1:39" x14ac:dyDescent="0.3">
      <c r="A20" t="s">
        <v>17</v>
      </c>
      <c r="B20">
        <v>50</v>
      </c>
      <c r="C20">
        <v>1</v>
      </c>
      <c r="D20">
        <v>53.097000000000001</v>
      </c>
      <c r="E20">
        <v>19.562999999999999</v>
      </c>
      <c r="F20">
        <v>270</v>
      </c>
    </row>
    <row r="21" spans="1:39" x14ac:dyDescent="0.3">
      <c r="A21" t="s">
        <v>17</v>
      </c>
      <c r="B21">
        <v>100</v>
      </c>
      <c r="C21">
        <v>1</v>
      </c>
      <c r="D21">
        <v>103.098</v>
      </c>
      <c r="E21">
        <v>102.004</v>
      </c>
      <c r="F21">
        <v>426</v>
      </c>
    </row>
    <row r="22" spans="1:39" x14ac:dyDescent="0.3">
      <c r="A22" t="s">
        <v>17</v>
      </c>
      <c r="B22">
        <v>100</v>
      </c>
      <c r="C22">
        <v>1</v>
      </c>
      <c r="D22">
        <v>103.26600000000001</v>
      </c>
      <c r="E22">
        <v>102.08</v>
      </c>
      <c r="F22">
        <v>417</v>
      </c>
    </row>
    <row r="23" spans="1:39" x14ac:dyDescent="0.3">
      <c r="A23" t="s">
        <v>17</v>
      </c>
      <c r="B23">
        <v>100</v>
      </c>
      <c r="C23">
        <v>1</v>
      </c>
      <c r="D23">
        <v>103.27200000000001</v>
      </c>
      <c r="E23">
        <v>102.202</v>
      </c>
      <c r="F23">
        <v>420</v>
      </c>
    </row>
    <row r="24" spans="1:39" x14ac:dyDescent="0.3">
      <c r="A24" t="s">
        <v>17</v>
      </c>
      <c r="B24">
        <v>100</v>
      </c>
      <c r="C24">
        <v>1</v>
      </c>
      <c r="D24">
        <v>103.288</v>
      </c>
      <c r="E24">
        <v>102.13800000000001</v>
      </c>
      <c r="F24">
        <v>419</v>
      </c>
    </row>
    <row r="25" spans="1:39" x14ac:dyDescent="0.3">
      <c r="A25" t="s">
        <v>17</v>
      </c>
      <c r="B25">
        <v>100</v>
      </c>
      <c r="C25">
        <v>1</v>
      </c>
      <c r="D25">
        <v>103.26300000000001</v>
      </c>
      <c r="E25">
        <v>102.063</v>
      </c>
      <c r="F25">
        <v>417</v>
      </c>
    </row>
    <row r="26" spans="1:39" x14ac:dyDescent="0.3">
      <c r="A26" t="s">
        <v>17</v>
      </c>
      <c r="B26">
        <v>100</v>
      </c>
      <c r="C26">
        <v>1</v>
      </c>
      <c r="D26">
        <v>103.328</v>
      </c>
      <c r="E26">
        <v>102.13200000000001</v>
      </c>
      <c r="F26">
        <v>452</v>
      </c>
    </row>
    <row r="27" spans="1:39" x14ac:dyDescent="0.3">
      <c r="A27" t="s">
        <v>17</v>
      </c>
      <c r="B27">
        <v>100</v>
      </c>
      <c r="C27">
        <v>1</v>
      </c>
      <c r="D27">
        <v>103.221</v>
      </c>
      <c r="E27">
        <v>102.07</v>
      </c>
      <c r="F27">
        <v>467</v>
      </c>
    </row>
    <row r="28" spans="1:39" x14ac:dyDescent="0.3">
      <c r="A28" t="s">
        <v>17</v>
      </c>
      <c r="B28">
        <v>100</v>
      </c>
      <c r="C28">
        <v>1</v>
      </c>
      <c r="D28">
        <v>103.146</v>
      </c>
      <c r="E28">
        <v>102.04300000000001</v>
      </c>
      <c r="F28">
        <v>474</v>
      </c>
    </row>
    <row r="29" spans="1:39" x14ac:dyDescent="0.3">
      <c r="A29" t="s">
        <v>17</v>
      </c>
      <c r="B29">
        <v>100</v>
      </c>
      <c r="C29">
        <v>1</v>
      </c>
      <c r="D29">
        <v>103.312</v>
      </c>
      <c r="E29">
        <v>102.09099999999999</v>
      </c>
      <c r="F29">
        <v>420</v>
      </c>
    </row>
    <row r="30" spans="1:39" x14ac:dyDescent="0.3">
      <c r="A30" t="s">
        <v>17</v>
      </c>
      <c r="B30">
        <v>100</v>
      </c>
      <c r="C30">
        <v>1</v>
      </c>
      <c r="D30">
        <v>103.292</v>
      </c>
      <c r="E30">
        <v>102.167</v>
      </c>
      <c r="F30">
        <v>422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8.0210000000000008</v>
      </c>
      <c r="F31">
        <v>228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8.0229999999999997</v>
      </c>
      <c r="F32">
        <v>233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8.0299999999999994</v>
      </c>
      <c r="F33">
        <v>239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8.0129999999999999</v>
      </c>
      <c r="F34">
        <v>212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7.9989999999999997</v>
      </c>
      <c r="F35">
        <v>222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8.0239999999999991</v>
      </c>
      <c r="F36">
        <v>233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8.0239999999999991</v>
      </c>
      <c r="F37">
        <v>238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8.0359999999999996</v>
      </c>
      <c r="F38">
        <v>237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8.0239999999999991</v>
      </c>
      <c r="F39">
        <v>248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</v>
      </c>
      <c r="F40">
        <v>259</v>
      </c>
    </row>
    <row r="41" spans="1:6" x14ac:dyDescent="0.3">
      <c r="A41" t="s">
        <v>18</v>
      </c>
      <c r="B41">
        <v>50</v>
      </c>
      <c r="C41">
        <v>1</v>
      </c>
      <c r="D41">
        <v>180.87100000000001</v>
      </c>
      <c r="E41">
        <v>22.41</v>
      </c>
      <c r="F41">
        <v>275</v>
      </c>
    </row>
    <row r="42" spans="1:6" x14ac:dyDescent="0.3">
      <c r="A42" t="s">
        <v>18</v>
      </c>
      <c r="B42">
        <v>50</v>
      </c>
      <c r="C42">
        <v>1</v>
      </c>
      <c r="D42">
        <v>181.89</v>
      </c>
      <c r="E42">
        <v>22.452000000000002</v>
      </c>
      <c r="F42">
        <v>275</v>
      </c>
    </row>
    <row r="43" spans="1:6" x14ac:dyDescent="0.3">
      <c r="A43" t="s">
        <v>18</v>
      </c>
      <c r="B43">
        <v>50</v>
      </c>
      <c r="C43">
        <v>1</v>
      </c>
      <c r="D43">
        <v>180.685</v>
      </c>
      <c r="E43">
        <v>22.417999999999999</v>
      </c>
      <c r="F43">
        <v>272</v>
      </c>
    </row>
    <row r="44" spans="1:6" x14ac:dyDescent="0.3">
      <c r="A44" t="s">
        <v>18</v>
      </c>
      <c r="B44">
        <v>50</v>
      </c>
      <c r="C44">
        <v>1</v>
      </c>
      <c r="D44">
        <v>181.89</v>
      </c>
      <c r="E44">
        <v>22.459</v>
      </c>
      <c r="F44">
        <v>275</v>
      </c>
    </row>
    <row r="45" spans="1:6" x14ac:dyDescent="0.3">
      <c r="A45" t="s">
        <v>18</v>
      </c>
      <c r="B45">
        <v>50</v>
      </c>
      <c r="C45">
        <v>1</v>
      </c>
      <c r="D45">
        <v>180.87100000000001</v>
      </c>
      <c r="E45">
        <v>22.408000000000001</v>
      </c>
      <c r="F45">
        <v>265</v>
      </c>
    </row>
    <row r="46" spans="1:6" x14ac:dyDescent="0.3">
      <c r="A46" t="s">
        <v>18</v>
      </c>
      <c r="B46">
        <v>50</v>
      </c>
      <c r="C46">
        <v>1</v>
      </c>
      <c r="D46">
        <v>179.953</v>
      </c>
      <c r="E46">
        <v>22.411999999999999</v>
      </c>
      <c r="F46">
        <v>270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22.437999999999999</v>
      </c>
      <c r="F47">
        <v>270</v>
      </c>
    </row>
    <row r="48" spans="1:6" x14ac:dyDescent="0.3">
      <c r="A48" t="s">
        <v>18</v>
      </c>
      <c r="B48">
        <v>50</v>
      </c>
      <c r="C48">
        <v>1</v>
      </c>
      <c r="D48">
        <v>180.053</v>
      </c>
      <c r="E48">
        <v>22.402000000000001</v>
      </c>
      <c r="F48">
        <v>271</v>
      </c>
    </row>
    <row r="49" spans="1:6" x14ac:dyDescent="0.3">
      <c r="A49" t="s">
        <v>18</v>
      </c>
      <c r="B49">
        <v>50</v>
      </c>
      <c r="C49">
        <v>1</v>
      </c>
      <c r="D49">
        <v>181.89</v>
      </c>
      <c r="E49">
        <v>22.468</v>
      </c>
      <c r="F49">
        <v>272</v>
      </c>
    </row>
    <row r="50" spans="1:6" x14ac:dyDescent="0.3">
      <c r="A50" t="s">
        <v>18</v>
      </c>
      <c r="B50">
        <v>50</v>
      </c>
      <c r="C50">
        <v>1</v>
      </c>
      <c r="D50">
        <v>179.953</v>
      </c>
      <c r="E50">
        <v>22.463999999999999</v>
      </c>
      <c r="F50">
        <v>273</v>
      </c>
    </row>
    <row r="51" spans="1:6" x14ac:dyDescent="0.3">
      <c r="A51" t="s">
        <v>18</v>
      </c>
      <c r="B51">
        <v>100</v>
      </c>
      <c r="C51">
        <v>1</v>
      </c>
      <c r="D51">
        <v>239.28</v>
      </c>
      <c r="E51">
        <v>138.66</v>
      </c>
      <c r="F51">
        <v>483</v>
      </c>
    </row>
    <row r="52" spans="1:6" x14ac:dyDescent="0.3">
      <c r="A52" t="s">
        <v>18</v>
      </c>
      <c r="B52">
        <v>100</v>
      </c>
      <c r="C52">
        <v>1</v>
      </c>
      <c r="D52">
        <v>240.767</v>
      </c>
      <c r="E52">
        <v>138.53200000000001</v>
      </c>
      <c r="F52">
        <v>505</v>
      </c>
    </row>
    <row r="53" spans="1:6" x14ac:dyDescent="0.3">
      <c r="A53" t="s">
        <v>18</v>
      </c>
      <c r="B53">
        <v>100</v>
      </c>
      <c r="C53">
        <v>1</v>
      </c>
      <c r="D53">
        <v>239.16499999999999</v>
      </c>
      <c r="E53">
        <v>138.58600000000001</v>
      </c>
      <c r="F53">
        <v>536</v>
      </c>
    </row>
    <row r="54" spans="1:6" x14ac:dyDescent="0.3">
      <c r="A54" t="s">
        <v>18</v>
      </c>
      <c r="B54">
        <v>100</v>
      </c>
      <c r="C54">
        <v>1</v>
      </c>
      <c r="D54">
        <v>239.74</v>
      </c>
      <c r="E54">
        <v>138.51300000000001</v>
      </c>
      <c r="F54">
        <v>499</v>
      </c>
    </row>
    <row r="55" spans="1:6" x14ac:dyDescent="0.3">
      <c r="A55" t="s">
        <v>18</v>
      </c>
      <c r="B55">
        <v>100</v>
      </c>
      <c r="C55">
        <v>1</v>
      </c>
      <c r="D55">
        <v>239.5</v>
      </c>
      <c r="E55">
        <v>138.69800000000001</v>
      </c>
      <c r="F55">
        <v>479</v>
      </c>
    </row>
    <row r="56" spans="1:6" x14ac:dyDescent="0.3">
      <c r="A56" t="s">
        <v>18</v>
      </c>
      <c r="B56">
        <v>100</v>
      </c>
      <c r="C56">
        <v>1</v>
      </c>
      <c r="D56">
        <v>239.179</v>
      </c>
      <c r="E56">
        <v>138.63200000000001</v>
      </c>
      <c r="F56">
        <v>484</v>
      </c>
    </row>
    <row r="57" spans="1:6" x14ac:dyDescent="0.3">
      <c r="A57" t="s">
        <v>18</v>
      </c>
      <c r="B57">
        <v>100</v>
      </c>
      <c r="C57">
        <v>1</v>
      </c>
      <c r="D57">
        <v>239.50399999999999</v>
      </c>
      <c r="E57">
        <v>138.55600000000001</v>
      </c>
      <c r="F57">
        <v>484</v>
      </c>
    </row>
    <row r="58" spans="1:6" x14ac:dyDescent="0.3">
      <c r="A58" t="s">
        <v>18</v>
      </c>
      <c r="B58">
        <v>100</v>
      </c>
      <c r="C58">
        <v>1</v>
      </c>
      <c r="D58">
        <v>239.523</v>
      </c>
      <c r="E58">
        <v>138.619</v>
      </c>
      <c r="F58">
        <v>491</v>
      </c>
    </row>
    <row r="59" spans="1:6" x14ac:dyDescent="0.3">
      <c r="A59" t="s">
        <v>18</v>
      </c>
      <c r="B59">
        <v>100</v>
      </c>
      <c r="C59">
        <v>1</v>
      </c>
      <c r="D59">
        <v>239.15600000000001</v>
      </c>
      <c r="E59">
        <v>138.47999999999999</v>
      </c>
      <c r="F59">
        <v>531</v>
      </c>
    </row>
    <row r="60" spans="1:6" x14ac:dyDescent="0.3">
      <c r="A60" t="s">
        <v>18</v>
      </c>
      <c r="B60">
        <v>100</v>
      </c>
      <c r="C60">
        <v>1</v>
      </c>
      <c r="D60">
        <v>239.18299999999999</v>
      </c>
      <c r="E60">
        <v>138.673</v>
      </c>
      <c r="F60">
        <v>529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4.3310000000000004</v>
      </c>
      <c r="F61">
        <v>169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4.3129999999999997</v>
      </c>
      <c r="F62">
        <v>211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4.3319999999999999</v>
      </c>
      <c r="F63">
        <v>188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4.3140000000000001</v>
      </c>
      <c r="F64">
        <v>176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4.3140000000000001</v>
      </c>
      <c r="F65">
        <v>145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4.3390000000000004</v>
      </c>
      <c r="F66">
        <v>233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4.3390000000000004</v>
      </c>
      <c r="F67">
        <v>177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4.3209999999999997</v>
      </c>
      <c r="F68">
        <v>201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4.3250000000000002</v>
      </c>
      <c r="F69">
        <v>195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4.3339999999999996</v>
      </c>
      <c r="F70">
        <v>239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13.195</v>
      </c>
      <c r="F71">
        <v>286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13.233000000000001</v>
      </c>
      <c r="F72">
        <v>271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13.196</v>
      </c>
      <c r="F73">
        <v>299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13.24</v>
      </c>
      <c r="F74">
        <v>272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13.19</v>
      </c>
      <c r="F75">
        <v>306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13.233000000000001</v>
      </c>
      <c r="F76">
        <v>286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13.193</v>
      </c>
      <c r="F77">
        <v>273</v>
      </c>
    </row>
    <row r="78" spans="1:6" x14ac:dyDescent="0.3">
      <c r="A78" t="s">
        <v>19</v>
      </c>
      <c r="B78">
        <v>47</v>
      </c>
      <c r="C78">
        <v>1</v>
      </c>
      <c r="D78">
        <v>4318.4880000000003</v>
      </c>
      <c r="E78">
        <v>13.211</v>
      </c>
      <c r="F78">
        <v>298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13.202999999999999</v>
      </c>
      <c r="F79">
        <v>274</v>
      </c>
    </row>
    <row r="80" spans="1:6" x14ac:dyDescent="0.3">
      <c r="A80" t="s">
        <v>19</v>
      </c>
      <c r="B80">
        <v>47</v>
      </c>
      <c r="C80">
        <v>1</v>
      </c>
      <c r="D80">
        <v>4318.4880000000003</v>
      </c>
      <c r="E80">
        <v>13.212999999999999</v>
      </c>
      <c r="F80">
        <v>305</v>
      </c>
    </row>
    <row r="81" spans="1:6" x14ac:dyDescent="0.3">
      <c r="A81" t="s">
        <v>19</v>
      </c>
      <c r="B81">
        <v>100</v>
      </c>
      <c r="C81">
        <v>1</v>
      </c>
      <c r="D81">
        <v>35248.165000000001</v>
      </c>
      <c r="E81">
        <v>54.972999999999999</v>
      </c>
      <c r="F81">
        <v>239</v>
      </c>
    </row>
    <row r="82" spans="1:6" x14ac:dyDescent="0.3">
      <c r="A82" t="s">
        <v>19</v>
      </c>
      <c r="B82">
        <v>100</v>
      </c>
      <c r="C82">
        <v>1</v>
      </c>
      <c r="D82">
        <v>35258.817999999999</v>
      </c>
      <c r="E82">
        <v>54.854999999999997</v>
      </c>
      <c r="F82">
        <v>256</v>
      </c>
    </row>
    <row r="83" spans="1:6" x14ac:dyDescent="0.3">
      <c r="A83" t="s">
        <v>19</v>
      </c>
      <c r="B83">
        <v>100</v>
      </c>
      <c r="C83">
        <v>1</v>
      </c>
      <c r="D83">
        <v>35247.360000000001</v>
      </c>
      <c r="E83">
        <v>54.820999999999998</v>
      </c>
      <c r="F83">
        <v>279</v>
      </c>
    </row>
    <row r="84" spans="1:6" x14ac:dyDescent="0.3">
      <c r="A84" t="s">
        <v>19</v>
      </c>
      <c r="B84">
        <v>100</v>
      </c>
      <c r="C84">
        <v>1</v>
      </c>
      <c r="D84">
        <v>35272.953000000001</v>
      </c>
      <c r="E84">
        <v>54.817</v>
      </c>
      <c r="F84">
        <v>280</v>
      </c>
    </row>
    <row r="85" spans="1:6" x14ac:dyDescent="0.3">
      <c r="A85" t="s">
        <v>19</v>
      </c>
      <c r="B85">
        <v>100</v>
      </c>
      <c r="C85">
        <v>1</v>
      </c>
      <c r="D85">
        <v>35219.264999999999</v>
      </c>
      <c r="E85">
        <v>54.948</v>
      </c>
      <c r="F85">
        <v>281</v>
      </c>
    </row>
    <row r="86" spans="1:6" x14ac:dyDescent="0.3">
      <c r="A86" t="s">
        <v>19</v>
      </c>
      <c r="B86">
        <v>100</v>
      </c>
      <c r="C86">
        <v>1</v>
      </c>
      <c r="D86">
        <v>35272.826999999997</v>
      </c>
      <c r="E86">
        <v>54.965000000000003</v>
      </c>
      <c r="F86">
        <v>278</v>
      </c>
    </row>
    <row r="87" spans="1:6" x14ac:dyDescent="0.3">
      <c r="A87" t="s">
        <v>19</v>
      </c>
      <c r="B87">
        <v>100</v>
      </c>
      <c r="C87">
        <v>1</v>
      </c>
      <c r="D87">
        <v>35217.79</v>
      </c>
      <c r="E87">
        <v>54.959000000000003</v>
      </c>
      <c r="F87">
        <v>277</v>
      </c>
    </row>
    <row r="88" spans="1:6" x14ac:dyDescent="0.3">
      <c r="A88" t="s">
        <v>19</v>
      </c>
      <c r="B88">
        <v>100</v>
      </c>
      <c r="C88">
        <v>1</v>
      </c>
      <c r="D88">
        <v>35272.661</v>
      </c>
      <c r="E88">
        <v>54.911000000000001</v>
      </c>
      <c r="F88">
        <v>237</v>
      </c>
    </row>
    <row r="89" spans="1:6" x14ac:dyDescent="0.3">
      <c r="A89" t="s">
        <v>19</v>
      </c>
      <c r="B89">
        <v>100</v>
      </c>
      <c r="C89">
        <v>1</v>
      </c>
      <c r="D89">
        <v>35272.862000000001</v>
      </c>
      <c r="E89">
        <v>54.896999999999998</v>
      </c>
      <c r="F89">
        <v>232</v>
      </c>
    </row>
    <row r="90" spans="1:6" x14ac:dyDescent="0.3">
      <c r="A90" t="s">
        <v>19</v>
      </c>
      <c r="B90">
        <v>100</v>
      </c>
      <c r="C90">
        <v>1</v>
      </c>
      <c r="D90">
        <v>35242.858</v>
      </c>
      <c r="E90">
        <v>54.81</v>
      </c>
      <c r="F90">
        <v>234</v>
      </c>
    </row>
    <row r="91" spans="1:6" x14ac:dyDescent="0.3">
      <c r="A91" t="s">
        <v>20</v>
      </c>
      <c r="B91">
        <v>30</v>
      </c>
      <c r="C91">
        <v>1</v>
      </c>
      <c r="D91">
        <v>659.79600000000005</v>
      </c>
      <c r="E91">
        <v>6.4669999999999996</v>
      </c>
      <c r="F91">
        <v>190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6.484</v>
      </c>
      <c r="F92">
        <v>165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6.4779999999999998</v>
      </c>
      <c r="F93">
        <v>191</v>
      </c>
    </row>
    <row r="94" spans="1:6" x14ac:dyDescent="0.3">
      <c r="A94" t="s">
        <v>20</v>
      </c>
      <c r="B94">
        <v>30</v>
      </c>
      <c r="C94">
        <v>1</v>
      </c>
      <c r="D94">
        <v>659.84500000000003</v>
      </c>
      <c r="E94">
        <v>6.4779999999999998</v>
      </c>
      <c r="F94">
        <v>199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6.4870000000000001</v>
      </c>
      <c r="F95">
        <v>197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6.5010000000000003</v>
      </c>
      <c r="F96">
        <v>209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6.5209999999999999</v>
      </c>
      <c r="F97">
        <v>190</v>
      </c>
    </row>
    <row r="98" spans="1:6" x14ac:dyDescent="0.3">
      <c r="A98" t="s">
        <v>20</v>
      </c>
      <c r="B98">
        <v>30</v>
      </c>
      <c r="C98">
        <v>1</v>
      </c>
      <c r="D98">
        <v>657.35599999999999</v>
      </c>
      <c r="E98">
        <v>6.484</v>
      </c>
      <c r="F98">
        <v>194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6.4930000000000003</v>
      </c>
      <c r="F99">
        <v>189</v>
      </c>
    </row>
    <row r="100" spans="1:6" x14ac:dyDescent="0.3">
      <c r="A100" t="s">
        <v>20</v>
      </c>
      <c r="B100">
        <v>30</v>
      </c>
      <c r="C100">
        <v>1</v>
      </c>
      <c r="D100">
        <v>659.79600000000005</v>
      </c>
      <c r="E100">
        <v>6.47</v>
      </c>
      <c r="F100">
        <v>197</v>
      </c>
    </row>
    <row r="101" spans="1:6" x14ac:dyDescent="0.3">
      <c r="A101" t="s">
        <v>20</v>
      </c>
      <c r="B101">
        <v>50</v>
      </c>
      <c r="C101">
        <v>1</v>
      </c>
      <c r="D101">
        <v>995.721</v>
      </c>
      <c r="E101">
        <v>14.728</v>
      </c>
      <c r="F101">
        <v>214</v>
      </c>
    </row>
    <row r="102" spans="1:6" x14ac:dyDescent="0.3">
      <c r="A102" t="s">
        <v>20</v>
      </c>
      <c r="B102">
        <v>50</v>
      </c>
      <c r="C102">
        <v>1</v>
      </c>
      <c r="D102">
        <v>990.096</v>
      </c>
      <c r="E102">
        <v>14.693</v>
      </c>
      <c r="F102">
        <v>217</v>
      </c>
    </row>
    <row r="103" spans="1:6" x14ac:dyDescent="0.3">
      <c r="A103" t="s">
        <v>20</v>
      </c>
      <c r="B103">
        <v>50</v>
      </c>
      <c r="C103">
        <v>1</v>
      </c>
      <c r="D103">
        <v>992.51099999999997</v>
      </c>
      <c r="E103">
        <v>14.734</v>
      </c>
      <c r="F103">
        <v>214</v>
      </c>
    </row>
    <row r="104" spans="1:6" x14ac:dyDescent="0.3">
      <c r="A104" t="s">
        <v>20</v>
      </c>
      <c r="B104">
        <v>50</v>
      </c>
      <c r="C104">
        <v>1</v>
      </c>
      <c r="D104">
        <v>997.09299999999996</v>
      </c>
      <c r="E104">
        <v>14.731</v>
      </c>
      <c r="F104">
        <v>215</v>
      </c>
    </row>
    <row r="105" spans="1:6" x14ac:dyDescent="0.3">
      <c r="A105" t="s">
        <v>20</v>
      </c>
      <c r="B105">
        <v>50</v>
      </c>
      <c r="C105">
        <v>1</v>
      </c>
      <c r="D105">
        <v>994.54499999999996</v>
      </c>
      <c r="E105">
        <v>14.712</v>
      </c>
      <c r="F105">
        <v>208</v>
      </c>
    </row>
    <row r="106" spans="1:6" x14ac:dyDescent="0.3">
      <c r="A106" t="s">
        <v>20</v>
      </c>
      <c r="B106">
        <v>50</v>
      </c>
      <c r="C106">
        <v>1</v>
      </c>
      <c r="D106">
        <v>993.57600000000002</v>
      </c>
      <c r="E106">
        <v>14.694000000000001</v>
      </c>
      <c r="F106">
        <v>210</v>
      </c>
    </row>
    <row r="107" spans="1:6" x14ac:dyDescent="0.3">
      <c r="A107" t="s">
        <v>20</v>
      </c>
      <c r="B107">
        <v>50</v>
      </c>
      <c r="C107">
        <v>1</v>
      </c>
      <c r="D107">
        <v>996.14</v>
      </c>
      <c r="E107">
        <v>14.734</v>
      </c>
      <c r="F107">
        <v>220</v>
      </c>
    </row>
    <row r="108" spans="1:6" x14ac:dyDescent="0.3">
      <c r="A108" t="s">
        <v>20</v>
      </c>
      <c r="B108">
        <v>50</v>
      </c>
      <c r="C108">
        <v>1</v>
      </c>
      <c r="D108">
        <v>993.89300000000003</v>
      </c>
      <c r="E108">
        <v>14.734</v>
      </c>
      <c r="F108">
        <v>215</v>
      </c>
    </row>
    <row r="109" spans="1:6" x14ac:dyDescent="0.3">
      <c r="A109" t="s">
        <v>20</v>
      </c>
      <c r="B109">
        <v>50</v>
      </c>
      <c r="C109">
        <v>1</v>
      </c>
      <c r="D109">
        <v>996.05100000000004</v>
      </c>
      <c r="E109">
        <v>14.722</v>
      </c>
      <c r="F109">
        <v>205</v>
      </c>
    </row>
    <row r="110" spans="1:6" x14ac:dyDescent="0.3">
      <c r="A110" t="s">
        <v>20</v>
      </c>
      <c r="B110">
        <v>50</v>
      </c>
      <c r="C110">
        <v>1</v>
      </c>
      <c r="D110">
        <v>996.85599999999999</v>
      </c>
      <c r="E110">
        <v>14.715</v>
      </c>
      <c r="F110">
        <v>212</v>
      </c>
    </row>
    <row r="111" spans="1:6" x14ac:dyDescent="0.3">
      <c r="A111" t="s">
        <v>20</v>
      </c>
      <c r="B111">
        <v>100</v>
      </c>
      <c r="C111">
        <v>1</v>
      </c>
      <c r="D111">
        <v>1754.153</v>
      </c>
      <c r="E111">
        <v>32.503999999999998</v>
      </c>
      <c r="F111">
        <v>155</v>
      </c>
    </row>
    <row r="112" spans="1:6" x14ac:dyDescent="0.3">
      <c r="A112" t="s">
        <v>20</v>
      </c>
      <c r="B112">
        <v>100</v>
      </c>
      <c r="C112">
        <v>1</v>
      </c>
      <c r="D112">
        <v>1757.1969999999999</v>
      </c>
      <c r="E112">
        <v>32.456000000000003</v>
      </c>
      <c r="F112">
        <v>152</v>
      </c>
    </row>
    <row r="113" spans="1:6" x14ac:dyDescent="0.3">
      <c r="A113" t="s">
        <v>20</v>
      </c>
      <c r="B113">
        <v>100</v>
      </c>
      <c r="C113">
        <v>1</v>
      </c>
      <c r="D113">
        <v>1758.0540000000001</v>
      </c>
      <c r="E113">
        <v>32.652000000000001</v>
      </c>
      <c r="F113">
        <v>153</v>
      </c>
    </row>
    <row r="114" spans="1:6" x14ac:dyDescent="0.3">
      <c r="A114" t="s">
        <v>20</v>
      </c>
      <c r="B114">
        <v>100</v>
      </c>
      <c r="C114">
        <v>1</v>
      </c>
      <c r="D114">
        <v>1755.11</v>
      </c>
      <c r="E114">
        <v>32.624000000000002</v>
      </c>
      <c r="F114">
        <v>155</v>
      </c>
    </row>
    <row r="115" spans="1:6" x14ac:dyDescent="0.3">
      <c r="A115" t="s">
        <v>20</v>
      </c>
      <c r="B115">
        <v>100</v>
      </c>
      <c r="C115">
        <v>1</v>
      </c>
      <c r="D115">
        <v>1755.41</v>
      </c>
      <c r="E115">
        <v>32.512</v>
      </c>
      <c r="F115">
        <v>161</v>
      </c>
    </row>
    <row r="116" spans="1:6" x14ac:dyDescent="0.3">
      <c r="A116" t="s">
        <v>20</v>
      </c>
      <c r="B116">
        <v>100</v>
      </c>
      <c r="C116">
        <v>1</v>
      </c>
      <c r="D116">
        <v>1757.375</v>
      </c>
      <c r="E116">
        <v>32.457000000000001</v>
      </c>
      <c r="F116">
        <v>184</v>
      </c>
    </row>
    <row r="117" spans="1:6" x14ac:dyDescent="0.3">
      <c r="A117" t="s">
        <v>20</v>
      </c>
      <c r="B117">
        <v>100</v>
      </c>
      <c r="C117">
        <v>1</v>
      </c>
      <c r="D117">
        <v>1755.9</v>
      </c>
      <c r="E117">
        <v>32.479999999999997</v>
      </c>
      <c r="F117">
        <v>184</v>
      </c>
    </row>
    <row r="118" spans="1:6" x14ac:dyDescent="0.3">
      <c r="A118" t="s">
        <v>20</v>
      </c>
      <c r="B118">
        <v>100</v>
      </c>
      <c r="C118">
        <v>1</v>
      </c>
      <c r="D118">
        <v>1756.6669999999999</v>
      </c>
      <c r="E118">
        <v>32.476999999999997</v>
      </c>
      <c r="F118">
        <v>179</v>
      </c>
    </row>
    <row r="119" spans="1:6" x14ac:dyDescent="0.3">
      <c r="A119" t="s">
        <v>20</v>
      </c>
      <c r="B119">
        <v>100</v>
      </c>
      <c r="C119">
        <v>1</v>
      </c>
      <c r="D119">
        <v>1758.0630000000001</v>
      </c>
      <c r="E119">
        <v>32.58</v>
      </c>
      <c r="F119">
        <v>181</v>
      </c>
    </row>
    <row r="120" spans="1:6" x14ac:dyDescent="0.3">
      <c r="A120" t="s">
        <v>20</v>
      </c>
      <c r="B120">
        <v>100</v>
      </c>
      <c r="C120">
        <v>1</v>
      </c>
      <c r="D120">
        <v>1757.297</v>
      </c>
      <c r="E120">
        <v>32.619</v>
      </c>
      <c r="F120">
        <v>183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1.38</v>
      </c>
      <c r="F121">
        <v>69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1.367</v>
      </c>
      <c r="F122">
        <v>100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1.3859999999999999</v>
      </c>
      <c r="F123">
        <v>271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1.3819999999999999</v>
      </c>
      <c r="F124">
        <v>248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1.365</v>
      </c>
      <c r="F125">
        <v>109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1.3839999999999999</v>
      </c>
      <c r="F126">
        <v>345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1.373</v>
      </c>
      <c r="F127">
        <v>98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1.3640000000000001</v>
      </c>
      <c r="F128">
        <v>492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1.3660000000000001</v>
      </c>
      <c r="F129">
        <v>136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1.381</v>
      </c>
      <c r="F130">
        <v>327</v>
      </c>
    </row>
    <row r="131" spans="1:6" x14ac:dyDescent="0.3">
      <c r="A131" t="s">
        <v>33</v>
      </c>
      <c r="B131">
        <v>209</v>
      </c>
      <c r="C131">
        <v>1</v>
      </c>
      <c r="D131">
        <v>76.183000000000007</v>
      </c>
      <c r="E131">
        <v>180.90700000000001</v>
      </c>
      <c r="F131">
        <v>201</v>
      </c>
    </row>
    <row r="132" spans="1:6" x14ac:dyDescent="0.3">
      <c r="A132" t="s">
        <v>33</v>
      </c>
      <c r="B132">
        <v>209</v>
      </c>
      <c r="C132">
        <v>1</v>
      </c>
      <c r="D132">
        <v>76.444999999999993</v>
      </c>
      <c r="E132">
        <v>180.86199999999999</v>
      </c>
      <c r="F132">
        <v>198</v>
      </c>
    </row>
    <row r="133" spans="1:6" x14ac:dyDescent="0.3">
      <c r="A133" t="s">
        <v>33</v>
      </c>
      <c r="B133">
        <v>209</v>
      </c>
      <c r="C133">
        <v>1</v>
      </c>
      <c r="D133">
        <v>76.358000000000004</v>
      </c>
      <c r="E133">
        <v>181.42099999999999</v>
      </c>
      <c r="F133">
        <v>192</v>
      </c>
    </row>
    <row r="134" spans="1:6" x14ac:dyDescent="0.3">
      <c r="A134" t="s">
        <v>33</v>
      </c>
      <c r="B134">
        <v>209</v>
      </c>
      <c r="C134">
        <v>1</v>
      </c>
      <c r="D134">
        <v>76.13</v>
      </c>
      <c r="E134">
        <v>181.38</v>
      </c>
      <c r="F134">
        <v>191</v>
      </c>
    </row>
    <row r="135" spans="1:6" x14ac:dyDescent="0.3">
      <c r="A135" t="s">
        <v>33</v>
      </c>
      <c r="B135">
        <v>209</v>
      </c>
      <c r="C135">
        <v>1</v>
      </c>
      <c r="D135">
        <v>76.850999999999999</v>
      </c>
      <c r="E135">
        <v>181.13200000000001</v>
      </c>
      <c r="F135">
        <v>190</v>
      </c>
    </row>
    <row r="136" spans="1:6" x14ac:dyDescent="0.3">
      <c r="A136" t="s">
        <v>33</v>
      </c>
      <c r="B136">
        <v>209</v>
      </c>
      <c r="C136">
        <v>1</v>
      </c>
      <c r="D136">
        <v>76.292000000000002</v>
      </c>
      <c r="E136">
        <v>180.858</v>
      </c>
      <c r="F136">
        <v>192</v>
      </c>
    </row>
    <row r="137" spans="1:6" x14ac:dyDescent="0.3">
      <c r="A137" t="s">
        <v>33</v>
      </c>
      <c r="B137">
        <v>209</v>
      </c>
      <c r="C137">
        <v>1</v>
      </c>
      <c r="D137">
        <v>76.798000000000002</v>
      </c>
      <c r="E137">
        <v>181.38200000000001</v>
      </c>
      <c r="F137">
        <v>192</v>
      </c>
    </row>
    <row r="138" spans="1:6" x14ac:dyDescent="0.3">
      <c r="A138" t="s">
        <v>33</v>
      </c>
      <c r="B138">
        <v>209</v>
      </c>
      <c r="C138">
        <v>1</v>
      </c>
      <c r="D138">
        <v>76.554000000000002</v>
      </c>
      <c r="E138">
        <v>181.215</v>
      </c>
      <c r="F138">
        <v>197</v>
      </c>
    </row>
    <row r="139" spans="1:6" x14ac:dyDescent="0.3">
      <c r="A139" t="s">
        <v>33</v>
      </c>
      <c r="B139">
        <v>209</v>
      </c>
      <c r="C139">
        <v>1</v>
      </c>
      <c r="D139">
        <v>76.760000000000005</v>
      </c>
      <c r="E139">
        <v>181.28700000000001</v>
      </c>
      <c r="F139">
        <v>199</v>
      </c>
    </row>
    <row r="140" spans="1:6" x14ac:dyDescent="0.3">
      <c r="A140" t="s">
        <v>33</v>
      </c>
      <c r="B140">
        <v>209</v>
      </c>
      <c r="C140">
        <v>1</v>
      </c>
      <c r="D140">
        <v>76.611999999999995</v>
      </c>
      <c r="E140">
        <v>181.143</v>
      </c>
      <c r="F140">
        <v>192</v>
      </c>
    </row>
    <row r="141" spans="1:6" x14ac:dyDescent="0.3">
      <c r="A141" t="s">
        <v>33</v>
      </c>
      <c r="B141">
        <v>324</v>
      </c>
      <c r="C141">
        <v>1</v>
      </c>
      <c r="D141">
        <v>118.62</v>
      </c>
      <c r="E141">
        <v>420.452</v>
      </c>
      <c r="F141">
        <v>162</v>
      </c>
    </row>
    <row r="142" spans="1:6" x14ac:dyDescent="0.3">
      <c r="A142" t="s">
        <v>33</v>
      </c>
      <c r="B142">
        <v>324</v>
      </c>
      <c r="C142">
        <v>1</v>
      </c>
      <c r="D142">
        <v>119.17100000000001</v>
      </c>
      <c r="E142">
        <v>420.35899999999998</v>
      </c>
      <c r="F142">
        <v>165</v>
      </c>
    </row>
    <row r="143" spans="1:6" x14ac:dyDescent="0.3">
      <c r="A143" t="s">
        <v>33</v>
      </c>
      <c r="B143">
        <v>324</v>
      </c>
      <c r="C143">
        <v>1</v>
      </c>
      <c r="D143">
        <v>118.931</v>
      </c>
      <c r="E143">
        <v>420.06</v>
      </c>
      <c r="F143">
        <v>166</v>
      </c>
    </row>
    <row r="144" spans="1:6" x14ac:dyDescent="0.3">
      <c r="A144" t="s">
        <v>33</v>
      </c>
      <c r="B144">
        <v>324</v>
      </c>
      <c r="C144">
        <v>1</v>
      </c>
      <c r="D144">
        <v>119.402</v>
      </c>
      <c r="E144">
        <v>420.84100000000001</v>
      </c>
      <c r="F144">
        <v>160</v>
      </c>
    </row>
    <row r="145" spans="1:6" x14ac:dyDescent="0.3">
      <c r="A145" t="s">
        <v>33</v>
      </c>
      <c r="B145">
        <v>324</v>
      </c>
      <c r="C145">
        <v>1</v>
      </c>
      <c r="D145">
        <v>118.773</v>
      </c>
      <c r="E145">
        <v>420.21199999999999</v>
      </c>
      <c r="F145">
        <v>167</v>
      </c>
    </row>
    <row r="146" spans="1:6" x14ac:dyDescent="0.3">
      <c r="A146" t="s">
        <v>33</v>
      </c>
      <c r="B146">
        <v>324</v>
      </c>
      <c r="C146">
        <v>1</v>
      </c>
      <c r="D146">
        <v>118.875</v>
      </c>
      <c r="E146">
        <v>419.346</v>
      </c>
      <c r="F146">
        <v>165</v>
      </c>
    </row>
    <row r="147" spans="1:6" x14ac:dyDescent="0.3">
      <c r="A147" t="s">
        <v>33</v>
      </c>
      <c r="B147">
        <v>324</v>
      </c>
      <c r="C147">
        <v>1</v>
      </c>
      <c r="D147">
        <v>119.327</v>
      </c>
      <c r="E147">
        <v>420.13200000000001</v>
      </c>
      <c r="F147">
        <v>161</v>
      </c>
    </row>
    <row r="148" spans="1:6" x14ac:dyDescent="0.3">
      <c r="A148" t="s">
        <v>33</v>
      </c>
      <c r="B148">
        <v>324</v>
      </c>
      <c r="C148">
        <v>1</v>
      </c>
      <c r="D148">
        <v>118.794</v>
      </c>
      <c r="E148">
        <v>421.459</v>
      </c>
      <c r="F148">
        <v>162</v>
      </c>
    </row>
    <row r="149" spans="1:6" x14ac:dyDescent="0.3">
      <c r="A149" t="s">
        <v>33</v>
      </c>
      <c r="B149">
        <v>324</v>
      </c>
      <c r="C149">
        <v>1</v>
      </c>
      <c r="D149">
        <v>118.961</v>
      </c>
      <c r="E149">
        <v>420.77199999999999</v>
      </c>
      <c r="F149">
        <v>167</v>
      </c>
    </row>
    <row r="150" spans="1:6" x14ac:dyDescent="0.3">
      <c r="A150" t="s">
        <v>33</v>
      </c>
      <c r="B150">
        <v>324</v>
      </c>
      <c r="C150">
        <v>1</v>
      </c>
      <c r="D150">
        <v>118.886</v>
      </c>
      <c r="E150">
        <v>421.10199999999998</v>
      </c>
      <c r="F150">
        <v>166</v>
      </c>
    </row>
    <row r="151" spans="1:6" x14ac:dyDescent="0.3">
      <c r="A151" t="s">
        <v>34</v>
      </c>
      <c r="B151">
        <v>40</v>
      </c>
      <c r="C151">
        <v>1</v>
      </c>
      <c r="D151">
        <v>16.75</v>
      </c>
      <c r="E151">
        <v>11.638999999999999</v>
      </c>
      <c r="F151">
        <v>238</v>
      </c>
    </row>
    <row r="152" spans="1:6" x14ac:dyDescent="0.3">
      <c r="A152" t="s">
        <v>34</v>
      </c>
      <c r="B152">
        <v>40</v>
      </c>
      <c r="C152">
        <v>1</v>
      </c>
      <c r="D152">
        <v>16.75</v>
      </c>
      <c r="E152">
        <v>11.631</v>
      </c>
      <c r="F152">
        <v>234</v>
      </c>
    </row>
    <row r="153" spans="1:6" x14ac:dyDescent="0.3">
      <c r="A153" t="s">
        <v>34</v>
      </c>
      <c r="B153">
        <v>40</v>
      </c>
      <c r="C153">
        <v>1</v>
      </c>
      <c r="D153">
        <v>16.658999999999999</v>
      </c>
      <c r="E153">
        <v>11.619</v>
      </c>
      <c r="F153">
        <v>228</v>
      </c>
    </row>
    <row r="154" spans="1:6" x14ac:dyDescent="0.3">
      <c r="A154" t="s">
        <v>34</v>
      </c>
      <c r="B154">
        <v>40</v>
      </c>
      <c r="C154">
        <v>1</v>
      </c>
      <c r="D154">
        <v>16.774999999999999</v>
      </c>
      <c r="E154">
        <v>11.644</v>
      </c>
      <c r="F154">
        <v>239</v>
      </c>
    </row>
    <row r="155" spans="1:6" x14ac:dyDescent="0.3">
      <c r="A155" t="s">
        <v>34</v>
      </c>
      <c r="B155">
        <v>40</v>
      </c>
      <c r="C155">
        <v>1</v>
      </c>
      <c r="D155">
        <v>16.559999999999999</v>
      </c>
      <c r="E155">
        <v>11.63</v>
      </c>
      <c r="F155">
        <v>239</v>
      </c>
    </row>
    <row r="156" spans="1:6" x14ac:dyDescent="0.3">
      <c r="A156" t="s">
        <v>34</v>
      </c>
      <c r="B156">
        <v>40</v>
      </c>
      <c r="C156">
        <v>1</v>
      </c>
      <c r="D156">
        <v>16.616</v>
      </c>
      <c r="E156">
        <v>11.616</v>
      </c>
      <c r="F156">
        <v>231</v>
      </c>
    </row>
    <row r="157" spans="1:6" x14ac:dyDescent="0.3">
      <c r="A157" t="s">
        <v>34</v>
      </c>
      <c r="B157">
        <v>40</v>
      </c>
      <c r="C157">
        <v>1</v>
      </c>
      <c r="D157">
        <v>16.876999999999999</v>
      </c>
      <c r="E157">
        <v>11.645</v>
      </c>
      <c r="F157">
        <v>232</v>
      </c>
    </row>
    <row r="158" spans="1:6" x14ac:dyDescent="0.3">
      <c r="A158" t="s">
        <v>34</v>
      </c>
      <c r="B158">
        <v>40</v>
      </c>
      <c r="C158">
        <v>1</v>
      </c>
      <c r="D158">
        <v>16.803999999999998</v>
      </c>
      <c r="E158">
        <v>11.635999999999999</v>
      </c>
      <c r="F158">
        <v>232</v>
      </c>
    </row>
    <row r="159" spans="1:6" x14ac:dyDescent="0.3">
      <c r="A159" t="s">
        <v>34</v>
      </c>
      <c r="B159">
        <v>40</v>
      </c>
      <c r="C159">
        <v>1</v>
      </c>
      <c r="D159">
        <v>16.75</v>
      </c>
      <c r="E159">
        <v>11.644</v>
      </c>
      <c r="F159">
        <v>222</v>
      </c>
    </row>
    <row r="160" spans="1:6" x14ac:dyDescent="0.3">
      <c r="A160" t="s">
        <v>34</v>
      </c>
      <c r="B160">
        <v>40</v>
      </c>
      <c r="C160">
        <v>1</v>
      </c>
      <c r="D160">
        <v>16.78</v>
      </c>
      <c r="E160">
        <v>11.645</v>
      </c>
      <c r="F160">
        <v>223</v>
      </c>
    </row>
    <row r="161" spans="1:6" x14ac:dyDescent="0.3">
      <c r="A161" t="s">
        <v>34</v>
      </c>
      <c r="B161">
        <v>96</v>
      </c>
      <c r="C161">
        <v>1</v>
      </c>
      <c r="D161">
        <v>35.177999999999997</v>
      </c>
      <c r="E161">
        <v>51.337000000000003</v>
      </c>
      <c r="F161">
        <v>273</v>
      </c>
    </row>
    <row r="162" spans="1:6" x14ac:dyDescent="0.3">
      <c r="A162" t="s">
        <v>34</v>
      </c>
      <c r="B162">
        <v>96</v>
      </c>
      <c r="C162">
        <v>1</v>
      </c>
      <c r="D162">
        <v>35.151000000000003</v>
      </c>
      <c r="E162">
        <v>51.267000000000003</v>
      </c>
      <c r="F162">
        <v>270</v>
      </c>
    </row>
    <row r="163" spans="1:6" x14ac:dyDescent="0.3">
      <c r="A163" t="s">
        <v>34</v>
      </c>
      <c r="B163">
        <v>96</v>
      </c>
      <c r="C163">
        <v>1</v>
      </c>
      <c r="D163">
        <v>35.225000000000001</v>
      </c>
      <c r="E163">
        <v>51.298999999999999</v>
      </c>
      <c r="F163">
        <v>256</v>
      </c>
    </row>
    <row r="164" spans="1:6" x14ac:dyDescent="0.3">
      <c r="A164" t="s">
        <v>34</v>
      </c>
      <c r="B164">
        <v>96</v>
      </c>
      <c r="C164">
        <v>1</v>
      </c>
      <c r="D164">
        <v>35.183</v>
      </c>
      <c r="E164">
        <v>51.323999999999998</v>
      </c>
      <c r="F164">
        <v>273</v>
      </c>
    </row>
    <row r="165" spans="1:6" x14ac:dyDescent="0.3">
      <c r="A165" t="s">
        <v>34</v>
      </c>
      <c r="B165">
        <v>96</v>
      </c>
      <c r="C165">
        <v>1</v>
      </c>
      <c r="D165">
        <v>35.185000000000002</v>
      </c>
      <c r="E165">
        <v>51.408000000000001</v>
      </c>
      <c r="F165">
        <v>255</v>
      </c>
    </row>
    <row r="166" spans="1:6" x14ac:dyDescent="0.3">
      <c r="A166" t="s">
        <v>34</v>
      </c>
      <c r="B166">
        <v>96</v>
      </c>
      <c r="C166">
        <v>1</v>
      </c>
      <c r="D166">
        <v>35.194000000000003</v>
      </c>
      <c r="E166">
        <v>51.386000000000003</v>
      </c>
      <c r="F166">
        <v>279</v>
      </c>
    </row>
    <row r="167" spans="1:6" x14ac:dyDescent="0.3">
      <c r="A167" t="s">
        <v>34</v>
      </c>
      <c r="B167">
        <v>96</v>
      </c>
      <c r="C167">
        <v>1</v>
      </c>
      <c r="D167">
        <v>35.14</v>
      </c>
      <c r="E167">
        <v>51.347000000000001</v>
      </c>
      <c r="F167">
        <v>254</v>
      </c>
    </row>
    <row r="168" spans="1:6" x14ac:dyDescent="0.3">
      <c r="A168" t="s">
        <v>34</v>
      </c>
      <c r="B168">
        <v>96</v>
      </c>
      <c r="C168">
        <v>1</v>
      </c>
      <c r="D168">
        <v>35.161999999999999</v>
      </c>
      <c r="E168">
        <v>51.384999999999998</v>
      </c>
      <c r="F168">
        <v>277</v>
      </c>
    </row>
    <row r="169" spans="1:6" x14ac:dyDescent="0.3">
      <c r="A169" t="s">
        <v>34</v>
      </c>
      <c r="B169">
        <v>96</v>
      </c>
      <c r="C169">
        <v>1</v>
      </c>
      <c r="D169">
        <v>35.218000000000004</v>
      </c>
      <c r="E169">
        <v>51.405000000000001</v>
      </c>
      <c r="F169">
        <v>261</v>
      </c>
    </row>
    <row r="170" spans="1:6" x14ac:dyDescent="0.3">
      <c r="A170" t="s">
        <v>34</v>
      </c>
      <c r="B170">
        <v>96</v>
      </c>
      <c r="C170">
        <v>1</v>
      </c>
      <c r="D170">
        <v>35.101999999999997</v>
      </c>
      <c r="E170">
        <v>51.396999999999998</v>
      </c>
      <c r="F170">
        <v>274</v>
      </c>
    </row>
    <row r="171" spans="1:6" x14ac:dyDescent="0.3">
      <c r="A171" t="s">
        <v>34</v>
      </c>
      <c r="B171">
        <v>224</v>
      </c>
      <c r="C171">
        <v>1</v>
      </c>
      <c r="D171">
        <v>71.92</v>
      </c>
      <c r="E171">
        <v>256.34100000000001</v>
      </c>
      <c r="F171">
        <v>233</v>
      </c>
    </row>
    <row r="172" spans="1:6" x14ac:dyDescent="0.3">
      <c r="A172" t="s">
        <v>34</v>
      </c>
      <c r="B172">
        <v>224</v>
      </c>
      <c r="C172">
        <v>1</v>
      </c>
      <c r="D172">
        <v>71.926000000000002</v>
      </c>
      <c r="E172">
        <v>256.327</v>
      </c>
      <c r="F172">
        <v>228</v>
      </c>
    </row>
    <row r="173" spans="1:6" x14ac:dyDescent="0.3">
      <c r="A173" t="s">
        <v>34</v>
      </c>
      <c r="B173">
        <v>224</v>
      </c>
      <c r="C173">
        <v>1</v>
      </c>
      <c r="D173">
        <v>71.926000000000002</v>
      </c>
      <c r="E173">
        <v>255.47800000000001</v>
      </c>
      <c r="F173">
        <v>231</v>
      </c>
    </row>
    <row r="174" spans="1:6" x14ac:dyDescent="0.3">
      <c r="A174" t="s">
        <v>34</v>
      </c>
      <c r="B174">
        <v>224</v>
      </c>
      <c r="C174">
        <v>1</v>
      </c>
      <c r="D174">
        <v>71.971000000000004</v>
      </c>
      <c r="E174">
        <v>256.24400000000003</v>
      </c>
      <c r="F174">
        <v>228</v>
      </c>
    </row>
    <row r="175" spans="1:6" x14ac:dyDescent="0.3">
      <c r="A175" t="s">
        <v>34</v>
      </c>
      <c r="B175">
        <v>224</v>
      </c>
      <c r="C175">
        <v>1</v>
      </c>
      <c r="D175">
        <v>71.938999999999993</v>
      </c>
      <c r="E175">
        <v>256.37299999999999</v>
      </c>
      <c r="F175">
        <v>227</v>
      </c>
    </row>
    <row r="176" spans="1:6" x14ac:dyDescent="0.3">
      <c r="A176" t="s">
        <v>34</v>
      </c>
      <c r="B176">
        <v>224</v>
      </c>
      <c r="C176">
        <v>1</v>
      </c>
      <c r="D176">
        <v>71.915999999999997</v>
      </c>
      <c r="E176">
        <v>255.71</v>
      </c>
      <c r="F176">
        <v>225</v>
      </c>
    </row>
    <row r="177" spans="1:6" x14ac:dyDescent="0.3">
      <c r="A177" t="s">
        <v>34</v>
      </c>
      <c r="B177">
        <v>224</v>
      </c>
      <c r="C177">
        <v>1</v>
      </c>
      <c r="D177">
        <v>71.974000000000004</v>
      </c>
      <c r="E177">
        <v>255.59399999999999</v>
      </c>
      <c r="F177">
        <v>232</v>
      </c>
    </row>
    <row r="178" spans="1:6" x14ac:dyDescent="0.3">
      <c r="A178" t="s">
        <v>34</v>
      </c>
      <c r="B178">
        <v>224</v>
      </c>
      <c r="C178">
        <v>1</v>
      </c>
      <c r="D178">
        <v>71.930000000000007</v>
      </c>
      <c r="E178">
        <v>256.35000000000002</v>
      </c>
      <c r="F178">
        <v>227</v>
      </c>
    </row>
    <row r="179" spans="1:6" x14ac:dyDescent="0.3">
      <c r="A179" t="s">
        <v>34</v>
      </c>
      <c r="B179">
        <v>224</v>
      </c>
      <c r="C179">
        <v>1</v>
      </c>
      <c r="D179">
        <v>71.924999999999997</v>
      </c>
      <c r="E179">
        <v>255.755</v>
      </c>
      <c r="F179">
        <v>230</v>
      </c>
    </row>
    <row r="180" spans="1:6" x14ac:dyDescent="0.3">
      <c r="A180" t="s">
        <v>34</v>
      </c>
      <c r="B180">
        <v>224</v>
      </c>
      <c r="C180">
        <v>1</v>
      </c>
      <c r="D180">
        <v>71.924000000000007</v>
      </c>
      <c r="E180">
        <v>256.28899999999999</v>
      </c>
      <c r="F180">
        <v>228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10.33203125"/>
    <col min="2" max="2" width="4.33203125"/>
    <col min="3" max="3" width="2.58203125"/>
    <col min="4" max="4" width="10.5" bestFit="1" customWidth="1"/>
    <col min="5" max="5" width="7.25"/>
    <col min="6" max="6" width="5.4140625" customWidth="1"/>
    <col min="7" max="7" width="3"/>
    <col min="8" max="8" width="10.33203125"/>
    <col min="9" max="9" width="4.33203125"/>
    <col min="10" max="10" width="3.33203125"/>
    <col min="11" max="11" width="2"/>
    <col min="12" max="21" width="9.5"/>
    <col min="22" max="22" width="2.33203125"/>
    <col min="23" max="23" width="9.5"/>
    <col min="24" max="24" width="2.08203125"/>
    <col min="25" max="25" width="9.5"/>
    <col min="26" max="27" width="2.3320312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5.2789999999999999</v>
      </c>
      <c r="F1">
        <v>233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28.504000000000001</v>
      </c>
      <c r="E2">
        <v>5.2830000000000004</v>
      </c>
      <c r="F2">
        <v>240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28.504000000000001</v>
      </c>
      <c r="N2" s="35">
        <f t="shared" ref="N2:N13" ca="1" si="2">INDIRECT("D"&amp;1+(ROW(F1)-1)*10+COLUMN(C1)-1)</f>
        <v>28.504000000000001</v>
      </c>
      <c r="O2" s="35">
        <f t="shared" ref="O2:O13" ca="1" si="3">INDIRECT("D"&amp;1+(ROW(G1)-1)*10+COLUMN(D1)-1)</f>
        <v>28.504000000000001</v>
      </c>
      <c r="P2" s="35">
        <f t="shared" ref="P2:P13" ca="1" si="4">INDIRECT("D"&amp;1+(ROW(H1)-1)*10+COLUMN(E1)-1)</f>
        <v>28.504000000000001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28.504000000000001</v>
      </c>
      <c r="T2" s="35">
        <f t="shared" ref="T2:T13" ca="1" si="8">INDIRECT("D"&amp;1+(ROW(L1)-1)*10+COLUMN(I1)-1)</f>
        <v>28.504000000000001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28.5166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0</v>
      </c>
      <c r="AD2" s="35">
        <f t="shared" ref="AD2:AD19" ca="1" si="13">(N2-$Y2)/$Y2</f>
        <v>0</v>
      </c>
      <c r="AE2" s="35">
        <f t="shared" ref="AE2:AE19" ca="1" si="14">(O2-$Y2)/$Y2</f>
        <v>0</v>
      </c>
      <c r="AF2" s="35">
        <f t="shared" ref="AF2:AF19" ca="1" si="15">(P2-$Y2)/$Y2</f>
        <v>0</v>
      </c>
      <c r="AG2" s="35">
        <f t="shared" ref="AG2:AG19" ca="1" si="16">(Q2-$Y2)/$Y2</f>
        <v>0</v>
      </c>
      <c r="AH2" s="35">
        <f t="shared" ref="AH2:AH19" ca="1" si="17">(R2-$Y2)/$Y2</f>
        <v>1.4734774066796953E-3</v>
      </c>
      <c r="AI2" s="35">
        <f t="shared" ref="AI2:AI19" ca="1" si="18">(S2-$Y2)/$Y2</f>
        <v>0</v>
      </c>
      <c r="AJ2" s="35">
        <f t="shared" ref="AJ2:AJ19" ca="1" si="19">(T2-$Y2)/$Y2</f>
        <v>0</v>
      </c>
      <c r="AK2" s="35">
        <f t="shared" ref="AK2:AK19" ca="1" si="20">(U2-$Y2)/$Y2</f>
        <v>1.4734774066796953E-3</v>
      </c>
      <c r="AM2" s="35">
        <f t="shared" ref="AM2:AM19" ca="1" si="21">SUM(AB2:AK2)</f>
        <v>4.4204322200390861E-3</v>
      </c>
    </row>
    <row r="3" spans="1:39" x14ac:dyDescent="0.3">
      <c r="A3" t="s">
        <v>17</v>
      </c>
      <c r="B3">
        <v>25</v>
      </c>
      <c r="C3">
        <v>1</v>
      </c>
      <c r="D3">
        <v>28.504000000000001</v>
      </c>
      <c r="E3">
        <v>5.2789999999999999</v>
      </c>
      <c r="F3">
        <v>237</v>
      </c>
      <c r="H3" s="35" t="s">
        <v>17</v>
      </c>
      <c r="I3" s="35">
        <v>50</v>
      </c>
      <c r="J3" s="35">
        <v>1</v>
      </c>
      <c r="L3" s="35">
        <f t="shared" ca="1" si="0"/>
        <v>52.927</v>
      </c>
      <c r="M3" s="35">
        <f t="shared" ca="1" si="1"/>
        <v>53.017000000000003</v>
      </c>
      <c r="N3" s="35">
        <f t="shared" ca="1" si="2"/>
        <v>52.987000000000002</v>
      </c>
      <c r="O3" s="35">
        <f t="shared" ca="1" si="3"/>
        <v>52.988</v>
      </c>
      <c r="P3" s="35">
        <f t="shared" ca="1" si="4"/>
        <v>52.927999999999997</v>
      </c>
      <c r="Q3" s="35">
        <f t="shared" ca="1" si="5"/>
        <v>53.036999999999999</v>
      </c>
      <c r="R3" s="35">
        <f t="shared" ca="1" si="6"/>
        <v>53.057000000000002</v>
      </c>
      <c r="S3" s="35">
        <f t="shared" ca="1" si="7"/>
        <v>53.067</v>
      </c>
      <c r="T3" s="35">
        <f t="shared" ca="1" si="8"/>
        <v>53.021999999999998</v>
      </c>
      <c r="U3" s="35">
        <f t="shared" ca="1" si="9"/>
        <v>52.957999999999998</v>
      </c>
      <c r="W3" s="35">
        <f t="shared" ca="1" si="10"/>
        <v>52.998799999999996</v>
      </c>
      <c r="Y3" s="35">
        <f ca="1">Total!E3</f>
        <v>52.927</v>
      </c>
      <c r="AB3" s="35">
        <f t="shared" ca="1" si="11"/>
        <v>0</v>
      </c>
      <c r="AC3" s="35">
        <f t="shared" ca="1" si="12"/>
        <v>1.7004553441533322E-3</v>
      </c>
      <c r="AD3" s="35">
        <f t="shared" ca="1" si="13"/>
        <v>1.1336368961022214E-3</v>
      </c>
      <c r="AE3" s="35">
        <f t="shared" ca="1" si="14"/>
        <v>1.1525308443705471E-3</v>
      </c>
      <c r="AF3" s="35">
        <f t="shared" ca="1" si="15"/>
        <v>1.8893948268325608E-5</v>
      </c>
      <c r="AG3" s="35">
        <f t="shared" ca="1" si="16"/>
        <v>2.0783343095206498E-3</v>
      </c>
      <c r="AH3" s="35">
        <f t="shared" ca="1" si="17"/>
        <v>2.4562132748881015E-3</v>
      </c>
      <c r="AI3" s="35">
        <f t="shared" ca="1" si="18"/>
        <v>2.6451527575717605E-3</v>
      </c>
      <c r="AJ3" s="35">
        <f t="shared" ca="1" si="19"/>
        <v>1.7949250854950945E-3</v>
      </c>
      <c r="AK3" s="35">
        <f t="shared" ca="1" si="20"/>
        <v>5.8571239631943631E-4</v>
      </c>
      <c r="AM3" s="35">
        <f t="shared" ca="1" si="21"/>
        <v>1.3565854856689468E-2</v>
      </c>
    </row>
    <row r="4" spans="1:39" x14ac:dyDescent="0.3">
      <c r="A4" t="s">
        <v>17</v>
      </c>
      <c r="B4">
        <v>25</v>
      </c>
      <c r="C4">
        <v>1</v>
      </c>
      <c r="D4">
        <v>28.504000000000001</v>
      </c>
      <c r="E4">
        <v>5.2869999999999999</v>
      </c>
      <c r="F4">
        <v>204</v>
      </c>
      <c r="H4" s="35" t="s">
        <v>17</v>
      </c>
      <c r="I4" s="35">
        <v>100</v>
      </c>
      <c r="J4" s="35">
        <v>1</v>
      </c>
      <c r="L4" s="35">
        <f t="shared" ca="1" si="0"/>
        <v>103.30200000000001</v>
      </c>
      <c r="M4" s="35">
        <f t="shared" ca="1" si="1"/>
        <v>103.307</v>
      </c>
      <c r="N4" s="35">
        <f t="shared" ca="1" si="2"/>
        <v>103.19799999999999</v>
      </c>
      <c r="O4" s="35">
        <f t="shared" ca="1" si="3"/>
        <v>103.248</v>
      </c>
      <c r="P4" s="35">
        <f t="shared" ca="1" si="4"/>
        <v>103.30200000000001</v>
      </c>
      <c r="Q4" s="35">
        <f t="shared" ca="1" si="5"/>
        <v>103.119</v>
      </c>
      <c r="R4" s="35">
        <f t="shared" ca="1" si="6"/>
        <v>103.29300000000001</v>
      </c>
      <c r="S4" s="35">
        <f t="shared" ca="1" si="7"/>
        <v>103.27500000000001</v>
      </c>
      <c r="T4" s="35">
        <f t="shared" ca="1" si="8"/>
        <v>103.282</v>
      </c>
      <c r="U4" s="35">
        <f t="shared" ca="1" si="9"/>
        <v>103.233</v>
      </c>
      <c r="W4" s="35">
        <f t="shared" ca="1" si="10"/>
        <v>103.2559</v>
      </c>
      <c r="Y4" s="35">
        <f ca="1">Total!E4</f>
        <v>102.80200000000001</v>
      </c>
      <c r="AB4" s="35">
        <f t="shared" ca="1" si="11"/>
        <v>4.8637186046964062E-3</v>
      </c>
      <c r="AC4" s="35">
        <f t="shared" ca="1" si="12"/>
        <v>4.912355790743326E-3</v>
      </c>
      <c r="AD4" s="35">
        <f t="shared" ca="1" si="13"/>
        <v>3.8520651349194233E-3</v>
      </c>
      <c r="AE4" s="35">
        <f t="shared" ca="1" si="14"/>
        <v>4.3384369953891749E-3</v>
      </c>
      <c r="AF4" s="35">
        <f t="shared" ca="1" si="15"/>
        <v>4.8637186046964062E-3</v>
      </c>
      <c r="AG4" s="35">
        <f t="shared" ca="1" si="16"/>
        <v>3.0835975953774544E-3</v>
      </c>
      <c r="AH4" s="35">
        <f t="shared" ca="1" si="17"/>
        <v>4.7761716698118675E-3</v>
      </c>
      <c r="AI4" s="35">
        <f t="shared" ca="1" si="18"/>
        <v>4.6010778000427901E-3</v>
      </c>
      <c r="AJ4" s="35">
        <f t="shared" ca="1" si="19"/>
        <v>4.6691698605084509E-3</v>
      </c>
      <c r="AK4" s="35">
        <f t="shared" ca="1" si="20"/>
        <v>4.1925254372482765E-3</v>
      </c>
      <c r="AM4" s="35">
        <f t="shared" ca="1" si="21"/>
        <v>4.4152837493433579E-2</v>
      </c>
    </row>
    <row r="5" spans="1:39" x14ac:dyDescent="0.3">
      <c r="A5" t="s">
        <v>17</v>
      </c>
      <c r="B5">
        <v>25</v>
      </c>
      <c r="C5">
        <v>1</v>
      </c>
      <c r="D5">
        <v>28.504000000000001</v>
      </c>
      <c r="E5">
        <v>5.2880000000000003</v>
      </c>
      <c r="F5">
        <v>211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28.504000000000001</v>
      </c>
      <c r="E6">
        <v>5.2910000000000004</v>
      </c>
      <c r="F6">
        <v>232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179.93799999999999</v>
      </c>
      <c r="N6" s="35">
        <f t="shared" ca="1" si="2"/>
        <v>180.37200000000001</v>
      </c>
      <c r="O6" s="35">
        <f t="shared" ca="1" si="3"/>
        <v>179.93799999999999</v>
      </c>
      <c r="P6" s="35">
        <f t="shared" ca="1" si="4"/>
        <v>179.93799999999999</v>
      </c>
      <c r="Q6" s="35">
        <f t="shared" ca="1" si="5"/>
        <v>179.673</v>
      </c>
      <c r="R6" s="35">
        <f t="shared" ca="1" si="6"/>
        <v>179.673</v>
      </c>
      <c r="S6" s="35">
        <f t="shared" ca="1" si="7"/>
        <v>179.673</v>
      </c>
      <c r="T6" s="35">
        <f t="shared" ca="1" si="8"/>
        <v>179.93799999999999</v>
      </c>
      <c r="U6" s="35">
        <f t="shared" ca="1" si="9"/>
        <v>179.93799999999999</v>
      </c>
      <c r="W6" s="35">
        <f t="shared" ca="1" si="10"/>
        <v>179.90190000000001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1.4749016268442469E-3</v>
      </c>
      <c r="AD6" s="35">
        <f t="shared" ca="1" si="13"/>
        <v>3.8904008949592443E-3</v>
      </c>
      <c r="AE6" s="35">
        <f t="shared" ca="1" si="14"/>
        <v>1.4749016268442469E-3</v>
      </c>
      <c r="AF6" s="35">
        <f t="shared" ca="1" si="15"/>
        <v>1.4749016268442469E-3</v>
      </c>
      <c r="AG6" s="35">
        <f t="shared" ca="1" si="16"/>
        <v>0</v>
      </c>
      <c r="AH6" s="35">
        <f t="shared" ca="1" si="17"/>
        <v>0</v>
      </c>
      <c r="AI6" s="35">
        <f t="shared" ca="1" si="18"/>
        <v>0</v>
      </c>
      <c r="AJ6" s="35">
        <f t="shared" ca="1" si="19"/>
        <v>1.4749016268442469E-3</v>
      </c>
      <c r="AK6" s="35">
        <f t="shared" ca="1" si="20"/>
        <v>1.4749016268442469E-3</v>
      </c>
      <c r="AM6" s="35">
        <f t="shared" ca="1" si="21"/>
        <v>1.2739810656024727E-2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5.2949999999999999</v>
      </c>
      <c r="F7">
        <v>219</v>
      </c>
      <c r="H7" s="35" t="s">
        <v>18</v>
      </c>
      <c r="I7" s="35">
        <v>100</v>
      </c>
      <c r="J7" s="35">
        <v>1</v>
      </c>
      <c r="L7" s="35">
        <f t="shared" ca="1" si="0"/>
        <v>239.63</v>
      </c>
      <c r="M7" s="35">
        <f t="shared" ca="1" si="1"/>
        <v>239.65199999999999</v>
      </c>
      <c r="N7" s="35">
        <f t="shared" ca="1" si="2"/>
        <v>239.46</v>
      </c>
      <c r="O7" s="35">
        <f t="shared" ca="1" si="3"/>
        <v>239.119</v>
      </c>
      <c r="P7" s="35">
        <f t="shared" ca="1" si="4"/>
        <v>239.10300000000001</v>
      </c>
      <c r="Q7" s="35">
        <f t="shared" ca="1" si="5"/>
        <v>239.18700000000001</v>
      </c>
      <c r="R7" s="35">
        <f t="shared" ca="1" si="6"/>
        <v>239.125</v>
      </c>
      <c r="S7" s="35">
        <f t="shared" ca="1" si="7"/>
        <v>239.059</v>
      </c>
      <c r="T7" s="35">
        <f t="shared" ca="1" si="8"/>
        <v>239.30699999999999</v>
      </c>
      <c r="U7" s="35">
        <f t="shared" ca="1" si="9"/>
        <v>239.19</v>
      </c>
      <c r="W7" s="35">
        <f t="shared" ca="1" si="10"/>
        <v>239.28319999999999</v>
      </c>
      <c r="Y7" s="35">
        <f ca="1">Total!E7</f>
        <v>238.86699999999999</v>
      </c>
      <c r="AB7" s="35">
        <f t="shared" ca="1" si="11"/>
        <v>3.1942461704630829E-3</v>
      </c>
      <c r="AC7" s="35">
        <f t="shared" ca="1" si="12"/>
        <v>3.2863476327830827E-3</v>
      </c>
      <c r="AD7" s="35">
        <f t="shared" ca="1" si="13"/>
        <v>2.4825530525355859E-3</v>
      </c>
      <c r="AE7" s="35">
        <f t="shared" ca="1" si="14"/>
        <v>1.054980386574996E-3</v>
      </c>
      <c r="AF7" s="35">
        <f t="shared" ca="1" si="15"/>
        <v>9.8799750488773428E-4</v>
      </c>
      <c r="AG7" s="35">
        <f t="shared" ca="1" si="16"/>
        <v>1.3396576337460662E-3</v>
      </c>
      <c r="AH7" s="35">
        <f t="shared" ca="1" si="17"/>
        <v>1.0800989672077339E-3</v>
      </c>
      <c r="AI7" s="35">
        <f t="shared" ca="1" si="18"/>
        <v>8.0379458024761594E-4</v>
      </c>
      <c r="AJ7" s="35">
        <f t="shared" ca="1" si="19"/>
        <v>1.8420292464007074E-3</v>
      </c>
      <c r="AK7" s="35">
        <f t="shared" ca="1" si="20"/>
        <v>1.3522169240623757E-3</v>
      </c>
      <c r="AM7" s="35">
        <f t="shared" ca="1" si="21"/>
        <v>1.742392209890898E-2</v>
      </c>
    </row>
    <row r="8" spans="1:39" x14ac:dyDescent="0.3">
      <c r="A8" t="s">
        <v>17</v>
      </c>
      <c r="B8">
        <v>25</v>
      </c>
      <c r="C8">
        <v>1</v>
      </c>
      <c r="D8">
        <v>28.504000000000001</v>
      </c>
      <c r="E8">
        <v>5.2789999999999999</v>
      </c>
      <c r="F8">
        <v>228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28.504000000000001</v>
      </c>
      <c r="E9">
        <v>5.2770000000000001</v>
      </c>
      <c r="F9">
        <v>249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5.2839999999999998</v>
      </c>
      <c r="F10">
        <v>224</v>
      </c>
      <c r="H10" s="35" t="s">
        <v>19</v>
      </c>
      <c r="I10" s="35">
        <v>100</v>
      </c>
      <c r="J10" s="35">
        <v>1</v>
      </c>
      <c r="L10" s="35">
        <f t="shared" ca="1" si="0"/>
        <v>35279.921999999999</v>
      </c>
      <c r="M10" s="35">
        <f t="shared" ca="1" si="1"/>
        <v>35228.639999999999</v>
      </c>
      <c r="N10" s="35">
        <f t="shared" ca="1" si="2"/>
        <v>35246.271000000001</v>
      </c>
      <c r="O10" s="35">
        <f t="shared" ca="1" si="3"/>
        <v>35255.909</v>
      </c>
      <c r="P10" s="35">
        <f t="shared" ca="1" si="4"/>
        <v>35273.343000000001</v>
      </c>
      <c r="Q10" s="35">
        <f t="shared" ca="1" si="5"/>
        <v>35222.074999999997</v>
      </c>
      <c r="R10" s="35">
        <f t="shared" ca="1" si="6"/>
        <v>35252.398999999998</v>
      </c>
      <c r="S10" s="35">
        <f t="shared" ca="1" si="7"/>
        <v>35234.720999999998</v>
      </c>
      <c r="T10" s="35">
        <f t="shared" ca="1" si="8"/>
        <v>35298.966</v>
      </c>
      <c r="U10" s="35">
        <f t="shared" ca="1" si="9"/>
        <v>35260.620999999999</v>
      </c>
      <c r="W10" s="35">
        <f t="shared" ca="1" si="10"/>
        <v>35255.286700000004</v>
      </c>
      <c r="Y10" s="35">
        <f ca="1">Total!E10</f>
        <v>35210.383000000002</v>
      </c>
      <c r="AB10" s="35">
        <f t="shared" ca="1" si="11"/>
        <v>1.9749572164550733E-3</v>
      </c>
      <c r="AC10" s="35">
        <f t="shared" ca="1" si="12"/>
        <v>5.1851182646885118E-4</v>
      </c>
      <c r="AD10" s="35">
        <f t="shared" ca="1" si="13"/>
        <v>1.0192448062833911E-3</v>
      </c>
      <c r="AE10" s="35">
        <f t="shared" ca="1" si="14"/>
        <v>1.2929708830488444E-3</v>
      </c>
      <c r="AF10" s="35">
        <f t="shared" ca="1" si="15"/>
        <v>1.7881089223028084E-3</v>
      </c>
      <c r="AG10" s="35">
        <f t="shared" ca="1" si="16"/>
        <v>3.3206114230553696E-4</v>
      </c>
      <c r="AH10" s="35">
        <f t="shared" ca="1" si="17"/>
        <v>1.1932843786446737E-3</v>
      </c>
      <c r="AI10" s="35">
        <f t="shared" ca="1" si="18"/>
        <v>6.9121656529541576E-4</v>
      </c>
      <c r="AJ10" s="35">
        <f t="shared" ca="1" si="19"/>
        <v>2.5158204044528204E-3</v>
      </c>
      <c r="AK10" s="35">
        <f t="shared" ca="1" si="20"/>
        <v>1.4267950450864892E-3</v>
      </c>
      <c r="AM10" s="35">
        <f t="shared" ca="1" si="21"/>
        <v>1.2752971190343906E-2</v>
      </c>
    </row>
    <row r="11" spans="1:39" x14ac:dyDescent="0.3">
      <c r="A11" t="s">
        <v>17</v>
      </c>
      <c r="B11">
        <v>50</v>
      </c>
      <c r="C11">
        <v>1</v>
      </c>
      <c r="D11">
        <v>52.927</v>
      </c>
      <c r="E11">
        <v>19.574999999999999</v>
      </c>
      <c r="F11">
        <v>263</v>
      </c>
      <c r="H11" s="35" t="s">
        <v>20</v>
      </c>
      <c r="I11" s="35">
        <v>30</v>
      </c>
      <c r="J11" s="35">
        <v>1</v>
      </c>
      <c r="L11" s="35">
        <f t="shared" ca="1" si="0"/>
        <v>658.23299999999995</v>
      </c>
      <c r="M11" s="35">
        <f t="shared" ca="1" si="1"/>
        <v>657.32399999999996</v>
      </c>
      <c r="N11" s="35">
        <f t="shared" ca="1" si="2"/>
        <v>657.35599999999999</v>
      </c>
      <c r="O11" s="35">
        <f t="shared" ca="1" si="3"/>
        <v>658.23299999999995</v>
      </c>
      <c r="P11" s="35">
        <f t="shared" ca="1" si="4"/>
        <v>657.35599999999999</v>
      </c>
      <c r="Q11" s="35">
        <f t="shared" ca="1" si="5"/>
        <v>658.23299999999995</v>
      </c>
      <c r="R11" s="35">
        <f t="shared" ca="1" si="6"/>
        <v>657.35599999999999</v>
      </c>
      <c r="S11" s="35">
        <f t="shared" ca="1" si="7"/>
        <v>657.35599999999999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657.6158999999999</v>
      </c>
      <c r="Y11" s="35">
        <f ca="1">Total!E11</f>
        <v>655.46500000000003</v>
      </c>
      <c r="AB11" s="35">
        <f t="shared" ca="1" si="11"/>
        <v>4.2229562219186613E-3</v>
      </c>
      <c r="AC11" s="35">
        <f t="shared" ca="1" si="12"/>
        <v>2.8361544857466434E-3</v>
      </c>
      <c r="AD11" s="35">
        <f t="shared" ca="1" si="13"/>
        <v>2.8849747888902728E-3</v>
      </c>
      <c r="AE11" s="35">
        <f t="shared" ca="1" si="14"/>
        <v>4.2229562219186613E-3</v>
      </c>
      <c r="AF11" s="35">
        <f t="shared" ca="1" si="15"/>
        <v>2.8849747888902728E-3</v>
      </c>
      <c r="AG11" s="35">
        <f t="shared" ca="1" si="16"/>
        <v>4.2229562219186613E-3</v>
      </c>
      <c r="AH11" s="35">
        <f t="shared" ca="1" si="17"/>
        <v>2.8849747888902728E-3</v>
      </c>
      <c r="AI11" s="35">
        <f t="shared" ca="1" si="18"/>
        <v>2.8849747888902728E-3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3.2814871884844263E-2</v>
      </c>
    </row>
    <row r="12" spans="1:39" x14ac:dyDescent="0.3">
      <c r="A12" t="s">
        <v>17</v>
      </c>
      <c r="B12">
        <v>50</v>
      </c>
      <c r="C12">
        <v>1</v>
      </c>
      <c r="D12">
        <v>53.017000000000003</v>
      </c>
      <c r="E12">
        <v>19.547000000000001</v>
      </c>
      <c r="F12">
        <v>262</v>
      </c>
      <c r="H12" s="35" t="s">
        <v>20</v>
      </c>
      <c r="I12" s="35">
        <v>50</v>
      </c>
      <c r="J12" s="35">
        <v>1</v>
      </c>
      <c r="L12" s="35">
        <f t="shared" ca="1" si="0"/>
        <v>995.27099999999996</v>
      </c>
      <c r="M12" s="35">
        <f t="shared" ca="1" si="1"/>
        <v>993.93799999999999</v>
      </c>
      <c r="N12" s="35">
        <f t="shared" ca="1" si="2"/>
        <v>992.92100000000005</v>
      </c>
      <c r="O12" s="35">
        <f t="shared" ca="1" si="3"/>
        <v>994.55399999999997</v>
      </c>
      <c r="P12" s="35">
        <f t="shared" ca="1" si="4"/>
        <v>997.40300000000002</v>
      </c>
      <c r="Q12" s="35">
        <f t="shared" ca="1" si="5"/>
        <v>995.053</v>
      </c>
      <c r="R12" s="35">
        <f t="shared" ca="1" si="6"/>
        <v>996.00699999999995</v>
      </c>
      <c r="S12" s="35">
        <f t="shared" ca="1" si="7"/>
        <v>994.12599999999998</v>
      </c>
      <c r="T12" s="35">
        <f t="shared" ca="1" si="8"/>
        <v>995.62</v>
      </c>
      <c r="U12" s="35">
        <f t="shared" ca="1" si="9"/>
        <v>994.779</v>
      </c>
      <c r="W12" s="35">
        <f t="shared" ca="1" si="10"/>
        <v>994.96720000000005</v>
      </c>
      <c r="Y12" s="35">
        <f ca="1">Total!E12</f>
        <v>990.096</v>
      </c>
      <c r="AB12" s="35">
        <f t="shared" ca="1" si="11"/>
        <v>5.2267658893682574E-3</v>
      </c>
      <c r="AC12" s="35">
        <f t="shared" ca="1" si="12"/>
        <v>3.8804317965126459E-3</v>
      </c>
      <c r="AD12" s="35">
        <f t="shared" ca="1" si="13"/>
        <v>2.8532586739064146E-3</v>
      </c>
      <c r="AE12" s="35">
        <f t="shared" ca="1" si="14"/>
        <v>4.5025936878847804E-3</v>
      </c>
      <c r="AF12" s="35">
        <f t="shared" ca="1" si="15"/>
        <v>7.3800924354810206E-3</v>
      </c>
      <c r="AG12" s="35">
        <f t="shared" ca="1" si="16"/>
        <v>5.006585220019062E-3</v>
      </c>
      <c r="AH12" s="35">
        <f t="shared" ca="1" si="17"/>
        <v>5.9701281491895174E-3</v>
      </c>
      <c r="AI12" s="35">
        <f t="shared" ca="1" si="18"/>
        <v>4.070312373749589E-3</v>
      </c>
      <c r="AJ12" s="35">
        <f t="shared" ca="1" si="19"/>
        <v>5.579256960941162E-3</v>
      </c>
      <c r="AK12" s="35">
        <f t="shared" ca="1" si="20"/>
        <v>4.7298443787269035E-3</v>
      </c>
      <c r="AM12" s="35">
        <f t="shared" ca="1" si="21"/>
        <v>4.9199269565779351E-2</v>
      </c>
    </row>
    <row r="13" spans="1:39" x14ac:dyDescent="0.3">
      <c r="A13" t="s">
        <v>17</v>
      </c>
      <c r="B13">
        <v>50</v>
      </c>
      <c r="C13">
        <v>1</v>
      </c>
      <c r="D13">
        <v>52.987000000000002</v>
      </c>
      <c r="E13">
        <v>19.556000000000001</v>
      </c>
      <c r="F13">
        <v>264</v>
      </c>
      <c r="H13" s="35" t="s">
        <v>20</v>
      </c>
      <c r="I13" s="35">
        <v>100</v>
      </c>
      <c r="J13" s="35">
        <v>1</v>
      </c>
      <c r="L13" s="35">
        <f t="shared" ca="1" si="0"/>
        <v>1763.0650000000001</v>
      </c>
      <c r="M13" s="35">
        <f t="shared" ca="1" si="1"/>
        <v>1760.085</v>
      </c>
      <c r="N13" s="35">
        <f t="shared" ca="1" si="2"/>
        <v>1755.213</v>
      </c>
      <c r="O13" s="35">
        <f t="shared" ca="1" si="3"/>
        <v>1756.58</v>
      </c>
      <c r="P13" s="35">
        <f t="shared" ca="1" si="4"/>
        <v>1757.009</v>
      </c>
      <c r="Q13" s="35">
        <f t="shared" ca="1" si="5"/>
        <v>1758.903</v>
      </c>
      <c r="R13" s="35">
        <f t="shared" ca="1" si="6"/>
        <v>1761.9449999999999</v>
      </c>
      <c r="S13" s="35">
        <f t="shared" ca="1" si="7"/>
        <v>1762.2829999999999</v>
      </c>
      <c r="T13" s="35">
        <f t="shared" ca="1" si="8"/>
        <v>1760.827</v>
      </c>
      <c r="U13" s="35">
        <f t="shared" ca="1" si="9"/>
        <v>1761.943</v>
      </c>
      <c r="W13" s="35">
        <f t="shared" ca="1" si="10"/>
        <v>1759.7853</v>
      </c>
      <c r="Y13" s="35">
        <f ca="1">Total!E13</f>
        <v>1753.79</v>
      </c>
      <c r="AB13" s="35">
        <f t="shared" ca="1" si="11"/>
        <v>5.2885465192526425E-3</v>
      </c>
      <c r="AC13" s="35">
        <f t="shared" ca="1" si="12"/>
        <v>3.5893693087542256E-3</v>
      </c>
      <c r="AD13" s="35">
        <f t="shared" ca="1" si="13"/>
        <v>8.1138562769772992E-4</v>
      </c>
      <c r="AE13" s="35">
        <f t="shared" ca="1" si="14"/>
        <v>1.5908404084867423E-3</v>
      </c>
      <c r="AF13" s="35">
        <f t="shared" ca="1" si="15"/>
        <v>1.8354535035551868E-3</v>
      </c>
      <c r="AG13" s="35">
        <f t="shared" ca="1" si="16"/>
        <v>2.9154003615028349E-3</v>
      </c>
      <c r="AH13" s="35">
        <f t="shared" ca="1" si="17"/>
        <v>4.6499295810786771E-3</v>
      </c>
      <c r="AI13" s="35">
        <f t="shared" ca="1" si="18"/>
        <v>4.8426550499204232E-3</v>
      </c>
      <c r="AJ13" s="35">
        <f t="shared" ca="1" si="19"/>
        <v>4.0124530302944111E-3</v>
      </c>
      <c r="AK13" s="35">
        <f t="shared" ca="1" si="20"/>
        <v>4.6487891936891077E-3</v>
      </c>
      <c r="AM13" s="35">
        <f t="shared" ca="1" si="21"/>
        <v>3.4184822584231979E-2</v>
      </c>
    </row>
    <row r="14" spans="1:39" x14ac:dyDescent="0.3">
      <c r="A14" t="s">
        <v>17</v>
      </c>
      <c r="B14">
        <v>50</v>
      </c>
      <c r="C14">
        <v>1</v>
      </c>
      <c r="D14">
        <v>52.988</v>
      </c>
      <c r="E14">
        <v>19.577999999999999</v>
      </c>
      <c r="F14">
        <v>263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52.927999999999997</v>
      </c>
      <c r="E15">
        <v>19.545999999999999</v>
      </c>
      <c r="F15">
        <v>279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76.954999999999998</v>
      </c>
      <c r="M15" s="35">
        <f t="shared" ca="1" si="1"/>
        <v>77.114000000000004</v>
      </c>
      <c r="N15" s="35">
        <f t="shared" ca="1" si="1"/>
        <v>76.997</v>
      </c>
      <c r="O15" s="35">
        <f t="shared" ca="1" si="1"/>
        <v>76.769000000000005</v>
      </c>
      <c r="P15" s="35">
        <f t="shared" ca="1" si="1"/>
        <v>77.018000000000001</v>
      </c>
      <c r="Q15" s="35">
        <f t="shared" ca="1" si="1"/>
        <v>76.897999999999996</v>
      </c>
      <c r="R15" s="35">
        <f t="shared" ca="1" si="1"/>
        <v>76.671999999999997</v>
      </c>
      <c r="S15" s="35">
        <f t="shared" ca="1" si="1"/>
        <v>76.412000000000006</v>
      </c>
      <c r="T15" s="35">
        <f t="shared" ca="1" si="1"/>
        <v>77.075999999999993</v>
      </c>
      <c r="U15" s="35">
        <f t="shared" ca="1" si="1"/>
        <v>76.718000000000004</v>
      </c>
      <c r="W15" s="35">
        <f t="shared" ca="1" si="10"/>
        <v>76.86290000000001</v>
      </c>
      <c r="Y15" s="35">
        <f ca="1">Total!E15</f>
        <v>75.998000000000005</v>
      </c>
      <c r="AB15" s="35">
        <f t="shared" ca="1" si="11"/>
        <v>1.2592436643069469E-2</v>
      </c>
      <c r="AC15" s="35">
        <f t="shared" ca="1" si="12"/>
        <v>1.4684596963077971E-2</v>
      </c>
      <c r="AD15" s="35">
        <f t="shared" ca="1" si="13"/>
        <v>1.3145082765335867E-2</v>
      </c>
      <c r="AE15" s="35">
        <f t="shared" ca="1" si="14"/>
        <v>1.0145003815889902E-2</v>
      </c>
      <c r="AF15" s="35">
        <f t="shared" ca="1" si="15"/>
        <v>1.3421405826469064E-2</v>
      </c>
      <c r="AG15" s="35">
        <f t="shared" ca="1" si="16"/>
        <v>1.1842416905707932E-2</v>
      </c>
      <c r="AH15" s="35">
        <f t="shared" ca="1" si="17"/>
        <v>8.8686544382745904E-3</v>
      </c>
      <c r="AI15" s="35">
        <f t="shared" ca="1" si="18"/>
        <v>5.4475117766257198E-3</v>
      </c>
      <c r="AJ15" s="35">
        <f t="shared" ca="1" si="19"/>
        <v>1.4184583804836821E-2</v>
      </c>
      <c r="AK15" s="35">
        <f t="shared" ca="1" si="20"/>
        <v>9.4739335245664202E-3</v>
      </c>
      <c r="AM15" s="35">
        <f t="shared" ca="1" si="21"/>
        <v>0.11380562646385377</v>
      </c>
    </row>
    <row r="16" spans="1:39" x14ac:dyDescent="0.3">
      <c r="A16" t="s">
        <v>17</v>
      </c>
      <c r="B16">
        <v>50</v>
      </c>
      <c r="C16">
        <v>1</v>
      </c>
      <c r="D16">
        <v>53.036999999999999</v>
      </c>
      <c r="E16">
        <v>19.568999999999999</v>
      </c>
      <c r="F16">
        <v>352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119.367</v>
      </c>
      <c r="M16" s="35">
        <f t="shared" ca="1" si="1"/>
        <v>119.35899999999999</v>
      </c>
      <c r="N16" s="35">
        <f t="shared" ca="1" si="1"/>
        <v>118.759</v>
      </c>
      <c r="O16" s="35">
        <f t="shared" ca="1" si="1"/>
        <v>119.56100000000001</v>
      </c>
      <c r="P16" s="35">
        <f t="shared" ca="1" si="1"/>
        <v>119.06100000000001</v>
      </c>
      <c r="Q16" s="35">
        <f t="shared" ca="1" si="1"/>
        <v>119.14100000000001</v>
      </c>
      <c r="R16" s="35">
        <f t="shared" ca="1" si="1"/>
        <v>119.075</v>
      </c>
      <c r="S16" s="35">
        <f t="shared" ca="1" si="1"/>
        <v>118.958</v>
      </c>
      <c r="T16" s="35">
        <f t="shared" ca="1" si="1"/>
        <v>119.017</v>
      </c>
      <c r="U16" s="35">
        <f t="shared" ca="1" si="1"/>
        <v>119.367</v>
      </c>
      <c r="W16" s="35">
        <f t="shared" ca="1" si="10"/>
        <v>119.1665</v>
      </c>
      <c r="Y16" s="35">
        <f ca="1">Total!E16</f>
        <v>118.01</v>
      </c>
      <c r="AB16" s="35">
        <f t="shared" ca="1" si="11"/>
        <v>1.1499025506313019E-2</v>
      </c>
      <c r="AC16" s="35">
        <f t="shared" ca="1" si="12"/>
        <v>1.1431234641132019E-2</v>
      </c>
      <c r="AD16" s="35">
        <f t="shared" ca="1" si="13"/>
        <v>6.3469197525633011E-3</v>
      </c>
      <c r="AE16" s="35">
        <f t="shared" ca="1" si="14"/>
        <v>1.3142953986950274E-2</v>
      </c>
      <c r="AF16" s="35">
        <f t="shared" ca="1" si="15"/>
        <v>8.9060249131429695E-3</v>
      </c>
      <c r="AG16" s="35">
        <f t="shared" ca="1" si="16"/>
        <v>9.5839335649521244E-3</v>
      </c>
      <c r="AH16" s="35">
        <f t="shared" ca="1" si="17"/>
        <v>9.0246589272095397E-3</v>
      </c>
      <c r="AI16" s="35">
        <f t="shared" ca="1" si="18"/>
        <v>8.0332175239385926E-3</v>
      </c>
      <c r="AJ16" s="35">
        <f t="shared" ca="1" si="19"/>
        <v>8.5331751546478332E-3</v>
      </c>
      <c r="AK16" s="35">
        <f t="shared" ca="1" si="20"/>
        <v>1.1499025506313019E-2</v>
      </c>
      <c r="AM16" s="35">
        <f t="shared" ca="1" si="21"/>
        <v>9.8000169477162696E-2</v>
      </c>
    </row>
    <row r="17" spans="1:39" x14ac:dyDescent="0.3">
      <c r="A17" t="s">
        <v>17</v>
      </c>
      <c r="B17">
        <v>50</v>
      </c>
      <c r="C17">
        <v>1</v>
      </c>
      <c r="D17">
        <v>53.057000000000002</v>
      </c>
      <c r="E17">
        <v>19.57</v>
      </c>
      <c r="F17">
        <v>349</v>
      </c>
      <c r="H17" s="35" t="s">
        <v>34</v>
      </c>
      <c r="I17" s="35">
        <v>40</v>
      </c>
      <c r="J17" s="35">
        <v>1</v>
      </c>
      <c r="L17" s="35">
        <f t="shared" ca="1" si="22"/>
        <v>16.515000000000001</v>
      </c>
      <c r="M17" s="35">
        <f t="shared" ca="1" si="1"/>
        <v>16.616</v>
      </c>
      <c r="N17" s="35">
        <f t="shared" ca="1" si="1"/>
        <v>16.84</v>
      </c>
      <c r="O17" s="35">
        <f t="shared" ca="1" si="1"/>
        <v>16.792999999999999</v>
      </c>
      <c r="P17" s="35">
        <f t="shared" ca="1" si="1"/>
        <v>16.687000000000001</v>
      </c>
      <c r="Q17" s="35">
        <f t="shared" ca="1" si="1"/>
        <v>16.763000000000002</v>
      </c>
      <c r="R17" s="35">
        <f t="shared" ca="1" si="1"/>
        <v>16.75</v>
      </c>
      <c r="S17" s="35">
        <f t="shared" ca="1" si="1"/>
        <v>16.763000000000002</v>
      </c>
      <c r="T17" s="35">
        <f t="shared" ca="1" si="1"/>
        <v>16.75</v>
      </c>
      <c r="U17" s="35">
        <f t="shared" ca="1" si="1"/>
        <v>16.748000000000001</v>
      </c>
      <c r="W17" s="35">
        <f t="shared" ca="1" si="10"/>
        <v>16.7225</v>
      </c>
      <c r="Y17" s="35">
        <f ca="1">Total!E17</f>
        <v>16.481999999999999</v>
      </c>
      <c r="AB17" s="35">
        <f t="shared" ca="1" si="11"/>
        <v>2.0021842009465629E-3</v>
      </c>
      <c r="AC17" s="35">
        <f t="shared" ca="1" si="12"/>
        <v>8.1300813008130298E-3</v>
      </c>
      <c r="AD17" s="35">
        <f t="shared" ca="1" si="13"/>
        <v>2.1720664967843743E-2</v>
      </c>
      <c r="AE17" s="35">
        <f t="shared" ca="1" si="14"/>
        <v>1.8869069287707801E-2</v>
      </c>
      <c r="AF17" s="35">
        <f t="shared" ca="1" si="15"/>
        <v>1.2437810945273745E-2</v>
      </c>
      <c r="AG17" s="35">
        <f t="shared" ca="1" si="16"/>
        <v>1.7048901832302048E-2</v>
      </c>
      <c r="AH17" s="35">
        <f t="shared" ca="1" si="17"/>
        <v>1.626016260162606E-2</v>
      </c>
      <c r="AI17" s="35">
        <f t="shared" ca="1" si="18"/>
        <v>1.7048901832302048E-2</v>
      </c>
      <c r="AJ17" s="35">
        <f t="shared" ca="1" si="19"/>
        <v>1.626016260162606E-2</v>
      </c>
      <c r="AK17" s="35">
        <f t="shared" ca="1" si="20"/>
        <v>1.6138818104599065E-2</v>
      </c>
      <c r="AM17" s="35">
        <f t="shared" ca="1" si="21"/>
        <v>0.14591675767504014</v>
      </c>
    </row>
    <row r="18" spans="1:39" x14ac:dyDescent="0.3">
      <c r="A18" t="s">
        <v>17</v>
      </c>
      <c r="B18">
        <v>50</v>
      </c>
      <c r="C18">
        <v>1</v>
      </c>
      <c r="D18">
        <v>53.067</v>
      </c>
      <c r="E18">
        <v>19.581</v>
      </c>
      <c r="F18">
        <v>291</v>
      </c>
      <c r="H18" s="35" t="s">
        <v>34</v>
      </c>
      <c r="I18" s="35">
        <v>96</v>
      </c>
      <c r="J18" s="35">
        <v>1</v>
      </c>
      <c r="L18" s="35">
        <f t="shared" ca="1" si="22"/>
        <v>35.177999999999997</v>
      </c>
      <c r="M18" s="35">
        <f t="shared" ca="1" si="22"/>
        <v>35.222000000000001</v>
      </c>
      <c r="N18" s="35">
        <f t="shared" ca="1" si="22"/>
        <v>35.125999999999998</v>
      </c>
      <c r="O18" s="35">
        <f t="shared" ca="1" si="22"/>
        <v>35.19</v>
      </c>
      <c r="P18" s="35">
        <f t="shared" ca="1" si="22"/>
        <v>35.15</v>
      </c>
      <c r="Q18" s="35">
        <f t="shared" ca="1" si="22"/>
        <v>35.103000000000002</v>
      </c>
      <c r="R18" s="35">
        <f t="shared" ca="1" si="22"/>
        <v>35.203000000000003</v>
      </c>
      <c r="S18" s="35">
        <f t="shared" ca="1" si="22"/>
        <v>35.241</v>
      </c>
      <c r="T18" s="35">
        <f t="shared" ca="1" si="22"/>
        <v>35.176000000000002</v>
      </c>
      <c r="U18" s="35">
        <f t="shared" ca="1" si="22"/>
        <v>35.204999999999998</v>
      </c>
      <c r="W18" s="35">
        <f t="shared" ca="1" si="10"/>
        <v>35.179400000000001</v>
      </c>
      <c r="Y18" s="35">
        <f ca="1">Total!E18</f>
        <v>35.069000000000003</v>
      </c>
      <c r="AB18" s="35">
        <f t="shared" ca="1" si="11"/>
        <v>3.1081582024008285E-3</v>
      </c>
      <c r="AC18" s="35">
        <f t="shared" ca="1" si="12"/>
        <v>4.3628275685077614E-3</v>
      </c>
      <c r="AD18" s="35">
        <f t="shared" ca="1" si="13"/>
        <v>1.6253671333655093E-3</v>
      </c>
      <c r="AE18" s="35">
        <f t="shared" ca="1" si="14"/>
        <v>3.4503407567936096E-3</v>
      </c>
      <c r="AF18" s="35">
        <f t="shared" ca="1" si="15"/>
        <v>2.3097322421510723E-3</v>
      </c>
      <c r="AG18" s="35">
        <f t="shared" ca="1" si="16"/>
        <v>9.6951723744614666E-4</v>
      </c>
      <c r="AH18" s="35">
        <f t="shared" ca="1" si="17"/>
        <v>3.8210385240525914E-3</v>
      </c>
      <c r="AI18" s="35">
        <f t="shared" ca="1" si="18"/>
        <v>4.9046166129629309E-3</v>
      </c>
      <c r="AJ18" s="35">
        <f t="shared" ca="1" si="19"/>
        <v>3.0511277766688332E-3</v>
      </c>
      <c r="AK18" s="35">
        <f t="shared" ca="1" si="20"/>
        <v>3.8780689497845866E-3</v>
      </c>
      <c r="AM18" s="35">
        <f t="shared" ca="1" si="21"/>
        <v>3.1480795004133873E-2</v>
      </c>
    </row>
    <row r="19" spans="1:39" x14ac:dyDescent="0.3">
      <c r="A19" t="s">
        <v>17</v>
      </c>
      <c r="B19">
        <v>50</v>
      </c>
      <c r="C19">
        <v>1</v>
      </c>
      <c r="D19">
        <v>53.021999999999998</v>
      </c>
      <c r="E19">
        <v>19.588000000000001</v>
      </c>
      <c r="F19">
        <v>266</v>
      </c>
      <c r="H19" s="35" t="s">
        <v>34</v>
      </c>
      <c r="I19" s="35">
        <v>224</v>
      </c>
      <c r="J19" s="35">
        <v>1</v>
      </c>
      <c r="L19" s="35">
        <f t="shared" ca="1" si="22"/>
        <v>71.941000000000003</v>
      </c>
      <c r="M19" s="35">
        <f t="shared" ca="1" si="22"/>
        <v>71.941000000000003</v>
      </c>
      <c r="N19" s="35">
        <f t="shared" ca="1" si="22"/>
        <v>71.960999999999999</v>
      </c>
      <c r="O19" s="35">
        <f t="shared" ca="1" si="22"/>
        <v>71.930000000000007</v>
      </c>
      <c r="P19" s="35">
        <f t="shared" ca="1" si="22"/>
        <v>71.938999999999993</v>
      </c>
      <c r="Q19" s="35">
        <f t="shared" ca="1" si="22"/>
        <v>71.933000000000007</v>
      </c>
      <c r="R19" s="35">
        <f t="shared" ca="1" si="22"/>
        <v>71.962000000000003</v>
      </c>
      <c r="S19" s="35">
        <f t="shared" ca="1" si="22"/>
        <v>71.930999999999997</v>
      </c>
      <c r="T19" s="35">
        <f t="shared" ca="1" si="22"/>
        <v>71.938999999999993</v>
      </c>
      <c r="U19" s="35">
        <f t="shared" ca="1" si="22"/>
        <v>71.962999999999994</v>
      </c>
      <c r="W19" s="35">
        <f t="shared" ca="1" si="10"/>
        <v>71.943999999999988</v>
      </c>
      <c r="Y19" s="35">
        <f ca="1">Total!E19</f>
        <v>71.908000000000001</v>
      </c>
      <c r="AB19" s="35">
        <f t="shared" ca="1" si="11"/>
        <v>4.5891973076710868E-4</v>
      </c>
      <c r="AC19" s="35">
        <f t="shared" ca="1" si="12"/>
        <v>4.5891973076710868E-4</v>
      </c>
      <c r="AD19" s="35">
        <f t="shared" ca="1" si="13"/>
        <v>7.3705290092892682E-4</v>
      </c>
      <c r="AE19" s="35">
        <f t="shared" ca="1" si="14"/>
        <v>3.059464871781383E-4</v>
      </c>
      <c r="AF19" s="35">
        <f t="shared" ca="1" si="15"/>
        <v>4.3110641375078852E-4</v>
      </c>
      <c r="AG19" s="35">
        <f t="shared" ca="1" si="16"/>
        <v>3.4766646270242092E-4</v>
      </c>
      <c r="AH19" s="35">
        <f t="shared" ca="1" si="17"/>
        <v>7.5095955943708687E-4</v>
      </c>
      <c r="AI19" s="35">
        <f t="shared" ca="1" si="18"/>
        <v>3.1985314568610076E-4</v>
      </c>
      <c r="AJ19" s="35">
        <f t="shared" ca="1" si="19"/>
        <v>4.3110641375078852E-4</v>
      </c>
      <c r="AK19" s="35">
        <f t="shared" ca="1" si="20"/>
        <v>7.6486621794504938E-4</v>
      </c>
      <c r="AM19" s="35">
        <f t="shared" ca="1" si="21"/>
        <v>5.0063970629135182E-3</v>
      </c>
    </row>
    <row r="20" spans="1:39" x14ac:dyDescent="0.3">
      <c r="A20" t="s">
        <v>17</v>
      </c>
      <c r="B20">
        <v>50</v>
      </c>
      <c r="C20">
        <v>1</v>
      </c>
      <c r="D20">
        <v>52.957999999999998</v>
      </c>
      <c r="E20">
        <v>19.582000000000001</v>
      </c>
      <c r="F20">
        <v>261</v>
      </c>
    </row>
    <row r="21" spans="1:39" x14ac:dyDescent="0.3">
      <c r="A21" t="s">
        <v>17</v>
      </c>
      <c r="B21">
        <v>100</v>
      </c>
      <c r="C21">
        <v>1</v>
      </c>
      <c r="D21">
        <v>103.30200000000001</v>
      </c>
      <c r="E21">
        <v>102.092</v>
      </c>
      <c r="F21">
        <v>414</v>
      </c>
    </row>
    <row r="22" spans="1:39" x14ac:dyDescent="0.3">
      <c r="A22" t="s">
        <v>17</v>
      </c>
      <c r="B22">
        <v>100</v>
      </c>
      <c r="C22">
        <v>1</v>
      </c>
      <c r="D22">
        <v>103.307</v>
      </c>
      <c r="E22">
        <v>102.173</v>
      </c>
      <c r="F22">
        <v>412</v>
      </c>
    </row>
    <row r="23" spans="1:39" x14ac:dyDescent="0.3">
      <c r="A23" t="s">
        <v>17</v>
      </c>
      <c r="B23">
        <v>100</v>
      </c>
      <c r="C23">
        <v>1</v>
      </c>
      <c r="D23">
        <v>103.19799999999999</v>
      </c>
      <c r="E23">
        <v>102.15900000000001</v>
      </c>
      <c r="F23">
        <v>421</v>
      </c>
    </row>
    <row r="24" spans="1:39" x14ac:dyDescent="0.3">
      <c r="A24" t="s">
        <v>17</v>
      </c>
      <c r="B24">
        <v>100</v>
      </c>
      <c r="C24">
        <v>1</v>
      </c>
      <c r="D24">
        <v>103.248</v>
      </c>
      <c r="E24">
        <v>102.117</v>
      </c>
      <c r="F24">
        <v>409</v>
      </c>
    </row>
    <row r="25" spans="1:39" x14ac:dyDescent="0.3">
      <c r="A25" t="s">
        <v>17</v>
      </c>
      <c r="B25">
        <v>100</v>
      </c>
      <c r="C25">
        <v>1</v>
      </c>
      <c r="D25">
        <v>103.30200000000001</v>
      </c>
      <c r="E25">
        <v>102.047</v>
      </c>
      <c r="F25">
        <v>487</v>
      </c>
    </row>
    <row r="26" spans="1:39" x14ac:dyDescent="0.3">
      <c r="A26" t="s">
        <v>17</v>
      </c>
      <c r="B26">
        <v>100</v>
      </c>
      <c r="C26">
        <v>1</v>
      </c>
      <c r="D26">
        <v>103.119</v>
      </c>
      <c r="E26">
        <v>102.08199999999999</v>
      </c>
      <c r="F26">
        <v>475</v>
      </c>
    </row>
    <row r="27" spans="1:39" x14ac:dyDescent="0.3">
      <c r="A27" t="s">
        <v>17</v>
      </c>
      <c r="B27">
        <v>100</v>
      </c>
      <c r="C27">
        <v>1</v>
      </c>
      <c r="D27">
        <v>103.29300000000001</v>
      </c>
      <c r="E27">
        <v>102.09399999999999</v>
      </c>
      <c r="F27">
        <v>445</v>
      </c>
    </row>
    <row r="28" spans="1:39" x14ac:dyDescent="0.3">
      <c r="A28" t="s">
        <v>17</v>
      </c>
      <c r="B28">
        <v>100</v>
      </c>
      <c r="C28">
        <v>1</v>
      </c>
      <c r="D28">
        <v>103.27500000000001</v>
      </c>
      <c r="E28">
        <v>102.124</v>
      </c>
      <c r="F28">
        <v>423</v>
      </c>
    </row>
    <row r="29" spans="1:39" x14ac:dyDescent="0.3">
      <c r="A29" t="s">
        <v>17</v>
      </c>
      <c r="B29">
        <v>100</v>
      </c>
      <c r="C29">
        <v>1</v>
      </c>
      <c r="D29">
        <v>103.282</v>
      </c>
      <c r="E29">
        <v>102.03700000000001</v>
      </c>
      <c r="F29">
        <v>417</v>
      </c>
    </row>
    <row r="30" spans="1:39" x14ac:dyDescent="0.3">
      <c r="A30" t="s">
        <v>17</v>
      </c>
      <c r="B30">
        <v>100</v>
      </c>
      <c r="C30">
        <v>1</v>
      </c>
      <c r="D30">
        <v>103.233</v>
      </c>
      <c r="E30">
        <v>102.15300000000001</v>
      </c>
      <c r="F30">
        <v>420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8.0009999999999994</v>
      </c>
      <c r="F31">
        <v>204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8.0280000000000005</v>
      </c>
      <c r="F32">
        <v>241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8.0039999999999996</v>
      </c>
      <c r="F33">
        <v>196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8.0009999999999994</v>
      </c>
      <c r="F34">
        <v>232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8.0020000000000007</v>
      </c>
      <c r="F35">
        <v>232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8.0060000000000002</v>
      </c>
      <c r="F36">
        <v>220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8.0180000000000007</v>
      </c>
      <c r="F37">
        <v>212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8.0289999999999999</v>
      </c>
      <c r="F38">
        <v>222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8.0359999999999996</v>
      </c>
      <c r="F39">
        <v>242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8.0120000000000005</v>
      </c>
      <c r="F40">
        <v>237</v>
      </c>
    </row>
    <row r="41" spans="1:6" x14ac:dyDescent="0.3">
      <c r="A41" t="s">
        <v>18</v>
      </c>
      <c r="B41">
        <v>50</v>
      </c>
      <c r="C41">
        <v>1</v>
      </c>
      <c r="D41">
        <v>179.93799999999999</v>
      </c>
      <c r="E41">
        <v>22.436</v>
      </c>
      <c r="F41">
        <v>269</v>
      </c>
    </row>
    <row r="42" spans="1:6" x14ac:dyDescent="0.3">
      <c r="A42" t="s">
        <v>18</v>
      </c>
      <c r="B42">
        <v>50</v>
      </c>
      <c r="C42">
        <v>1</v>
      </c>
      <c r="D42">
        <v>179.93799999999999</v>
      </c>
      <c r="E42">
        <v>22.472000000000001</v>
      </c>
      <c r="F42">
        <v>266</v>
      </c>
    </row>
    <row r="43" spans="1:6" x14ac:dyDescent="0.3">
      <c r="A43" t="s">
        <v>18</v>
      </c>
      <c r="B43">
        <v>50</v>
      </c>
      <c r="C43">
        <v>1</v>
      </c>
      <c r="D43">
        <v>180.37200000000001</v>
      </c>
      <c r="E43">
        <v>22.443999999999999</v>
      </c>
      <c r="F43">
        <v>269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22.402000000000001</v>
      </c>
      <c r="F44">
        <v>268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22.454000000000001</v>
      </c>
      <c r="F45">
        <v>270</v>
      </c>
    </row>
    <row r="46" spans="1:6" x14ac:dyDescent="0.3">
      <c r="A46" t="s">
        <v>18</v>
      </c>
      <c r="B46">
        <v>50</v>
      </c>
      <c r="C46">
        <v>1</v>
      </c>
      <c r="D46">
        <v>179.673</v>
      </c>
      <c r="E46">
        <v>22.445</v>
      </c>
      <c r="F46">
        <v>267</v>
      </c>
    </row>
    <row r="47" spans="1:6" x14ac:dyDescent="0.3">
      <c r="A47" t="s">
        <v>18</v>
      </c>
      <c r="B47">
        <v>50</v>
      </c>
      <c r="C47">
        <v>1</v>
      </c>
      <c r="D47">
        <v>179.673</v>
      </c>
      <c r="E47">
        <v>22.463999999999999</v>
      </c>
      <c r="F47">
        <v>270</v>
      </c>
    </row>
    <row r="48" spans="1:6" x14ac:dyDescent="0.3">
      <c r="A48" t="s">
        <v>18</v>
      </c>
      <c r="B48">
        <v>50</v>
      </c>
      <c r="C48">
        <v>1</v>
      </c>
      <c r="D48">
        <v>179.673</v>
      </c>
      <c r="E48">
        <v>22.422000000000001</v>
      </c>
      <c r="F48">
        <v>271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22.484999999999999</v>
      </c>
      <c r="F49">
        <v>271</v>
      </c>
    </row>
    <row r="50" spans="1:6" x14ac:dyDescent="0.3">
      <c r="A50" t="s">
        <v>18</v>
      </c>
      <c r="B50">
        <v>50</v>
      </c>
      <c r="C50">
        <v>1</v>
      </c>
      <c r="D50">
        <v>179.93799999999999</v>
      </c>
      <c r="E50">
        <v>22.42</v>
      </c>
      <c r="F50">
        <v>271</v>
      </c>
    </row>
    <row r="51" spans="1:6" x14ac:dyDescent="0.3">
      <c r="A51" t="s">
        <v>18</v>
      </c>
      <c r="B51">
        <v>100</v>
      </c>
      <c r="C51">
        <v>1</v>
      </c>
      <c r="D51">
        <v>239.63</v>
      </c>
      <c r="E51">
        <v>138.48400000000001</v>
      </c>
      <c r="F51">
        <v>469</v>
      </c>
    </row>
    <row r="52" spans="1:6" x14ac:dyDescent="0.3">
      <c r="A52" t="s">
        <v>18</v>
      </c>
      <c r="B52">
        <v>100</v>
      </c>
      <c r="C52">
        <v>1</v>
      </c>
      <c r="D52">
        <v>239.65199999999999</v>
      </c>
      <c r="E52">
        <v>138.49600000000001</v>
      </c>
      <c r="F52">
        <v>473</v>
      </c>
    </row>
    <row r="53" spans="1:6" x14ac:dyDescent="0.3">
      <c r="A53" t="s">
        <v>18</v>
      </c>
      <c r="B53">
        <v>100</v>
      </c>
      <c r="C53">
        <v>1</v>
      </c>
      <c r="D53">
        <v>239.46</v>
      </c>
      <c r="E53">
        <v>138.52199999999999</v>
      </c>
      <c r="F53">
        <v>473</v>
      </c>
    </row>
    <row r="54" spans="1:6" x14ac:dyDescent="0.3">
      <c r="A54" t="s">
        <v>18</v>
      </c>
      <c r="B54">
        <v>100</v>
      </c>
      <c r="C54">
        <v>1</v>
      </c>
      <c r="D54">
        <v>239.119</v>
      </c>
      <c r="E54">
        <v>138.71799999999999</v>
      </c>
      <c r="F54">
        <v>475</v>
      </c>
    </row>
    <row r="55" spans="1:6" x14ac:dyDescent="0.3">
      <c r="A55" t="s">
        <v>18</v>
      </c>
      <c r="B55">
        <v>100</v>
      </c>
      <c r="C55">
        <v>1</v>
      </c>
      <c r="D55">
        <v>239.10300000000001</v>
      </c>
      <c r="E55">
        <v>138.61600000000001</v>
      </c>
      <c r="F55">
        <v>514</v>
      </c>
    </row>
    <row r="56" spans="1:6" x14ac:dyDescent="0.3">
      <c r="A56" t="s">
        <v>18</v>
      </c>
      <c r="B56">
        <v>100</v>
      </c>
      <c r="C56">
        <v>1</v>
      </c>
      <c r="D56">
        <v>239.18700000000001</v>
      </c>
      <c r="E56">
        <v>138.55099999999999</v>
      </c>
      <c r="F56">
        <v>521</v>
      </c>
    </row>
    <row r="57" spans="1:6" x14ac:dyDescent="0.3">
      <c r="A57" t="s">
        <v>18</v>
      </c>
      <c r="B57">
        <v>100</v>
      </c>
      <c r="C57">
        <v>1</v>
      </c>
      <c r="D57">
        <v>239.125</v>
      </c>
      <c r="E57">
        <v>138.465</v>
      </c>
      <c r="F57">
        <v>484</v>
      </c>
    </row>
    <row r="58" spans="1:6" x14ac:dyDescent="0.3">
      <c r="A58" t="s">
        <v>18</v>
      </c>
      <c r="B58">
        <v>100</v>
      </c>
      <c r="C58">
        <v>1</v>
      </c>
      <c r="D58">
        <v>239.059</v>
      </c>
      <c r="E58">
        <v>138.637</v>
      </c>
      <c r="F58">
        <v>472</v>
      </c>
    </row>
    <row r="59" spans="1:6" x14ac:dyDescent="0.3">
      <c r="A59" t="s">
        <v>18</v>
      </c>
      <c r="B59">
        <v>100</v>
      </c>
      <c r="C59">
        <v>1</v>
      </c>
      <c r="D59">
        <v>239.30699999999999</v>
      </c>
      <c r="E59">
        <v>138.67400000000001</v>
      </c>
      <c r="F59">
        <v>475</v>
      </c>
    </row>
    <row r="60" spans="1:6" x14ac:dyDescent="0.3">
      <c r="A60" t="s">
        <v>18</v>
      </c>
      <c r="B60">
        <v>100</v>
      </c>
      <c r="C60">
        <v>1</v>
      </c>
      <c r="D60">
        <v>239.19</v>
      </c>
      <c r="E60">
        <v>138.71100000000001</v>
      </c>
      <c r="F60">
        <v>473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4.3179999999999996</v>
      </c>
      <c r="F61">
        <v>184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4.335</v>
      </c>
      <c r="F62">
        <v>162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4.3120000000000003</v>
      </c>
      <c r="F63">
        <v>158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4.3159999999999998</v>
      </c>
      <c r="F64">
        <v>185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4.3120000000000003</v>
      </c>
      <c r="F65">
        <v>199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4.3150000000000004</v>
      </c>
      <c r="F66">
        <v>199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4.3120000000000003</v>
      </c>
      <c r="F67">
        <v>193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4.3159999999999998</v>
      </c>
      <c r="F68">
        <v>179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4.3159999999999998</v>
      </c>
      <c r="F69">
        <v>219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4.3120000000000003</v>
      </c>
      <c r="F70">
        <v>211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13.198</v>
      </c>
      <c r="F71">
        <v>268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13.21</v>
      </c>
      <c r="F72">
        <v>306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13.212</v>
      </c>
      <c r="F73">
        <v>261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13.212</v>
      </c>
      <c r="F74">
        <v>264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13.223000000000001</v>
      </c>
      <c r="F75">
        <v>225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13.247999999999999</v>
      </c>
      <c r="F76">
        <v>213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13.243</v>
      </c>
      <c r="F77">
        <v>211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13.242000000000001</v>
      </c>
      <c r="F78">
        <v>210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13.218999999999999</v>
      </c>
      <c r="F79">
        <v>208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13.202</v>
      </c>
      <c r="F80">
        <v>216</v>
      </c>
    </row>
    <row r="81" spans="1:6" x14ac:dyDescent="0.3">
      <c r="A81" t="s">
        <v>19</v>
      </c>
      <c r="B81">
        <v>100</v>
      </c>
      <c r="C81">
        <v>1</v>
      </c>
      <c r="D81">
        <v>35279.921999999999</v>
      </c>
      <c r="E81">
        <v>54.89</v>
      </c>
      <c r="F81">
        <v>225</v>
      </c>
    </row>
    <row r="82" spans="1:6" x14ac:dyDescent="0.3">
      <c r="A82" t="s">
        <v>19</v>
      </c>
      <c r="B82">
        <v>100</v>
      </c>
      <c r="C82">
        <v>1</v>
      </c>
      <c r="D82">
        <v>35228.639999999999</v>
      </c>
      <c r="E82">
        <v>54.972000000000001</v>
      </c>
      <c r="F82">
        <v>227</v>
      </c>
    </row>
    <row r="83" spans="1:6" x14ac:dyDescent="0.3">
      <c r="A83" t="s">
        <v>19</v>
      </c>
      <c r="B83">
        <v>100</v>
      </c>
      <c r="C83">
        <v>1</v>
      </c>
      <c r="D83">
        <v>35246.271000000001</v>
      </c>
      <c r="E83">
        <v>54.898000000000003</v>
      </c>
      <c r="F83">
        <v>232</v>
      </c>
    </row>
    <row r="84" spans="1:6" x14ac:dyDescent="0.3">
      <c r="A84" t="s">
        <v>19</v>
      </c>
      <c r="B84">
        <v>100</v>
      </c>
      <c r="C84">
        <v>1</v>
      </c>
      <c r="D84">
        <v>35255.909</v>
      </c>
      <c r="E84">
        <v>54.94</v>
      </c>
      <c r="F84">
        <v>231</v>
      </c>
    </row>
    <row r="85" spans="1:6" x14ac:dyDescent="0.3">
      <c r="A85" t="s">
        <v>19</v>
      </c>
      <c r="B85">
        <v>100</v>
      </c>
      <c r="C85">
        <v>1</v>
      </c>
      <c r="D85">
        <v>35273.343000000001</v>
      </c>
      <c r="E85">
        <v>54.941000000000003</v>
      </c>
      <c r="F85">
        <v>228</v>
      </c>
    </row>
    <row r="86" spans="1:6" x14ac:dyDescent="0.3">
      <c r="A86" t="s">
        <v>19</v>
      </c>
      <c r="B86">
        <v>100</v>
      </c>
      <c r="C86">
        <v>1</v>
      </c>
      <c r="D86">
        <v>35222.074999999997</v>
      </c>
      <c r="E86">
        <v>54.933999999999997</v>
      </c>
      <c r="F86">
        <v>229</v>
      </c>
    </row>
    <row r="87" spans="1:6" x14ac:dyDescent="0.3">
      <c r="A87" t="s">
        <v>19</v>
      </c>
      <c r="B87">
        <v>100</v>
      </c>
      <c r="C87">
        <v>1</v>
      </c>
      <c r="D87">
        <v>35252.398999999998</v>
      </c>
      <c r="E87">
        <v>54.823</v>
      </c>
      <c r="F87">
        <v>226</v>
      </c>
    </row>
    <row r="88" spans="1:6" x14ac:dyDescent="0.3">
      <c r="A88" t="s">
        <v>19</v>
      </c>
      <c r="B88">
        <v>100</v>
      </c>
      <c r="C88">
        <v>1</v>
      </c>
      <c r="D88">
        <v>35234.720999999998</v>
      </c>
      <c r="E88">
        <v>54.927</v>
      </c>
      <c r="F88">
        <v>234</v>
      </c>
    </row>
    <row r="89" spans="1:6" x14ac:dyDescent="0.3">
      <c r="A89" t="s">
        <v>19</v>
      </c>
      <c r="B89">
        <v>100</v>
      </c>
      <c r="C89">
        <v>1</v>
      </c>
      <c r="D89">
        <v>35298.966</v>
      </c>
      <c r="E89">
        <v>54.957000000000001</v>
      </c>
      <c r="F89">
        <v>261</v>
      </c>
    </row>
    <row r="90" spans="1:6" x14ac:dyDescent="0.3">
      <c r="A90" t="s">
        <v>19</v>
      </c>
      <c r="B90">
        <v>100</v>
      </c>
      <c r="C90">
        <v>1</v>
      </c>
      <c r="D90">
        <v>35260.620999999999</v>
      </c>
      <c r="E90">
        <v>54.838999999999999</v>
      </c>
      <c r="F90">
        <v>266</v>
      </c>
    </row>
    <row r="91" spans="1:6" x14ac:dyDescent="0.3">
      <c r="A91" t="s">
        <v>20</v>
      </c>
      <c r="B91">
        <v>30</v>
      </c>
      <c r="C91">
        <v>1</v>
      </c>
      <c r="D91">
        <v>658.23299999999995</v>
      </c>
      <c r="E91">
        <v>6.4820000000000002</v>
      </c>
      <c r="F91">
        <v>194</v>
      </c>
    </row>
    <row r="92" spans="1:6" x14ac:dyDescent="0.3">
      <c r="A92" t="s">
        <v>20</v>
      </c>
      <c r="B92">
        <v>30</v>
      </c>
      <c r="C92">
        <v>1</v>
      </c>
      <c r="D92">
        <v>657.32399999999996</v>
      </c>
      <c r="E92">
        <v>6.4710000000000001</v>
      </c>
      <c r="F92">
        <v>194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6.4649999999999999</v>
      </c>
      <c r="F93">
        <v>215</v>
      </c>
    </row>
    <row r="94" spans="1:6" x14ac:dyDescent="0.3">
      <c r="A94" t="s">
        <v>20</v>
      </c>
      <c r="B94">
        <v>30</v>
      </c>
      <c r="C94">
        <v>1</v>
      </c>
      <c r="D94">
        <v>658.23299999999995</v>
      </c>
      <c r="E94">
        <v>6.4909999999999997</v>
      </c>
      <c r="F94">
        <v>198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6.4749999999999996</v>
      </c>
      <c r="F95">
        <v>224</v>
      </c>
    </row>
    <row r="96" spans="1:6" x14ac:dyDescent="0.3">
      <c r="A96" t="s">
        <v>20</v>
      </c>
      <c r="B96">
        <v>30</v>
      </c>
      <c r="C96">
        <v>1</v>
      </c>
      <c r="D96">
        <v>658.23299999999995</v>
      </c>
      <c r="E96">
        <v>6.4889999999999999</v>
      </c>
      <c r="F96">
        <v>170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6.4710000000000001</v>
      </c>
      <c r="F97">
        <v>191</v>
      </c>
    </row>
    <row r="98" spans="1:6" x14ac:dyDescent="0.3">
      <c r="A98" t="s">
        <v>20</v>
      </c>
      <c r="B98">
        <v>30</v>
      </c>
      <c r="C98">
        <v>1</v>
      </c>
      <c r="D98">
        <v>657.35599999999999</v>
      </c>
      <c r="E98">
        <v>6.4740000000000002</v>
      </c>
      <c r="F98">
        <v>211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6.4710000000000001</v>
      </c>
      <c r="F99">
        <v>207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6.4829999999999997</v>
      </c>
      <c r="F100">
        <v>209</v>
      </c>
    </row>
    <row r="101" spans="1:6" x14ac:dyDescent="0.3">
      <c r="A101" t="s">
        <v>20</v>
      </c>
      <c r="B101">
        <v>50</v>
      </c>
      <c r="C101">
        <v>1</v>
      </c>
      <c r="D101">
        <v>995.27099999999996</v>
      </c>
      <c r="E101">
        <v>14.734</v>
      </c>
      <c r="F101">
        <v>214</v>
      </c>
    </row>
    <row r="102" spans="1:6" x14ac:dyDescent="0.3">
      <c r="A102" t="s">
        <v>20</v>
      </c>
      <c r="B102">
        <v>50</v>
      </c>
      <c r="C102">
        <v>1</v>
      </c>
      <c r="D102">
        <v>993.93799999999999</v>
      </c>
      <c r="E102">
        <v>14.721</v>
      </c>
      <c r="F102">
        <v>212</v>
      </c>
    </row>
    <row r="103" spans="1:6" x14ac:dyDescent="0.3">
      <c r="A103" t="s">
        <v>20</v>
      </c>
      <c r="B103">
        <v>50</v>
      </c>
      <c r="C103">
        <v>1</v>
      </c>
      <c r="D103">
        <v>992.92100000000005</v>
      </c>
      <c r="E103">
        <v>14.733000000000001</v>
      </c>
      <c r="F103">
        <v>210</v>
      </c>
    </row>
    <row r="104" spans="1:6" x14ac:dyDescent="0.3">
      <c r="A104" t="s">
        <v>20</v>
      </c>
      <c r="B104">
        <v>50</v>
      </c>
      <c r="C104">
        <v>1</v>
      </c>
      <c r="D104">
        <v>994.55399999999997</v>
      </c>
      <c r="E104">
        <v>14.728999999999999</v>
      </c>
      <c r="F104">
        <v>218</v>
      </c>
    </row>
    <row r="105" spans="1:6" x14ac:dyDescent="0.3">
      <c r="A105" t="s">
        <v>20</v>
      </c>
      <c r="B105">
        <v>50</v>
      </c>
      <c r="C105">
        <v>1</v>
      </c>
      <c r="D105">
        <v>997.40300000000002</v>
      </c>
      <c r="E105">
        <v>14.701000000000001</v>
      </c>
      <c r="F105">
        <v>210</v>
      </c>
    </row>
    <row r="106" spans="1:6" x14ac:dyDescent="0.3">
      <c r="A106" t="s">
        <v>20</v>
      </c>
      <c r="B106">
        <v>50</v>
      </c>
      <c r="C106">
        <v>1</v>
      </c>
      <c r="D106">
        <v>995.053</v>
      </c>
      <c r="E106">
        <v>14.747</v>
      </c>
      <c r="F106">
        <v>215</v>
      </c>
    </row>
    <row r="107" spans="1:6" x14ac:dyDescent="0.3">
      <c r="A107" t="s">
        <v>20</v>
      </c>
      <c r="B107">
        <v>50</v>
      </c>
      <c r="C107">
        <v>1</v>
      </c>
      <c r="D107">
        <v>996.00699999999995</v>
      </c>
      <c r="E107">
        <v>14.717000000000001</v>
      </c>
      <c r="F107">
        <v>214</v>
      </c>
    </row>
    <row r="108" spans="1:6" x14ac:dyDescent="0.3">
      <c r="A108" t="s">
        <v>20</v>
      </c>
      <c r="B108">
        <v>50</v>
      </c>
      <c r="C108">
        <v>1</v>
      </c>
      <c r="D108">
        <v>994.12599999999998</v>
      </c>
      <c r="E108">
        <v>14.71</v>
      </c>
      <c r="F108">
        <v>214</v>
      </c>
    </row>
    <row r="109" spans="1:6" x14ac:dyDescent="0.3">
      <c r="A109" t="s">
        <v>20</v>
      </c>
      <c r="B109">
        <v>50</v>
      </c>
      <c r="C109">
        <v>1</v>
      </c>
      <c r="D109">
        <v>995.62</v>
      </c>
      <c r="E109">
        <v>14.696</v>
      </c>
      <c r="F109">
        <v>216</v>
      </c>
    </row>
    <row r="110" spans="1:6" x14ac:dyDescent="0.3">
      <c r="A110" t="s">
        <v>20</v>
      </c>
      <c r="B110">
        <v>50</v>
      </c>
      <c r="C110">
        <v>1</v>
      </c>
      <c r="D110">
        <v>994.779</v>
      </c>
      <c r="E110">
        <v>14.73</v>
      </c>
      <c r="F110">
        <v>210</v>
      </c>
    </row>
    <row r="111" spans="1:6" x14ac:dyDescent="0.3">
      <c r="A111" t="s">
        <v>20</v>
      </c>
      <c r="B111">
        <v>100</v>
      </c>
      <c r="C111">
        <v>1</v>
      </c>
      <c r="D111">
        <v>1763.0650000000001</v>
      </c>
      <c r="E111">
        <v>32.575000000000003</v>
      </c>
      <c r="F111">
        <v>176</v>
      </c>
    </row>
    <row r="112" spans="1:6" x14ac:dyDescent="0.3">
      <c r="A112" t="s">
        <v>20</v>
      </c>
      <c r="B112">
        <v>100</v>
      </c>
      <c r="C112">
        <v>1</v>
      </c>
      <c r="D112">
        <v>1760.085</v>
      </c>
      <c r="E112">
        <v>32.523000000000003</v>
      </c>
      <c r="F112">
        <v>177</v>
      </c>
    </row>
    <row r="113" spans="1:6" x14ac:dyDescent="0.3">
      <c r="A113" t="s">
        <v>20</v>
      </c>
      <c r="B113">
        <v>100</v>
      </c>
      <c r="C113">
        <v>1</v>
      </c>
      <c r="D113">
        <v>1755.213</v>
      </c>
      <c r="E113">
        <v>32.478999999999999</v>
      </c>
      <c r="F113">
        <v>177</v>
      </c>
    </row>
    <row r="114" spans="1:6" x14ac:dyDescent="0.3">
      <c r="A114" t="s">
        <v>20</v>
      </c>
      <c r="B114">
        <v>100</v>
      </c>
      <c r="C114">
        <v>1</v>
      </c>
      <c r="D114">
        <v>1756.58</v>
      </c>
      <c r="E114">
        <v>32.627000000000002</v>
      </c>
      <c r="F114">
        <v>166</v>
      </c>
    </row>
    <row r="115" spans="1:6" x14ac:dyDescent="0.3">
      <c r="A115" t="s">
        <v>20</v>
      </c>
      <c r="B115">
        <v>100</v>
      </c>
      <c r="C115">
        <v>1</v>
      </c>
      <c r="D115">
        <v>1757.009</v>
      </c>
      <c r="E115">
        <v>32.493000000000002</v>
      </c>
      <c r="F115">
        <v>151</v>
      </c>
    </row>
    <row r="116" spans="1:6" x14ac:dyDescent="0.3">
      <c r="A116" t="s">
        <v>20</v>
      </c>
      <c r="B116">
        <v>100</v>
      </c>
      <c r="C116">
        <v>1</v>
      </c>
      <c r="D116">
        <v>1758.903</v>
      </c>
      <c r="E116">
        <v>32.575000000000003</v>
      </c>
      <c r="F116">
        <v>151</v>
      </c>
    </row>
    <row r="117" spans="1:6" x14ac:dyDescent="0.3">
      <c r="A117" t="s">
        <v>20</v>
      </c>
      <c r="B117">
        <v>100</v>
      </c>
      <c r="C117">
        <v>1</v>
      </c>
      <c r="D117">
        <v>1761.9449999999999</v>
      </c>
      <c r="E117">
        <v>32.554000000000002</v>
      </c>
      <c r="F117">
        <v>148</v>
      </c>
    </row>
    <row r="118" spans="1:6" x14ac:dyDescent="0.3">
      <c r="A118" t="s">
        <v>20</v>
      </c>
      <c r="B118">
        <v>100</v>
      </c>
      <c r="C118">
        <v>1</v>
      </c>
      <c r="D118">
        <v>1762.2829999999999</v>
      </c>
      <c r="E118">
        <v>32.610999999999997</v>
      </c>
      <c r="F118">
        <v>151</v>
      </c>
    </row>
    <row r="119" spans="1:6" x14ac:dyDescent="0.3">
      <c r="A119" t="s">
        <v>20</v>
      </c>
      <c r="B119">
        <v>100</v>
      </c>
      <c r="C119">
        <v>1</v>
      </c>
      <c r="D119">
        <v>1760.827</v>
      </c>
      <c r="E119">
        <v>32.561999999999998</v>
      </c>
      <c r="F119">
        <v>149</v>
      </c>
    </row>
    <row r="120" spans="1:6" x14ac:dyDescent="0.3">
      <c r="A120" t="s">
        <v>20</v>
      </c>
      <c r="B120">
        <v>100</v>
      </c>
      <c r="C120">
        <v>1</v>
      </c>
      <c r="D120">
        <v>1761.943</v>
      </c>
      <c r="E120">
        <v>32.51</v>
      </c>
      <c r="F120">
        <v>150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1.383</v>
      </c>
      <c r="F121">
        <v>222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1.37</v>
      </c>
      <c r="F122">
        <v>137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1.365</v>
      </c>
      <c r="F123">
        <v>386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1.381</v>
      </c>
      <c r="F124">
        <v>246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1.385</v>
      </c>
      <c r="F125">
        <v>154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1.385</v>
      </c>
      <c r="F126">
        <v>196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1.379</v>
      </c>
      <c r="F127">
        <v>77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1.3660000000000001</v>
      </c>
      <c r="F128">
        <v>84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1.371</v>
      </c>
      <c r="F129">
        <v>273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1.3660000000000001</v>
      </c>
      <c r="F130">
        <v>404</v>
      </c>
    </row>
    <row r="131" spans="1:6" x14ac:dyDescent="0.3">
      <c r="A131" t="s">
        <v>33</v>
      </c>
      <c r="B131">
        <v>209</v>
      </c>
      <c r="C131">
        <v>1</v>
      </c>
      <c r="D131">
        <v>76.954999999999998</v>
      </c>
      <c r="E131">
        <v>181.149</v>
      </c>
      <c r="F131">
        <v>181</v>
      </c>
    </row>
    <row r="132" spans="1:6" x14ac:dyDescent="0.3">
      <c r="A132" t="s">
        <v>33</v>
      </c>
      <c r="B132">
        <v>209</v>
      </c>
      <c r="C132">
        <v>1</v>
      </c>
      <c r="D132">
        <v>77.114000000000004</v>
      </c>
      <c r="E132">
        <v>180.761</v>
      </c>
      <c r="F132">
        <v>181</v>
      </c>
    </row>
    <row r="133" spans="1:6" x14ac:dyDescent="0.3">
      <c r="A133" t="s">
        <v>33</v>
      </c>
      <c r="B133">
        <v>209</v>
      </c>
      <c r="C133">
        <v>1</v>
      </c>
      <c r="D133">
        <v>76.997</v>
      </c>
      <c r="E133">
        <v>181.51</v>
      </c>
      <c r="F133">
        <v>182</v>
      </c>
    </row>
    <row r="134" spans="1:6" x14ac:dyDescent="0.3">
      <c r="A134" t="s">
        <v>33</v>
      </c>
      <c r="B134">
        <v>209</v>
      </c>
      <c r="C134">
        <v>1</v>
      </c>
      <c r="D134">
        <v>76.769000000000005</v>
      </c>
      <c r="E134">
        <v>180.81399999999999</v>
      </c>
      <c r="F134">
        <v>187</v>
      </c>
    </row>
    <row r="135" spans="1:6" x14ac:dyDescent="0.3">
      <c r="A135" t="s">
        <v>33</v>
      </c>
      <c r="B135">
        <v>209</v>
      </c>
      <c r="C135">
        <v>1</v>
      </c>
      <c r="D135">
        <v>77.018000000000001</v>
      </c>
      <c r="E135">
        <v>180.74600000000001</v>
      </c>
      <c r="F135">
        <v>188</v>
      </c>
    </row>
    <row r="136" spans="1:6" x14ac:dyDescent="0.3">
      <c r="A136" t="s">
        <v>33</v>
      </c>
      <c r="B136">
        <v>209</v>
      </c>
      <c r="C136">
        <v>1</v>
      </c>
      <c r="D136">
        <v>76.897999999999996</v>
      </c>
      <c r="E136">
        <v>181.096</v>
      </c>
      <c r="F136">
        <v>192</v>
      </c>
    </row>
    <row r="137" spans="1:6" x14ac:dyDescent="0.3">
      <c r="A137" t="s">
        <v>33</v>
      </c>
      <c r="B137">
        <v>209</v>
      </c>
      <c r="C137">
        <v>1</v>
      </c>
      <c r="D137">
        <v>76.671999999999997</v>
      </c>
      <c r="E137">
        <v>181.33600000000001</v>
      </c>
      <c r="F137">
        <v>184</v>
      </c>
    </row>
    <row r="138" spans="1:6" x14ac:dyDescent="0.3">
      <c r="A138" t="s">
        <v>33</v>
      </c>
      <c r="B138">
        <v>209</v>
      </c>
      <c r="C138">
        <v>1</v>
      </c>
      <c r="D138">
        <v>76.412000000000006</v>
      </c>
      <c r="E138">
        <v>180.803</v>
      </c>
      <c r="F138">
        <v>181</v>
      </c>
    </row>
    <row r="139" spans="1:6" x14ac:dyDescent="0.3">
      <c r="A139" t="s">
        <v>33</v>
      </c>
      <c r="B139">
        <v>209</v>
      </c>
      <c r="C139">
        <v>1</v>
      </c>
      <c r="D139">
        <v>77.075999999999993</v>
      </c>
      <c r="E139">
        <v>181.506</v>
      </c>
      <c r="F139">
        <v>183</v>
      </c>
    </row>
    <row r="140" spans="1:6" x14ac:dyDescent="0.3">
      <c r="A140" t="s">
        <v>33</v>
      </c>
      <c r="B140">
        <v>209</v>
      </c>
      <c r="C140">
        <v>1</v>
      </c>
      <c r="D140">
        <v>76.718000000000004</v>
      </c>
      <c r="E140">
        <v>180.98599999999999</v>
      </c>
      <c r="F140">
        <v>184</v>
      </c>
    </row>
    <row r="141" spans="1:6" x14ac:dyDescent="0.3">
      <c r="A141" t="s">
        <v>33</v>
      </c>
      <c r="B141">
        <v>324</v>
      </c>
      <c r="C141">
        <v>1</v>
      </c>
      <c r="D141">
        <v>119.367</v>
      </c>
      <c r="E141">
        <v>419.33800000000002</v>
      </c>
      <c r="F141">
        <v>157</v>
      </c>
    </row>
    <row r="142" spans="1:6" x14ac:dyDescent="0.3">
      <c r="A142" t="s">
        <v>33</v>
      </c>
      <c r="B142">
        <v>324</v>
      </c>
      <c r="C142">
        <v>1</v>
      </c>
      <c r="D142">
        <v>119.35899999999999</v>
      </c>
      <c r="E142">
        <v>420.36399999999998</v>
      </c>
      <c r="F142">
        <v>160</v>
      </c>
    </row>
    <row r="143" spans="1:6" x14ac:dyDescent="0.3">
      <c r="A143" t="s">
        <v>33</v>
      </c>
      <c r="B143">
        <v>324</v>
      </c>
      <c r="C143">
        <v>1</v>
      </c>
      <c r="D143">
        <v>118.759</v>
      </c>
      <c r="E143">
        <v>420.673</v>
      </c>
      <c r="F143">
        <v>160</v>
      </c>
    </row>
    <row r="144" spans="1:6" x14ac:dyDescent="0.3">
      <c r="A144" t="s">
        <v>33</v>
      </c>
      <c r="B144">
        <v>324</v>
      </c>
      <c r="C144">
        <v>1</v>
      </c>
      <c r="D144">
        <v>119.56100000000001</v>
      </c>
      <c r="E144">
        <v>420.94099999999997</v>
      </c>
      <c r="F144">
        <v>159</v>
      </c>
    </row>
    <row r="145" spans="1:6" x14ac:dyDescent="0.3">
      <c r="A145" t="s">
        <v>33</v>
      </c>
      <c r="B145">
        <v>324</v>
      </c>
      <c r="C145">
        <v>1</v>
      </c>
      <c r="D145">
        <v>119.06100000000001</v>
      </c>
      <c r="E145">
        <v>420.04899999999998</v>
      </c>
      <c r="F145">
        <v>160</v>
      </c>
    </row>
    <row r="146" spans="1:6" x14ac:dyDescent="0.3">
      <c r="A146" t="s">
        <v>33</v>
      </c>
      <c r="B146">
        <v>324</v>
      </c>
      <c r="C146">
        <v>1</v>
      </c>
      <c r="D146">
        <v>119.14100000000001</v>
      </c>
      <c r="E146">
        <v>420.51100000000002</v>
      </c>
      <c r="F146">
        <v>159</v>
      </c>
    </row>
    <row r="147" spans="1:6" x14ac:dyDescent="0.3">
      <c r="A147" t="s">
        <v>33</v>
      </c>
      <c r="B147">
        <v>324</v>
      </c>
      <c r="C147">
        <v>1</v>
      </c>
      <c r="D147">
        <v>119.075</v>
      </c>
      <c r="E147">
        <v>419.83100000000002</v>
      </c>
      <c r="F147">
        <v>159</v>
      </c>
    </row>
    <row r="148" spans="1:6" x14ac:dyDescent="0.3">
      <c r="A148" t="s">
        <v>33</v>
      </c>
      <c r="B148">
        <v>324</v>
      </c>
      <c r="C148">
        <v>1</v>
      </c>
      <c r="D148">
        <v>118.958</v>
      </c>
      <c r="E148">
        <v>420.166</v>
      </c>
      <c r="F148">
        <v>161</v>
      </c>
    </row>
    <row r="149" spans="1:6" x14ac:dyDescent="0.3">
      <c r="A149" t="s">
        <v>33</v>
      </c>
      <c r="B149">
        <v>324</v>
      </c>
      <c r="C149">
        <v>1</v>
      </c>
      <c r="D149">
        <v>119.017</v>
      </c>
      <c r="E149">
        <v>421.21499999999997</v>
      </c>
      <c r="F149">
        <v>159</v>
      </c>
    </row>
    <row r="150" spans="1:6" x14ac:dyDescent="0.3">
      <c r="A150" t="s">
        <v>33</v>
      </c>
      <c r="B150">
        <v>324</v>
      </c>
      <c r="C150">
        <v>1</v>
      </c>
      <c r="D150">
        <v>119.367</v>
      </c>
      <c r="E150">
        <v>420.52800000000002</v>
      </c>
      <c r="F150">
        <v>158</v>
      </c>
    </row>
    <row r="151" spans="1:6" x14ac:dyDescent="0.3">
      <c r="A151" t="s">
        <v>34</v>
      </c>
      <c r="B151">
        <v>40</v>
      </c>
      <c r="C151">
        <v>1</v>
      </c>
      <c r="D151">
        <v>16.515000000000001</v>
      </c>
      <c r="E151">
        <v>11.628</v>
      </c>
      <c r="F151">
        <v>223</v>
      </c>
    </row>
    <row r="152" spans="1:6" x14ac:dyDescent="0.3">
      <c r="A152" t="s">
        <v>34</v>
      </c>
      <c r="B152">
        <v>40</v>
      </c>
      <c r="C152">
        <v>1</v>
      </c>
      <c r="D152">
        <v>16.616</v>
      </c>
      <c r="E152">
        <v>11.634</v>
      </c>
      <c r="F152">
        <v>219</v>
      </c>
    </row>
    <row r="153" spans="1:6" x14ac:dyDescent="0.3">
      <c r="A153" t="s">
        <v>34</v>
      </c>
      <c r="B153">
        <v>40</v>
      </c>
      <c r="C153">
        <v>1</v>
      </c>
      <c r="D153">
        <v>16.84</v>
      </c>
      <c r="E153">
        <v>11.614000000000001</v>
      </c>
      <c r="F153">
        <v>225</v>
      </c>
    </row>
    <row r="154" spans="1:6" x14ac:dyDescent="0.3">
      <c r="A154" t="s">
        <v>34</v>
      </c>
      <c r="B154">
        <v>40</v>
      </c>
      <c r="C154">
        <v>1</v>
      </c>
      <c r="D154">
        <v>16.792999999999999</v>
      </c>
      <c r="E154">
        <v>11.615</v>
      </c>
      <c r="F154">
        <v>234</v>
      </c>
    </row>
    <row r="155" spans="1:6" x14ac:dyDescent="0.3">
      <c r="A155" t="s">
        <v>34</v>
      </c>
      <c r="B155">
        <v>40</v>
      </c>
      <c r="C155">
        <v>1</v>
      </c>
      <c r="D155">
        <v>16.687000000000001</v>
      </c>
      <c r="E155">
        <v>11.656000000000001</v>
      </c>
      <c r="F155">
        <v>235</v>
      </c>
    </row>
    <row r="156" spans="1:6" x14ac:dyDescent="0.3">
      <c r="A156" t="s">
        <v>34</v>
      </c>
      <c r="B156">
        <v>40</v>
      </c>
      <c r="C156">
        <v>1</v>
      </c>
      <c r="D156">
        <v>16.763000000000002</v>
      </c>
      <c r="E156">
        <v>11.622</v>
      </c>
      <c r="F156">
        <v>216</v>
      </c>
    </row>
    <row r="157" spans="1:6" x14ac:dyDescent="0.3">
      <c r="A157" t="s">
        <v>34</v>
      </c>
      <c r="B157">
        <v>40</v>
      </c>
      <c r="C157">
        <v>1</v>
      </c>
      <c r="D157">
        <v>16.75</v>
      </c>
      <c r="E157">
        <v>11.637</v>
      </c>
      <c r="F157">
        <v>223</v>
      </c>
    </row>
    <row r="158" spans="1:6" x14ac:dyDescent="0.3">
      <c r="A158" t="s">
        <v>34</v>
      </c>
      <c r="B158">
        <v>40</v>
      </c>
      <c r="C158">
        <v>1</v>
      </c>
      <c r="D158">
        <v>16.763000000000002</v>
      </c>
      <c r="E158">
        <v>11.62</v>
      </c>
      <c r="F158">
        <v>236</v>
      </c>
    </row>
    <row r="159" spans="1:6" x14ac:dyDescent="0.3">
      <c r="A159" t="s">
        <v>34</v>
      </c>
      <c r="B159">
        <v>40</v>
      </c>
      <c r="C159">
        <v>1</v>
      </c>
      <c r="D159">
        <v>16.75</v>
      </c>
      <c r="E159">
        <v>11.628</v>
      </c>
      <c r="F159">
        <v>228</v>
      </c>
    </row>
    <row r="160" spans="1:6" x14ac:dyDescent="0.3">
      <c r="A160" t="s">
        <v>34</v>
      </c>
      <c r="B160">
        <v>40</v>
      </c>
      <c r="C160">
        <v>1</v>
      </c>
      <c r="D160">
        <v>16.748000000000001</v>
      </c>
      <c r="E160">
        <v>11.641999999999999</v>
      </c>
      <c r="F160">
        <v>237</v>
      </c>
    </row>
    <row r="161" spans="1:6" x14ac:dyDescent="0.3">
      <c r="A161" t="s">
        <v>34</v>
      </c>
      <c r="B161">
        <v>96</v>
      </c>
      <c r="C161">
        <v>1</v>
      </c>
      <c r="D161">
        <v>35.177999999999997</v>
      </c>
      <c r="E161">
        <v>51.274999999999999</v>
      </c>
      <c r="F161">
        <v>259</v>
      </c>
    </row>
    <row r="162" spans="1:6" x14ac:dyDescent="0.3">
      <c r="A162" t="s">
        <v>34</v>
      </c>
      <c r="B162">
        <v>96</v>
      </c>
      <c r="C162">
        <v>1</v>
      </c>
      <c r="D162">
        <v>35.222000000000001</v>
      </c>
      <c r="E162">
        <v>51.36</v>
      </c>
      <c r="F162">
        <v>248</v>
      </c>
    </row>
    <row r="163" spans="1:6" x14ac:dyDescent="0.3">
      <c r="A163" t="s">
        <v>34</v>
      </c>
      <c r="B163">
        <v>96</v>
      </c>
      <c r="C163">
        <v>1</v>
      </c>
      <c r="D163">
        <v>35.125999999999998</v>
      </c>
      <c r="E163">
        <v>51.331000000000003</v>
      </c>
      <c r="F163">
        <v>271</v>
      </c>
    </row>
    <row r="164" spans="1:6" x14ac:dyDescent="0.3">
      <c r="A164" t="s">
        <v>34</v>
      </c>
      <c r="B164">
        <v>96</v>
      </c>
      <c r="C164">
        <v>1</v>
      </c>
      <c r="D164">
        <v>35.19</v>
      </c>
      <c r="E164">
        <v>51.311999999999998</v>
      </c>
      <c r="F164">
        <v>246</v>
      </c>
    </row>
    <row r="165" spans="1:6" x14ac:dyDescent="0.3">
      <c r="A165" t="s">
        <v>34</v>
      </c>
      <c r="B165">
        <v>96</v>
      </c>
      <c r="C165">
        <v>1</v>
      </c>
      <c r="D165">
        <v>35.15</v>
      </c>
      <c r="E165">
        <v>51.39</v>
      </c>
      <c r="F165">
        <v>266</v>
      </c>
    </row>
    <row r="166" spans="1:6" x14ac:dyDescent="0.3">
      <c r="A166" t="s">
        <v>34</v>
      </c>
      <c r="B166">
        <v>96</v>
      </c>
      <c r="C166">
        <v>1</v>
      </c>
      <c r="D166">
        <v>35.103000000000002</v>
      </c>
      <c r="E166">
        <v>51.365000000000002</v>
      </c>
      <c r="F166">
        <v>247</v>
      </c>
    </row>
    <row r="167" spans="1:6" x14ac:dyDescent="0.3">
      <c r="A167" t="s">
        <v>34</v>
      </c>
      <c r="B167">
        <v>96</v>
      </c>
      <c r="C167">
        <v>1</v>
      </c>
      <c r="D167">
        <v>35.203000000000003</v>
      </c>
      <c r="E167">
        <v>51.293999999999997</v>
      </c>
      <c r="F167">
        <v>270</v>
      </c>
    </row>
    <row r="168" spans="1:6" x14ac:dyDescent="0.3">
      <c r="A168" t="s">
        <v>34</v>
      </c>
      <c r="B168">
        <v>96</v>
      </c>
      <c r="C168">
        <v>1</v>
      </c>
      <c r="D168">
        <v>35.241</v>
      </c>
      <c r="E168">
        <v>51.325000000000003</v>
      </c>
      <c r="F168">
        <v>250</v>
      </c>
    </row>
    <row r="169" spans="1:6" x14ac:dyDescent="0.3">
      <c r="A169" t="s">
        <v>34</v>
      </c>
      <c r="B169">
        <v>96</v>
      </c>
      <c r="C169">
        <v>1</v>
      </c>
      <c r="D169">
        <v>35.176000000000002</v>
      </c>
      <c r="E169">
        <v>51.408999999999999</v>
      </c>
      <c r="F169">
        <v>259</v>
      </c>
    </row>
    <row r="170" spans="1:6" x14ac:dyDescent="0.3">
      <c r="A170" t="s">
        <v>34</v>
      </c>
      <c r="B170">
        <v>96</v>
      </c>
      <c r="C170">
        <v>1</v>
      </c>
      <c r="D170">
        <v>35.204999999999998</v>
      </c>
      <c r="E170">
        <v>51.296999999999997</v>
      </c>
      <c r="F170">
        <v>257</v>
      </c>
    </row>
    <row r="171" spans="1:6" x14ac:dyDescent="0.3">
      <c r="A171" t="s">
        <v>34</v>
      </c>
      <c r="B171">
        <v>224</v>
      </c>
      <c r="C171">
        <v>1</v>
      </c>
      <c r="D171">
        <v>71.941000000000003</v>
      </c>
      <c r="E171">
        <v>255.45400000000001</v>
      </c>
      <c r="F171">
        <v>221</v>
      </c>
    </row>
    <row r="172" spans="1:6" x14ac:dyDescent="0.3">
      <c r="A172" t="s">
        <v>34</v>
      </c>
      <c r="B172">
        <v>224</v>
      </c>
      <c r="C172">
        <v>1</v>
      </c>
      <c r="D172">
        <v>71.941000000000003</v>
      </c>
      <c r="E172">
        <v>255.45699999999999</v>
      </c>
      <c r="F172">
        <v>222</v>
      </c>
    </row>
    <row r="173" spans="1:6" x14ac:dyDescent="0.3">
      <c r="A173" t="s">
        <v>34</v>
      </c>
      <c r="B173">
        <v>224</v>
      </c>
      <c r="C173">
        <v>1</v>
      </c>
      <c r="D173">
        <v>71.960999999999999</v>
      </c>
      <c r="E173">
        <v>256.00299999999999</v>
      </c>
      <c r="F173">
        <v>220</v>
      </c>
    </row>
    <row r="174" spans="1:6" x14ac:dyDescent="0.3">
      <c r="A174" t="s">
        <v>34</v>
      </c>
      <c r="B174">
        <v>224</v>
      </c>
      <c r="C174">
        <v>1</v>
      </c>
      <c r="D174">
        <v>71.930000000000007</v>
      </c>
      <c r="E174">
        <v>255.68</v>
      </c>
      <c r="F174">
        <v>222</v>
      </c>
    </row>
    <row r="175" spans="1:6" x14ac:dyDescent="0.3">
      <c r="A175" t="s">
        <v>34</v>
      </c>
      <c r="B175">
        <v>224</v>
      </c>
      <c r="C175">
        <v>1</v>
      </c>
      <c r="D175">
        <v>71.938999999999993</v>
      </c>
      <c r="E175">
        <v>256.02100000000002</v>
      </c>
      <c r="F175">
        <v>218</v>
      </c>
    </row>
    <row r="176" spans="1:6" x14ac:dyDescent="0.3">
      <c r="A176" t="s">
        <v>34</v>
      </c>
      <c r="B176">
        <v>224</v>
      </c>
      <c r="C176">
        <v>1</v>
      </c>
      <c r="D176">
        <v>71.933000000000007</v>
      </c>
      <c r="E176">
        <v>255.42400000000001</v>
      </c>
      <c r="F176">
        <v>218</v>
      </c>
    </row>
    <row r="177" spans="1:6" x14ac:dyDescent="0.3">
      <c r="A177" t="s">
        <v>34</v>
      </c>
      <c r="B177">
        <v>224</v>
      </c>
      <c r="C177">
        <v>1</v>
      </c>
      <c r="D177">
        <v>71.962000000000003</v>
      </c>
      <c r="E177">
        <v>255.46799999999999</v>
      </c>
      <c r="F177">
        <v>219</v>
      </c>
    </row>
    <row r="178" spans="1:6" x14ac:dyDescent="0.3">
      <c r="A178" t="s">
        <v>34</v>
      </c>
      <c r="B178">
        <v>224</v>
      </c>
      <c r="C178">
        <v>1</v>
      </c>
      <c r="D178">
        <v>71.930999999999997</v>
      </c>
      <c r="E178">
        <v>255.61699999999999</v>
      </c>
      <c r="F178">
        <v>226</v>
      </c>
    </row>
    <row r="179" spans="1:6" x14ac:dyDescent="0.3">
      <c r="A179" t="s">
        <v>34</v>
      </c>
      <c r="B179">
        <v>224</v>
      </c>
      <c r="C179">
        <v>1</v>
      </c>
      <c r="D179">
        <v>71.938999999999993</v>
      </c>
      <c r="E179">
        <v>256.42500000000001</v>
      </c>
      <c r="F179">
        <v>217</v>
      </c>
    </row>
    <row r="180" spans="1:6" x14ac:dyDescent="0.3">
      <c r="A180" t="s">
        <v>34</v>
      </c>
      <c r="B180">
        <v>224</v>
      </c>
      <c r="C180">
        <v>1</v>
      </c>
      <c r="D180">
        <v>71.962999999999994</v>
      </c>
      <c r="E180">
        <v>255.636</v>
      </c>
      <c r="F180">
        <v>223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M180"/>
  <sheetViews>
    <sheetView zoomScale="108" zoomScaleNormal="108" workbookViewId="0">
      <selection sqref="A1:F181"/>
    </sheetView>
  </sheetViews>
  <sheetFormatPr defaultRowHeight="14" x14ac:dyDescent="0.3"/>
  <cols>
    <col min="1" max="1" width="9.75" customWidth="1"/>
    <col min="2" max="2" width="4.5" bestFit="1" customWidth="1"/>
    <col min="3" max="3" width="2.58203125"/>
    <col min="4" max="4" width="10.5" bestFit="1" customWidth="1"/>
    <col min="5" max="5" width="7.25"/>
    <col min="6" max="6" width="5.5" customWidth="1"/>
    <col min="7" max="7" width="2.08203125"/>
    <col min="8" max="8" width="10.25"/>
    <col min="9" max="9" width="4.33203125"/>
    <col min="10" max="10" width="3.33203125"/>
    <col min="11" max="11" width="2.58203125"/>
    <col min="12" max="21" width="9.5"/>
    <col min="22" max="22" width="2.5"/>
    <col min="23" max="23" width="9.5"/>
    <col min="24" max="24" width="2.08203125"/>
    <col min="25" max="25" width="9.5"/>
    <col min="26" max="26" width="2.33203125"/>
    <col min="27" max="27" width="2.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5.2839999999999998</v>
      </c>
      <c r="F1">
        <v>169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28.504000000000001</v>
      </c>
      <c r="E2">
        <v>5.2850000000000001</v>
      </c>
      <c r="F2">
        <v>197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28.504000000000001</v>
      </c>
      <c r="N2" s="35">
        <f t="shared" ref="N2:N13" ca="1" si="2">INDIRECT("D"&amp;1+(ROW(F1)-1)*10+COLUMN(C1)-1)</f>
        <v>28.504000000000001</v>
      </c>
      <c r="O2" s="35">
        <f t="shared" ref="O2:O13" ca="1" si="3">INDIRECT("D"&amp;1+(ROW(G1)-1)*10+COLUMN(D1)-1)</f>
        <v>28.504000000000001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28.545999999999999</v>
      </c>
      <c r="R2" s="35">
        <f t="shared" ref="R2:R13" ca="1" si="6">INDIRECT("D"&amp;1+(ROW(J1)-1)*10+COLUMN(G1)-1)</f>
        <v>28.504000000000001</v>
      </c>
      <c r="S2" s="35">
        <f t="shared" ref="S2:S13" ca="1" si="7">INDIRECT("D"&amp;1+(ROW(K1)-1)*10+COLUMN(H1)-1)</f>
        <v>28.504000000000001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28.524999999999999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0</v>
      </c>
      <c r="AD2" s="35">
        <f t="shared" ref="AD2:AD19" ca="1" si="13">(N2-$Y2)/$Y2</f>
        <v>0</v>
      </c>
      <c r="AE2" s="35">
        <f t="shared" ref="AE2:AE19" ca="1" si="14">(O2-$Y2)/$Y2</f>
        <v>0</v>
      </c>
      <c r="AF2" s="35">
        <f t="shared" ref="AF2:AF19" ca="1" si="15">(P2-$Y2)/$Y2</f>
        <v>1.4734774066796953E-3</v>
      </c>
      <c r="AG2" s="35">
        <f t="shared" ref="AG2:AG19" ca="1" si="16">(Q2-$Y2)/$Y2</f>
        <v>1.4734774066796953E-3</v>
      </c>
      <c r="AH2" s="35">
        <f t="shared" ref="AH2:AH19" ca="1" si="17">(R2-$Y2)/$Y2</f>
        <v>0</v>
      </c>
      <c r="AI2" s="35">
        <f t="shared" ref="AI2:AI19" ca="1" si="18">(S2-$Y2)/$Y2</f>
        <v>0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7.3673870333984762E-3</v>
      </c>
    </row>
    <row r="3" spans="1:39" x14ac:dyDescent="0.3">
      <c r="A3" t="s">
        <v>17</v>
      </c>
      <c r="B3">
        <v>25</v>
      </c>
      <c r="C3">
        <v>1</v>
      </c>
      <c r="D3">
        <v>28.504000000000001</v>
      </c>
      <c r="E3">
        <v>5.2809999999999997</v>
      </c>
      <c r="F3">
        <v>215</v>
      </c>
      <c r="H3" s="35" t="s">
        <v>17</v>
      </c>
      <c r="I3" s="35">
        <v>50</v>
      </c>
      <c r="J3" s="35">
        <v>1</v>
      </c>
      <c r="L3" s="35">
        <f t="shared" ca="1" si="0"/>
        <v>52.957000000000001</v>
      </c>
      <c r="M3" s="35">
        <f t="shared" ca="1" si="1"/>
        <v>53.017000000000003</v>
      </c>
      <c r="N3" s="35">
        <f t="shared" ca="1" si="2"/>
        <v>52.976999999999997</v>
      </c>
      <c r="O3" s="35">
        <f t="shared" ca="1" si="3"/>
        <v>52.957000000000001</v>
      </c>
      <c r="P3" s="35">
        <f t="shared" ca="1" si="4"/>
        <v>52.976999999999997</v>
      </c>
      <c r="Q3" s="35">
        <f t="shared" ca="1" si="5"/>
        <v>53.017000000000003</v>
      </c>
      <c r="R3" s="35">
        <f t="shared" ca="1" si="6"/>
        <v>53.067</v>
      </c>
      <c r="S3" s="35">
        <f t="shared" ca="1" si="7"/>
        <v>52.957999999999998</v>
      </c>
      <c r="T3" s="35">
        <f t="shared" ca="1" si="8"/>
        <v>53.036999999999999</v>
      </c>
      <c r="U3" s="35">
        <f t="shared" ca="1" si="9"/>
        <v>52.957000000000001</v>
      </c>
      <c r="W3" s="35">
        <f t="shared" ca="1" si="10"/>
        <v>52.992100000000008</v>
      </c>
      <c r="Y3" s="35">
        <f ca="1">Total!E3</f>
        <v>52.927</v>
      </c>
      <c r="AB3" s="35">
        <f t="shared" ca="1" si="11"/>
        <v>5.6681844805111072E-4</v>
      </c>
      <c r="AC3" s="35">
        <f t="shared" ca="1" si="12"/>
        <v>1.7004553441533322E-3</v>
      </c>
      <c r="AD3" s="35">
        <f t="shared" ca="1" si="13"/>
        <v>9.4469741341842838E-4</v>
      </c>
      <c r="AE3" s="35">
        <f t="shared" ca="1" si="14"/>
        <v>5.6681844805111072E-4</v>
      </c>
      <c r="AF3" s="35">
        <f t="shared" ca="1" si="15"/>
        <v>9.4469741341842838E-4</v>
      </c>
      <c r="AG3" s="35">
        <f t="shared" ca="1" si="16"/>
        <v>1.7004553441533322E-3</v>
      </c>
      <c r="AH3" s="35">
        <f t="shared" ca="1" si="17"/>
        <v>2.6451527575717605E-3</v>
      </c>
      <c r="AI3" s="35">
        <f t="shared" ca="1" si="18"/>
        <v>5.8571239631943631E-4</v>
      </c>
      <c r="AJ3" s="35">
        <f t="shared" ca="1" si="19"/>
        <v>2.0783343095206498E-3</v>
      </c>
      <c r="AK3" s="35">
        <f t="shared" ca="1" si="20"/>
        <v>5.6681844805111072E-4</v>
      </c>
      <c r="AM3" s="35">
        <f t="shared" ca="1" si="21"/>
        <v>1.2299960322708699E-2</v>
      </c>
    </row>
    <row r="4" spans="1:39" x14ac:dyDescent="0.3">
      <c r="A4" t="s">
        <v>17</v>
      </c>
      <c r="B4">
        <v>25</v>
      </c>
      <c r="C4">
        <v>1</v>
      </c>
      <c r="D4">
        <v>28.504000000000001</v>
      </c>
      <c r="E4">
        <v>5.29</v>
      </c>
      <c r="F4">
        <v>204</v>
      </c>
      <c r="H4" s="35" t="s">
        <v>17</v>
      </c>
      <c r="I4" s="35">
        <v>100</v>
      </c>
      <c r="J4" s="35">
        <v>1</v>
      </c>
      <c r="L4" s="35">
        <f t="shared" ca="1" si="0"/>
        <v>103.285</v>
      </c>
      <c r="M4" s="35">
        <f t="shared" ca="1" si="1"/>
        <v>103.29900000000001</v>
      </c>
      <c r="N4" s="35">
        <f t="shared" ca="1" si="2"/>
        <v>103.259</v>
      </c>
      <c r="O4" s="35">
        <f t="shared" ca="1" si="3"/>
        <v>103.282</v>
      </c>
      <c r="P4" s="35">
        <f t="shared" ca="1" si="4"/>
        <v>103.254</v>
      </c>
      <c r="Q4" s="35">
        <f t="shared" ca="1" si="5"/>
        <v>103.19499999999999</v>
      </c>
      <c r="R4" s="35">
        <f t="shared" ca="1" si="6"/>
        <v>103.218</v>
      </c>
      <c r="S4" s="35">
        <f t="shared" ca="1" si="7"/>
        <v>103.172</v>
      </c>
      <c r="T4" s="35">
        <f t="shared" ca="1" si="8"/>
        <v>103.342</v>
      </c>
      <c r="U4" s="35">
        <f t="shared" ca="1" si="9"/>
        <v>103.27800000000001</v>
      </c>
      <c r="W4" s="35">
        <f t="shared" ca="1" si="10"/>
        <v>103.25840000000001</v>
      </c>
      <c r="Y4" s="35">
        <f ca="1">Total!E4</f>
        <v>102.80200000000001</v>
      </c>
      <c r="AB4" s="35">
        <f t="shared" ca="1" si="11"/>
        <v>4.6983521721366299E-3</v>
      </c>
      <c r="AC4" s="35">
        <f t="shared" ca="1" si="12"/>
        <v>4.8345362930682272E-3</v>
      </c>
      <c r="AD4" s="35">
        <f t="shared" ca="1" si="13"/>
        <v>4.4454388046924536E-3</v>
      </c>
      <c r="AE4" s="35">
        <f t="shared" ca="1" si="14"/>
        <v>4.6691698605084509E-3</v>
      </c>
      <c r="AF4" s="35">
        <f t="shared" ca="1" si="15"/>
        <v>4.3968016186455338E-3</v>
      </c>
      <c r="AG4" s="35">
        <f t="shared" ca="1" si="16"/>
        <v>3.8228828232912439E-3</v>
      </c>
      <c r="AH4" s="35">
        <f t="shared" ca="1" si="17"/>
        <v>4.046613879107379E-3</v>
      </c>
      <c r="AI4" s="35">
        <f t="shared" ca="1" si="18"/>
        <v>3.5991517674752466E-3</v>
      </c>
      <c r="AJ4" s="35">
        <f t="shared" ca="1" si="19"/>
        <v>5.2528160930720418E-3</v>
      </c>
      <c r="AK4" s="35">
        <f t="shared" ca="1" si="20"/>
        <v>4.63026011167097E-3</v>
      </c>
      <c r="AM4" s="35">
        <f t="shared" ca="1" si="21"/>
        <v>4.4396023423668177E-2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5.298</v>
      </c>
      <c r="F5">
        <v>180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28.545999999999999</v>
      </c>
      <c r="E6">
        <v>5.2930000000000001</v>
      </c>
      <c r="F6">
        <v>166</v>
      </c>
      <c r="H6" s="35" t="s">
        <v>18</v>
      </c>
      <c r="I6" s="35">
        <v>50</v>
      </c>
      <c r="J6" s="35">
        <v>1</v>
      </c>
      <c r="L6" s="35">
        <f t="shared" ca="1" si="0"/>
        <v>180.87100000000001</v>
      </c>
      <c r="M6" s="35">
        <f t="shared" ca="1" si="1"/>
        <v>179.93799999999999</v>
      </c>
      <c r="N6" s="35">
        <f t="shared" ca="1" si="2"/>
        <v>179.953</v>
      </c>
      <c r="O6" s="35">
        <f t="shared" ca="1" si="3"/>
        <v>179.93799999999999</v>
      </c>
      <c r="P6" s="35">
        <f t="shared" ca="1" si="4"/>
        <v>179.93799999999999</v>
      </c>
      <c r="Q6" s="35">
        <f t="shared" ca="1" si="5"/>
        <v>179.953</v>
      </c>
      <c r="R6" s="35">
        <f t="shared" ca="1" si="6"/>
        <v>180.685</v>
      </c>
      <c r="S6" s="35">
        <f t="shared" ca="1" si="7"/>
        <v>181.59700000000001</v>
      </c>
      <c r="T6" s="35">
        <f t="shared" ca="1" si="8"/>
        <v>179.93799999999999</v>
      </c>
      <c r="U6" s="35">
        <f t="shared" ca="1" si="9"/>
        <v>180.87100000000001</v>
      </c>
      <c r="W6" s="35">
        <f t="shared" ca="1" si="10"/>
        <v>180.36819999999997</v>
      </c>
      <c r="Y6" s="35">
        <f ca="1">Total!E6</f>
        <v>179.673</v>
      </c>
      <c r="AB6" s="35">
        <f t="shared" ca="1" si="11"/>
        <v>6.667668486639659E-3</v>
      </c>
      <c r="AC6" s="35">
        <f t="shared" ca="1" si="12"/>
        <v>1.4749016268442469E-3</v>
      </c>
      <c r="AD6" s="35">
        <f t="shared" ca="1" si="13"/>
        <v>1.5583866245902341E-3</v>
      </c>
      <c r="AE6" s="35">
        <f t="shared" ca="1" si="14"/>
        <v>1.4749016268442469E-3</v>
      </c>
      <c r="AF6" s="35">
        <f t="shared" ca="1" si="15"/>
        <v>1.4749016268442469E-3</v>
      </c>
      <c r="AG6" s="35">
        <f t="shared" ca="1" si="16"/>
        <v>1.5583866245902341E-3</v>
      </c>
      <c r="AH6" s="35">
        <f t="shared" ca="1" si="17"/>
        <v>5.6324545145903975E-3</v>
      </c>
      <c r="AI6" s="35">
        <f t="shared" ca="1" si="18"/>
        <v>1.0708342377541459E-2</v>
      </c>
      <c r="AJ6" s="35">
        <f t="shared" ca="1" si="19"/>
        <v>1.4749016268442469E-3</v>
      </c>
      <c r="AK6" s="35">
        <f t="shared" ca="1" si="20"/>
        <v>6.667668486639659E-3</v>
      </c>
      <c r="AM6" s="35">
        <f t="shared" ca="1" si="21"/>
        <v>3.8692513621968634E-2</v>
      </c>
    </row>
    <row r="7" spans="1:39" x14ac:dyDescent="0.3">
      <c r="A7" t="s">
        <v>17</v>
      </c>
      <c r="B7">
        <v>25</v>
      </c>
      <c r="C7">
        <v>1</v>
      </c>
      <c r="D7">
        <v>28.504000000000001</v>
      </c>
      <c r="E7">
        <v>5.306</v>
      </c>
      <c r="F7">
        <v>166</v>
      </c>
      <c r="H7" s="35" t="s">
        <v>18</v>
      </c>
      <c r="I7" s="35">
        <v>100</v>
      </c>
      <c r="J7" s="35">
        <v>1</v>
      </c>
      <c r="L7" s="35">
        <f t="shared" ca="1" si="0"/>
        <v>239.684</v>
      </c>
      <c r="M7" s="35">
        <f t="shared" ca="1" si="1"/>
        <v>239.143</v>
      </c>
      <c r="N7" s="35">
        <f t="shared" ca="1" si="2"/>
        <v>239.22</v>
      </c>
      <c r="O7" s="35">
        <f t="shared" ca="1" si="3"/>
        <v>239.24700000000001</v>
      </c>
      <c r="P7" s="35">
        <f t="shared" ca="1" si="4"/>
        <v>239.32</v>
      </c>
      <c r="Q7" s="35">
        <f t="shared" ca="1" si="5"/>
        <v>239.453</v>
      </c>
      <c r="R7" s="35">
        <f t="shared" ca="1" si="6"/>
        <v>239.374</v>
      </c>
      <c r="S7" s="35">
        <f t="shared" ca="1" si="7"/>
        <v>239.06399999999999</v>
      </c>
      <c r="T7" s="35">
        <f t="shared" ca="1" si="8"/>
        <v>239.39699999999999</v>
      </c>
      <c r="U7" s="35">
        <f t="shared" ca="1" si="9"/>
        <v>239.107</v>
      </c>
      <c r="W7" s="35">
        <f t="shared" ca="1" si="10"/>
        <v>239.30090000000001</v>
      </c>
      <c r="Y7" s="35">
        <f ca="1">Total!E7</f>
        <v>238.86699999999999</v>
      </c>
      <c r="AB7" s="35">
        <f t="shared" ca="1" si="11"/>
        <v>3.420313396157725E-3</v>
      </c>
      <c r="AC7" s="35">
        <f t="shared" ca="1" si="12"/>
        <v>1.155454709105948E-3</v>
      </c>
      <c r="AD7" s="35">
        <f t="shared" ca="1" si="13"/>
        <v>1.4778098272260657E-3</v>
      </c>
      <c r="AE7" s="35">
        <f t="shared" ca="1" si="14"/>
        <v>1.5908434400734462E-3</v>
      </c>
      <c r="AF7" s="35">
        <f t="shared" ca="1" si="15"/>
        <v>1.8964528377716594E-3</v>
      </c>
      <c r="AG7" s="35">
        <f t="shared" ca="1" si="16"/>
        <v>2.4532480417973714E-3</v>
      </c>
      <c r="AH7" s="35">
        <f t="shared" ca="1" si="17"/>
        <v>2.1225200634663014E-3</v>
      </c>
      <c r="AI7" s="35">
        <f t="shared" ca="1" si="18"/>
        <v>8.247267307748778E-4</v>
      </c>
      <c r="AJ7" s="35">
        <f t="shared" ca="1" si="19"/>
        <v>2.2188079558917773E-3</v>
      </c>
      <c r="AK7" s="35">
        <f t="shared" ca="1" si="20"/>
        <v>1.00474322530952E-3</v>
      </c>
      <c r="AM7" s="35">
        <f t="shared" ca="1" si="21"/>
        <v>1.8164920227574693E-2</v>
      </c>
    </row>
    <row r="8" spans="1:39" x14ac:dyDescent="0.3">
      <c r="A8" t="s">
        <v>17</v>
      </c>
      <c r="B8">
        <v>25</v>
      </c>
      <c r="C8">
        <v>1</v>
      </c>
      <c r="D8">
        <v>28.504000000000001</v>
      </c>
      <c r="E8">
        <v>5.31</v>
      </c>
      <c r="F8">
        <v>189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5.2779999999999996</v>
      </c>
      <c r="F9">
        <v>196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5.2830000000000004</v>
      </c>
      <c r="F10">
        <v>184</v>
      </c>
      <c r="H10" s="35" t="s">
        <v>19</v>
      </c>
      <c r="I10" s="35">
        <v>100</v>
      </c>
      <c r="J10" s="35">
        <v>1</v>
      </c>
      <c r="L10" s="35">
        <f t="shared" ca="1" si="0"/>
        <v>35237.345999999998</v>
      </c>
      <c r="M10" s="35">
        <f t="shared" ca="1" si="1"/>
        <v>35239.002999999997</v>
      </c>
      <c r="N10" s="35">
        <f t="shared" ca="1" si="2"/>
        <v>35218.18</v>
      </c>
      <c r="O10" s="35">
        <f t="shared" ca="1" si="3"/>
        <v>35235.962</v>
      </c>
      <c r="P10" s="35">
        <f t="shared" ca="1" si="4"/>
        <v>35230.637000000002</v>
      </c>
      <c r="Q10" s="35">
        <f t="shared" ca="1" si="5"/>
        <v>35247.724999999999</v>
      </c>
      <c r="R10" s="35">
        <f t="shared" ca="1" si="6"/>
        <v>35218.506000000001</v>
      </c>
      <c r="S10" s="35">
        <f t="shared" ca="1" si="7"/>
        <v>35261.326000000001</v>
      </c>
      <c r="T10" s="35">
        <f t="shared" ca="1" si="8"/>
        <v>35235.597999999998</v>
      </c>
      <c r="U10" s="35">
        <f t="shared" ca="1" si="9"/>
        <v>35251.82</v>
      </c>
      <c r="W10" s="35">
        <f t="shared" ca="1" si="10"/>
        <v>35237.610299999993</v>
      </c>
      <c r="Y10" s="35">
        <f ca="1">Total!E10</f>
        <v>35210.383000000002</v>
      </c>
      <c r="AB10" s="35">
        <f t="shared" ca="1" si="11"/>
        <v>7.6576843824720958E-4</v>
      </c>
      <c r="AC10" s="35">
        <f t="shared" ca="1" si="12"/>
        <v>8.1282842052571086E-4</v>
      </c>
      <c r="AD10" s="35">
        <f t="shared" ca="1" si="13"/>
        <v>2.2144036320191862E-4</v>
      </c>
      <c r="AE10" s="35">
        <f t="shared" ca="1" si="14"/>
        <v>7.2646185075572463E-4</v>
      </c>
      <c r="AF10" s="35">
        <f t="shared" ca="1" si="15"/>
        <v>5.7522805133931128E-4</v>
      </c>
      <c r="AG10" s="35">
        <f t="shared" ca="1" si="16"/>
        <v>1.060539443720249E-3</v>
      </c>
      <c r="AH10" s="35">
        <f t="shared" ca="1" si="17"/>
        <v>2.3069899580472022E-4</v>
      </c>
      <c r="AI10" s="35">
        <f t="shared" ca="1" si="18"/>
        <v>1.4468175481078776E-3</v>
      </c>
      <c r="AJ10" s="35">
        <f t="shared" ca="1" si="19"/>
        <v>7.1612399103970293E-4</v>
      </c>
      <c r="AK10" s="35">
        <f t="shared" ca="1" si="20"/>
        <v>1.1768403655250804E-3</v>
      </c>
      <c r="AM10" s="35">
        <f t="shared" ca="1" si="21"/>
        <v>7.7327474682675045E-3</v>
      </c>
    </row>
    <row r="11" spans="1:39" x14ac:dyDescent="0.3">
      <c r="A11" t="s">
        <v>17</v>
      </c>
      <c r="B11">
        <v>50</v>
      </c>
      <c r="C11">
        <v>1</v>
      </c>
      <c r="D11">
        <v>52.957000000000001</v>
      </c>
      <c r="E11">
        <v>19.568000000000001</v>
      </c>
      <c r="F11">
        <v>246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658.23299999999995</v>
      </c>
      <c r="N11" s="35">
        <f t="shared" ca="1" si="2"/>
        <v>658.23299999999995</v>
      </c>
      <c r="O11" s="35">
        <f t="shared" ca="1" si="3"/>
        <v>657.35599999999999</v>
      </c>
      <c r="P11" s="35">
        <f t="shared" ca="1" si="4"/>
        <v>657.35599999999999</v>
      </c>
      <c r="Q11" s="35">
        <f t="shared" ca="1" si="5"/>
        <v>657.35599999999999</v>
      </c>
      <c r="R11" s="35">
        <f t="shared" ca="1" si="6"/>
        <v>657.35599999999999</v>
      </c>
      <c r="S11" s="35">
        <f t="shared" ca="1" si="7"/>
        <v>657.29200000000003</v>
      </c>
      <c r="T11" s="35">
        <f t="shared" ca="1" si="8"/>
        <v>657.35599999999999</v>
      </c>
      <c r="U11" s="35">
        <f t="shared" ca="1" si="9"/>
        <v>657.33</v>
      </c>
      <c r="W11" s="35">
        <f t="shared" ca="1" si="10"/>
        <v>657.52239999999995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4.2229562219186613E-3</v>
      </c>
      <c r="AD11" s="35">
        <f t="shared" ca="1" si="13"/>
        <v>4.2229562219186613E-3</v>
      </c>
      <c r="AE11" s="35">
        <f t="shared" ca="1" si="14"/>
        <v>2.8849747888902728E-3</v>
      </c>
      <c r="AF11" s="35">
        <f t="shared" ca="1" si="15"/>
        <v>2.8849747888902728E-3</v>
      </c>
      <c r="AG11" s="35">
        <f t="shared" ca="1" si="16"/>
        <v>2.8849747888902728E-3</v>
      </c>
      <c r="AH11" s="35">
        <f t="shared" ca="1" si="17"/>
        <v>2.8849747888902728E-3</v>
      </c>
      <c r="AI11" s="35">
        <f t="shared" ca="1" si="18"/>
        <v>2.7873341826031872E-3</v>
      </c>
      <c r="AJ11" s="35">
        <f t="shared" ca="1" si="19"/>
        <v>2.8849747888902728E-3</v>
      </c>
      <c r="AK11" s="35">
        <f t="shared" ca="1" si="20"/>
        <v>2.8453082925861931E-3</v>
      </c>
      <c r="AM11" s="35">
        <f t="shared" ca="1" si="21"/>
        <v>3.1388403652368342E-2</v>
      </c>
    </row>
    <row r="12" spans="1:39" x14ac:dyDescent="0.3">
      <c r="A12" t="s">
        <v>17</v>
      </c>
      <c r="B12">
        <v>50</v>
      </c>
      <c r="C12">
        <v>1</v>
      </c>
      <c r="D12">
        <v>53.017000000000003</v>
      </c>
      <c r="E12">
        <v>19.613</v>
      </c>
      <c r="F12">
        <v>250</v>
      </c>
      <c r="H12" s="35" t="s">
        <v>20</v>
      </c>
      <c r="I12" s="35">
        <v>50</v>
      </c>
      <c r="J12" s="35">
        <v>1</v>
      </c>
      <c r="L12" s="35">
        <f t="shared" ca="1" si="0"/>
        <v>992.70799999999997</v>
      </c>
      <c r="M12" s="35">
        <f t="shared" ca="1" si="1"/>
        <v>993.97699999999998</v>
      </c>
      <c r="N12" s="35">
        <f t="shared" ca="1" si="2"/>
        <v>995.375</v>
      </c>
      <c r="O12" s="35">
        <f t="shared" ca="1" si="3"/>
        <v>996.27200000000005</v>
      </c>
      <c r="P12" s="35">
        <f t="shared" ca="1" si="4"/>
        <v>994.995</v>
      </c>
      <c r="Q12" s="35">
        <f t="shared" ca="1" si="5"/>
        <v>993.38400000000001</v>
      </c>
      <c r="R12" s="35">
        <f t="shared" ca="1" si="6"/>
        <v>991.101</v>
      </c>
      <c r="S12" s="35">
        <f t="shared" ca="1" si="7"/>
        <v>992.34900000000005</v>
      </c>
      <c r="T12" s="35">
        <f t="shared" ca="1" si="8"/>
        <v>994.726</v>
      </c>
      <c r="U12" s="35">
        <f t="shared" ca="1" si="9"/>
        <v>991.09100000000001</v>
      </c>
      <c r="W12" s="35">
        <f t="shared" ca="1" si="10"/>
        <v>993.59780000000012</v>
      </c>
      <c r="Y12" s="35">
        <f ca="1">Total!E12</f>
        <v>990.096</v>
      </c>
      <c r="AB12" s="35">
        <f t="shared" ca="1" si="11"/>
        <v>2.6381280199091464E-3</v>
      </c>
      <c r="AC12" s="35">
        <f t="shared" ca="1" si="12"/>
        <v>3.9198219162585972E-3</v>
      </c>
      <c r="AD12" s="35">
        <f t="shared" ca="1" si="13"/>
        <v>5.3318062086908707E-3</v>
      </c>
      <c r="AE12" s="35">
        <f t="shared" ca="1" si="14"/>
        <v>6.2377789628480923E-3</v>
      </c>
      <c r="AF12" s="35">
        <f t="shared" ca="1" si="15"/>
        <v>4.9480050419353286E-3</v>
      </c>
      <c r="AG12" s="35">
        <f t="shared" ca="1" si="16"/>
        <v>3.3208900955059013E-3</v>
      </c>
      <c r="AH12" s="35">
        <f t="shared" ca="1" si="17"/>
        <v>1.0150530857613762E-3</v>
      </c>
      <c r="AI12" s="35">
        <f t="shared" ca="1" si="18"/>
        <v>2.2755369176322726E-3</v>
      </c>
      <c r="AJ12" s="35">
        <f t="shared" ca="1" si="19"/>
        <v>4.6763142159952122E-3</v>
      </c>
      <c r="AK12" s="35">
        <f t="shared" ca="1" si="20"/>
        <v>1.0049530550572919E-3</v>
      </c>
      <c r="AM12" s="35">
        <f t="shared" ca="1" si="21"/>
        <v>3.5368287519594088E-2</v>
      </c>
    </row>
    <row r="13" spans="1:39" x14ac:dyDescent="0.3">
      <c r="A13" t="s">
        <v>17</v>
      </c>
      <c r="B13">
        <v>50</v>
      </c>
      <c r="C13">
        <v>1</v>
      </c>
      <c r="D13">
        <v>52.976999999999997</v>
      </c>
      <c r="E13">
        <v>19.602</v>
      </c>
      <c r="F13">
        <v>240</v>
      </c>
      <c r="H13" s="35" t="s">
        <v>20</v>
      </c>
      <c r="I13" s="35">
        <v>100</v>
      </c>
      <c r="J13" s="35">
        <v>1</v>
      </c>
      <c r="L13" s="35">
        <f t="shared" ca="1" si="0"/>
        <v>1755.9849999999999</v>
      </c>
      <c r="M13" s="35">
        <f t="shared" ca="1" si="1"/>
        <v>1755.7539999999999</v>
      </c>
      <c r="N13" s="35">
        <f t="shared" ca="1" si="2"/>
        <v>1756.1769999999999</v>
      </c>
      <c r="O13" s="35">
        <f t="shared" ca="1" si="3"/>
        <v>1757.9369999999999</v>
      </c>
      <c r="P13" s="35">
        <f t="shared" ca="1" si="4"/>
        <v>1755.902</v>
      </c>
      <c r="Q13" s="35">
        <f t="shared" ca="1" si="5"/>
        <v>1756.297</v>
      </c>
      <c r="R13" s="35">
        <f t="shared" ca="1" si="6"/>
        <v>1755.9970000000001</v>
      </c>
      <c r="S13" s="35">
        <f t="shared" ca="1" si="7"/>
        <v>1756.5530000000001</v>
      </c>
      <c r="T13" s="35">
        <f t="shared" ca="1" si="8"/>
        <v>1756.49</v>
      </c>
      <c r="U13" s="35">
        <f t="shared" ca="1" si="9"/>
        <v>1755.8920000000001</v>
      </c>
      <c r="W13" s="35">
        <f t="shared" ca="1" si="10"/>
        <v>1756.2984000000001</v>
      </c>
      <c r="Y13" s="35">
        <f ca="1">Total!E13</f>
        <v>1753.79</v>
      </c>
      <c r="AB13" s="35">
        <f t="shared" ca="1" si="11"/>
        <v>1.2515751600818436E-3</v>
      </c>
      <c r="AC13" s="35">
        <f t="shared" ca="1" si="12"/>
        <v>1.1198604165834803E-3</v>
      </c>
      <c r="AD13" s="35">
        <f t="shared" ca="1" si="13"/>
        <v>1.3610523494830874E-3</v>
      </c>
      <c r="AE13" s="35">
        <f t="shared" ca="1" si="14"/>
        <v>2.3645932523277784E-3</v>
      </c>
      <c r="AF13" s="35">
        <f t="shared" ca="1" si="15"/>
        <v>1.2042490834136812E-3</v>
      </c>
      <c r="AG13" s="35">
        <f t="shared" ca="1" si="16"/>
        <v>1.4294755928589294E-3</v>
      </c>
      <c r="AH13" s="35">
        <f t="shared" ca="1" si="17"/>
        <v>1.2584174844195186E-3</v>
      </c>
      <c r="AI13" s="35">
        <f t="shared" ca="1" si="18"/>
        <v>1.5754451787272977E-3</v>
      </c>
      <c r="AJ13" s="35">
        <f t="shared" ca="1" si="19"/>
        <v>1.5395229759549579E-3</v>
      </c>
      <c r="AK13" s="35">
        <f t="shared" ca="1" si="20"/>
        <v>1.1985471464657051E-3</v>
      </c>
      <c r="AM13" s="35">
        <f t="shared" ca="1" si="21"/>
        <v>1.4302738640316278E-2</v>
      </c>
    </row>
    <row r="14" spans="1:39" x14ac:dyDescent="0.3">
      <c r="A14" t="s">
        <v>17</v>
      </c>
      <c r="B14">
        <v>50</v>
      </c>
      <c r="C14">
        <v>1</v>
      </c>
      <c r="D14">
        <v>52.957000000000001</v>
      </c>
      <c r="E14">
        <v>19.594999999999999</v>
      </c>
      <c r="F14">
        <v>242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52.976999999999997</v>
      </c>
      <c r="E15">
        <v>19.567</v>
      </c>
      <c r="F15">
        <v>285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77.066999999999993</v>
      </c>
      <c r="M15" s="35">
        <f t="shared" ca="1" si="1"/>
        <v>76.668000000000006</v>
      </c>
      <c r="N15" s="35">
        <f t="shared" ca="1" si="1"/>
        <v>76.41</v>
      </c>
      <c r="O15" s="35">
        <f t="shared" ca="1" si="1"/>
        <v>76.804000000000002</v>
      </c>
      <c r="P15" s="35">
        <f t="shared" ca="1" si="1"/>
        <v>76.56</v>
      </c>
      <c r="Q15" s="35">
        <f t="shared" ca="1" si="1"/>
        <v>76.353999999999999</v>
      </c>
      <c r="R15" s="35">
        <f t="shared" ca="1" si="1"/>
        <v>76.516000000000005</v>
      </c>
      <c r="S15" s="35">
        <f t="shared" ca="1" si="1"/>
        <v>76.698999999999998</v>
      </c>
      <c r="T15" s="35">
        <f t="shared" ca="1" si="1"/>
        <v>76.793000000000006</v>
      </c>
      <c r="U15" s="35">
        <f t="shared" ca="1" si="1"/>
        <v>76.866</v>
      </c>
      <c r="W15" s="35">
        <f t="shared" ca="1" si="10"/>
        <v>76.673699999999997</v>
      </c>
      <c r="Y15" s="35">
        <f ca="1">Total!E15</f>
        <v>75.998000000000005</v>
      </c>
      <c r="AB15" s="35">
        <f t="shared" ca="1" si="11"/>
        <v>1.4066159635779736E-2</v>
      </c>
      <c r="AC15" s="35">
        <f t="shared" ca="1" si="12"/>
        <v>8.8160214742493449E-3</v>
      </c>
      <c r="AD15" s="35">
        <f t="shared" ca="1" si="13"/>
        <v>5.4211952946129098E-3</v>
      </c>
      <c r="AE15" s="35">
        <f t="shared" ca="1" si="14"/>
        <v>1.0605542251111837E-2</v>
      </c>
      <c r="AF15" s="35">
        <f t="shared" ca="1" si="15"/>
        <v>7.3949314455643254E-3</v>
      </c>
      <c r="AG15" s="35">
        <f t="shared" ca="1" si="16"/>
        <v>4.6843337982577764E-3</v>
      </c>
      <c r="AH15" s="35">
        <f t="shared" ca="1" si="17"/>
        <v>6.8159688412853057E-3</v>
      </c>
      <c r="AI15" s="35">
        <f t="shared" ca="1" si="18"/>
        <v>9.2239269454458452E-3</v>
      </c>
      <c r="AJ15" s="35">
        <f t="shared" ca="1" si="19"/>
        <v>1.0460801600042128E-2</v>
      </c>
      <c r="AK15" s="35">
        <f t="shared" ca="1" si="20"/>
        <v>1.1421353193505025E-2</v>
      </c>
      <c r="AM15" s="35">
        <f t="shared" ca="1" si="21"/>
        <v>8.8910234479854244E-2</v>
      </c>
    </row>
    <row r="16" spans="1:39" x14ac:dyDescent="0.3">
      <c r="A16" t="s">
        <v>17</v>
      </c>
      <c r="B16">
        <v>50</v>
      </c>
      <c r="C16">
        <v>1</v>
      </c>
      <c r="D16">
        <v>53.017000000000003</v>
      </c>
      <c r="E16">
        <v>19.559999999999999</v>
      </c>
      <c r="F16">
        <v>353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119.274</v>
      </c>
      <c r="M16" s="35">
        <f t="shared" ca="1" si="1"/>
        <v>119.146</v>
      </c>
      <c r="N16" s="35">
        <f t="shared" ca="1" si="1"/>
        <v>119.096</v>
      </c>
      <c r="O16" s="35">
        <f t="shared" ca="1" si="1"/>
        <v>119.27500000000001</v>
      </c>
      <c r="P16" s="35">
        <f t="shared" ca="1" si="1"/>
        <v>119.285</v>
      </c>
      <c r="Q16" s="35">
        <f t="shared" ca="1" si="1"/>
        <v>118.979</v>
      </c>
      <c r="R16" s="35">
        <f t="shared" ca="1" si="1"/>
        <v>118.605</v>
      </c>
      <c r="S16" s="35">
        <f t="shared" ca="1" si="1"/>
        <v>119.794</v>
      </c>
      <c r="T16" s="35">
        <f t="shared" ca="1" si="1"/>
        <v>119.453</v>
      </c>
      <c r="U16" s="35">
        <f t="shared" ca="1" si="1"/>
        <v>119.571</v>
      </c>
      <c r="W16" s="35">
        <f t="shared" ca="1" si="10"/>
        <v>119.24780000000001</v>
      </c>
      <c r="Y16" s="35">
        <f ca="1">Total!E16</f>
        <v>118.01</v>
      </c>
      <c r="AB16" s="35">
        <f t="shared" ca="1" si="11"/>
        <v>1.071095669858483E-2</v>
      </c>
      <c r="AC16" s="35">
        <f t="shared" ca="1" si="12"/>
        <v>9.6263028556901591E-3</v>
      </c>
      <c r="AD16" s="35">
        <f t="shared" ca="1" si="13"/>
        <v>9.2026099483094523E-3</v>
      </c>
      <c r="AE16" s="35">
        <f t="shared" ca="1" si="14"/>
        <v>1.0719430556732485E-2</v>
      </c>
      <c r="AF16" s="35">
        <f t="shared" ca="1" si="15"/>
        <v>1.0804169138208553E-2</v>
      </c>
      <c r="AG16" s="35">
        <f t="shared" ca="1" si="16"/>
        <v>8.2111685450385052E-3</v>
      </c>
      <c r="AH16" s="35">
        <f t="shared" ca="1" si="17"/>
        <v>5.0419455978306825E-3</v>
      </c>
      <c r="AI16" s="35">
        <f t="shared" ca="1" si="18"/>
        <v>1.5117362935344393E-2</v>
      </c>
      <c r="AJ16" s="35">
        <f t="shared" ca="1" si="19"/>
        <v>1.2227777307007862E-2</v>
      </c>
      <c r="AK16" s="35">
        <f t="shared" ca="1" si="20"/>
        <v>1.3227692568426343E-2</v>
      </c>
      <c r="AM16" s="35">
        <f t="shared" ca="1" si="21"/>
        <v>0.10488941615117327</v>
      </c>
    </row>
    <row r="17" spans="1:39" x14ac:dyDescent="0.3">
      <c r="A17" t="s">
        <v>17</v>
      </c>
      <c r="B17">
        <v>50</v>
      </c>
      <c r="C17">
        <v>1</v>
      </c>
      <c r="D17">
        <v>53.067</v>
      </c>
      <c r="E17">
        <v>19.57</v>
      </c>
      <c r="F17">
        <v>346</v>
      </c>
      <c r="H17" s="35" t="s">
        <v>34</v>
      </c>
      <c r="I17" s="35">
        <v>40</v>
      </c>
      <c r="J17" s="35">
        <v>1</v>
      </c>
      <c r="L17" s="35">
        <f t="shared" ca="1" si="22"/>
        <v>16.616</v>
      </c>
      <c r="M17" s="35">
        <f t="shared" ca="1" si="1"/>
        <v>16.481999999999999</v>
      </c>
      <c r="N17" s="35">
        <f t="shared" ca="1" si="1"/>
        <v>16.78</v>
      </c>
      <c r="O17" s="35">
        <f t="shared" ca="1" si="1"/>
        <v>16.623000000000001</v>
      </c>
      <c r="P17" s="35">
        <f t="shared" ca="1" si="1"/>
        <v>16.821999999999999</v>
      </c>
      <c r="Q17" s="35">
        <f t="shared" ca="1" si="1"/>
        <v>16.762</v>
      </c>
      <c r="R17" s="35">
        <f t="shared" ca="1" si="1"/>
        <v>16.75</v>
      </c>
      <c r="S17" s="35">
        <f t="shared" ca="1" si="1"/>
        <v>16.616</v>
      </c>
      <c r="T17" s="35">
        <f t="shared" ca="1" si="1"/>
        <v>16.600999999999999</v>
      </c>
      <c r="U17" s="35">
        <f t="shared" ca="1" si="1"/>
        <v>16.515000000000001</v>
      </c>
      <c r="W17" s="35">
        <f t="shared" ca="1" si="10"/>
        <v>16.656700000000001</v>
      </c>
      <c r="Y17" s="35">
        <f ca="1">Total!E17</f>
        <v>16.481999999999999</v>
      </c>
      <c r="AB17" s="35">
        <f t="shared" ca="1" si="11"/>
        <v>8.1300813008130298E-3</v>
      </c>
      <c r="AC17" s="35">
        <f t="shared" ca="1" si="12"/>
        <v>0</v>
      </c>
      <c r="AD17" s="35">
        <f t="shared" ca="1" si="13"/>
        <v>1.8080330057032024E-2</v>
      </c>
      <c r="AE17" s="35">
        <f t="shared" ca="1" si="14"/>
        <v>8.5547870404078259E-3</v>
      </c>
      <c r="AF17" s="35">
        <f t="shared" ca="1" si="15"/>
        <v>2.0628564494600161E-2</v>
      </c>
      <c r="AG17" s="35">
        <f t="shared" ca="1" si="16"/>
        <v>1.6988229583788445E-2</v>
      </c>
      <c r="AH17" s="35">
        <f t="shared" ca="1" si="17"/>
        <v>1.626016260162606E-2</v>
      </c>
      <c r="AI17" s="35">
        <f t="shared" ca="1" si="18"/>
        <v>8.1300813008130298E-3</v>
      </c>
      <c r="AJ17" s="35">
        <f t="shared" ca="1" si="19"/>
        <v>7.2199975731100461E-3</v>
      </c>
      <c r="AK17" s="35">
        <f t="shared" ca="1" si="20"/>
        <v>2.0021842009465629E-3</v>
      </c>
      <c r="AM17" s="35">
        <f t="shared" ca="1" si="21"/>
        <v>0.10599441815313719</v>
      </c>
    </row>
    <row r="18" spans="1:39" x14ac:dyDescent="0.3">
      <c r="A18" t="s">
        <v>17</v>
      </c>
      <c r="B18">
        <v>50</v>
      </c>
      <c r="C18">
        <v>1</v>
      </c>
      <c r="D18">
        <v>52.957999999999998</v>
      </c>
      <c r="E18">
        <v>19.576000000000001</v>
      </c>
      <c r="F18">
        <v>248</v>
      </c>
      <c r="H18" s="35" t="s">
        <v>34</v>
      </c>
      <c r="I18" s="35">
        <v>96</v>
      </c>
      <c r="J18" s="35">
        <v>1</v>
      </c>
      <c r="L18" s="35">
        <f t="shared" ca="1" si="22"/>
        <v>35.176000000000002</v>
      </c>
      <c r="M18" s="35">
        <f t="shared" ca="1" si="22"/>
        <v>35.207000000000001</v>
      </c>
      <c r="N18" s="35">
        <f t="shared" ca="1" si="22"/>
        <v>35.19</v>
      </c>
      <c r="O18" s="35">
        <f t="shared" ca="1" si="22"/>
        <v>35.167999999999999</v>
      </c>
      <c r="P18" s="35">
        <f t="shared" ca="1" si="22"/>
        <v>35.155000000000001</v>
      </c>
      <c r="Q18" s="35">
        <f t="shared" ca="1" si="22"/>
        <v>35.151000000000003</v>
      </c>
      <c r="R18" s="35">
        <f t="shared" ca="1" si="22"/>
        <v>35.183</v>
      </c>
      <c r="S18" s="35">
        <f t="shared" ca="1" si="22"/>
        <v>35.116</v>
      </c>
      <c r="T18" s="35">
        <f t="shared" ca="1" si="22"/>
        <v>35.151000000000003</v>
      </c>
      <c r="U18" s="35">
        <f t="shared" ca="1" si="22"/>
        <v>35.128</v>
      </c>
      <c r="W18" s="35">
        <f t="shared" ca="1" si="10"/>
        <v>35.162500000000001</v>
      </c>
      <c r="Y18" s="35">
        <f ca="1">Total!E18</f>
        <v>35.069000000000003</v>
      </c>
      <c r="AB18" s="35">
        <f t="shared" ca="1" si="11"/>
        <v>3.0511277766688332E-3</v>
      </c>
      <c r="AC18" s="35">
        <f t="shared" ca="1" si="12"/>
        <v>3.9350993755167844E-3</v>
      </c>
      <c r="AD18" s="35">
        <f t="shared" ca="1" si="13"/>
        <v>3.4503407567936096E-3</v>
      </c>
      <c r="AE18" s="35">
        <f t="shared" ca="1" si="14"/>
        <v>2.8230060737402447E-3</v>
      </c>
      <c r="AF18" s="35">
        <f t="shared" ca="1" si="15"/>
        <v>2.4523083064814655E-3</v>
      </c>
      <c r="AG18" s="35">
        <f t="shared" ca="1" si="16"/>
        <v>2.3382474550172725E-3</v>
      </c>
      <c r="AH18" s="35">
        <f t="shared" ca="1" si="17"/>
        <v>3.2507342667312217E-3</v>
      </c>
      <c r="AI18" s="35">
        <f t="shared" ca="1" si="18"/>
        <v>1.3402150047049258E-3</v>
      </c>
      <c r="AJ18" s="35">
        <f t="shared" ca="1" si="19"/>
        <v>2.3382474550172725E-3</v>
      </c>
      <c r="AK18" s="35">
        <f t="shared" ca="1" si="20"/>
        <v>1.6823975590977071E-3</v>
      </c>
      <c r="AM18" s="35">
        <f t="shared" ca="1" si="21"/>
        <v>2.6661724029769338E-2</v>
      </c>
    </row>
    <row r="19" spans="1:39" x14ac:dyDescent="0.3">
      <c r="A19" t="s">
        <v>17</v>
      </c>
      <c r="B19">
        <v>50</v>
      </c>
      <c r="C19">
        <v>1</v>
      </c>
      <c r="D19">
        <v>53.036999999999999</v>
      </c>
      <c r="E19">
        <v>19.599</v>
      </c>
      <c r="F19">
        <v>236</v>
      </c>
      <c r="H19" s="35" t="s">
        <v>34</v>
      </c>
      <c r="I19" s="35">
        <v>224</v>
      </c>
      <c r="J19" s="35">
        <v>1</v>
      </c>
      <c r="L19" s="35">
        <f t="shared" ca="1" si="22"/>
        <v>71.938999999999993</v>
      </c>
      <c r="M19" s="35">
        <f t="shared" ca="1" si="22"/>
        <v>72.007999999999996</v>
      </c>
      <c r="N19" s="35">
        <f t="shared" ca="1" si="22"/>
        <v>71.927000000000007</v>
      </c>
      <c r="O19" s="35">
        <f t="shared" ca="1" si="22"/>
        <v>71.915000000000006</v>
      </c>
      <c r="P19" s="35">
        <f t="shared" ca="1" si="22"/>
        <v>71.921000000000006</v>
      </c>
      <c r="Q19" s="35">
        <f t="shared" ca="1" si="22"/>
        <v>71.927999999999997</v>
      </c>
      <c r="R19" s="35">
        <f t="shared" ca="1" si="22"/>
        <v>71.924000000000007</v>
      </c>
      <c r="S19" s="35">
        <f t="shared" ca="1" si="22"/>
        <v>71.915000000000006</v>
      </c>
      <c r="T19" s="35">
        <f t="shared" ca="1" si="22"/>
        <v>71.992999999999995</v>
      </c>
      <c r="U19" s="35">
        <f t="shared" ca="1" si="22"/>
        <v>71.951999999999998</v>
      </c>
      <c r="W19" s="35">
        <f t="shared" ca="1" si="10"/>
        <v>71.9422</v>
      </c>
      <c r="Y19" s="35">
        <f ca="1">Total!E19</f>
        <v>71.908000000000001</v>
      </c>
      <c r="AB19" s="35">
        <f t="shared" ca="1" si="11"/>
        <v>4.3110641375078852E-4</v>
      </c>
      <c r="AC19" s="35">
        <f t="shared" ca="1" si="12"/>
        <v>1.3906658508092884E-3</v>
      </c>
      <c r="AD19" s="35">
        <f t="shared" ca="1" si="13"/>
        <v>2.6422651165385573E-4</v>
      </c>
      <c r="AE19" s="35">
        <f t="shared" ca="1" si="14"/>
        <v>9.7346609556725285E-5</v>
      </c>
      <c r="AF19" s="35">
        <f t="shared" ca="1" si="15"/>
        <v>1.8078656060529049E-4</v>
      </c>
      <c r="AG19" s="35">
        <f t="shared" ca="1" si="16"/>
        <v>2.7813317016181819E-4</v>
      </c>
      <c r="AH19" s="35">
        <f t="shared" ca="1" si="17"/>
        <v>2.2250653612957311E-4</v>
      </c>
      <c r="AI19" s="35">
        <f t="shared" ca="1" si="18"/>
        <v>9.7346609556725285E-5</v>
      </c>
      <c r="AJ19" s="35">
        <f t="shared" ca="1" si="19"/>
        <v>1.1820659731878755E-3</v>
      </c>
      <c r="AK19" s="35">
        <f t="shared" ca="1" si="20"/>
        <v>6.1189297435607906E-4</v>
      </c>
      <c r="AM19" s="35">
        <f t="shared" ca="1" si="21"/>
        <v>4.7560772097680198E-3</v>
      </c>
    </row>
    <row r="20" spans="1:39" x14ac:dyDescent="0.3">
      <c r="A20" t="s">
        <v>17</v>
      </c>
      <c r="B20">
        <v>50</v>
      </c>
      <c r="C20">
        <v>1</v>
      </c>
      <c r="D20">
        <v>52.957000000000001</v>
      </c>
      <c r="E20">
        <v>19.556000000000001</v>
      </c>
      <c r="F20">
        <v>243</v>
      </c>
    </row>
    <row r="21" spans="1:39" x14ac:dyDescent="0.3">
      <c r="A21" t="s">
        <v>17</v>
      </c>
      <c r="B21">
        <v>100</v>
      </c>
      <c r="C21">
        <v>1</v>
      </c>
      <c r="D21">
        <v>103.285</v>
      </c>
      <c r="E21">
        <v>102.218</v>
      </c>
      <c r="F21">
        <v>387</v>
      </c>
    </row>
    <row r="22" spans="1:39" x14ac:dyDescent="0.3">
      <c r="A22" t="s">
        <v>17</v>
      </c>
      <c r="B22">
        <v>100</v>
      </c>
      <c r="C22">
        <v>1</v>
      </c>
      <c r="D22">
        <v>103.29900000000001</v>
      </c>
      <c r="E22">
        <v>102.044</v>
      </c>
      <c r="F22">
        <v>382</v>
      </c>
    </row>
    <row r="23" spans="1:39" x14ac:dyDescent="0.3">
      <c r="A23" t="s">
        <v>17</v>
      </c>
      <c r="B23">
        <v>100</v>
      </c>
      <c r="C23">
        <v>1</v>
      </c>
      <c r="D23">
        <v>103.259</v>
      </c>
      <c r="E23">
        <v>102.021</v>
      </c>
      <c r="F23">
        <v>403</v>
      </c>
    </row>
    <row r="24" spans="1:39" x14ac:dyDescent="0.3">
      <c r="A24" t="s">
        <v>17</v>
      </c>
      <c r="B24">
        <v>100</v>
      </c>
      <c r="C24">
        <v>1</v>
      </c>
      <c r="D24">
        <v>103.282</v>
      </c>
      <c r="E24">
        <v>102.018</v>
      </c>
      <c r="F24">
        <v>434</v>
      </c>
    </row>
    <row r="25" spans="1:39" x14ac:dyDescent="0.3">
      <c r="A25" t="s">
        <v>17</v>
      </c>
      <c r="B25">
        <v>100</v>
      </c>
      <c r="C25">
        <v>1</v>
      </c>
      <c r="D25">
        <v>103.254</v>
      </c>
      <c r="E25">
        <v>102.05800000000001</v>
      </c>
      <c r="F25">
        <v>430</v>
      </c>
    </row>
    <row r="26" spans="1:39" x14ac:dyDescent="0.3">
      <c r="A26" t="s">
        <v>17</v>
      </c>
      <c r="B26">
        <v>100</v>
      </c>
      <c r="C26">
        <v>1</v>
      </c>
      <c r="D26">
        <v>103.19499999999999</v>
      </c>
      <c r="E26">
        <v>102.096</v>
      </c>
      <c r="F26">
        <v>396</v>
      </c>
    </row>
    <row r="27" spans="1:39" x14ac:dyDescent="0.3">
      <c r="A27" t="s">
        <v>17</v>
      </c>
      <c r="B27">
        <v>100</v>
      </c>
      <c r="C27">
        <v>1</v>
      </c>
      <c r="D27">
        <v>103.218</v>
      </c>
      <c r="E27">
        <v>101.996</v>
      </c>
      <c r="F27">
        <v>379</v>
      </c>
    </row>
    <row r="28" spans="1:39" x14ac:dyDescent="0.3">
      <c r="A28" t="s">
        <v>17</v>
      </c>
      <c r="B28">
        <v>100</v>
      </c>
      <c r="C28">
        <v>1</v>
      </c>
      <c r="D28">
        <v>103.172</v>
      </c>
      <c r="E28">
        <v>102.23099999999999</v>
      </c>
      <c r="F28">
        <v>379</v>
      </c>
    </row>
    <row r="29" spans="1:39" x14ac:dyDescent="0.3">
      <c r="A29" t="s">
        <v>17</v>
      </c>
      <c r="B29">
        <v>100</v>
      </c>
      <c r="C29">
        <v>1</v>
      </c>
      <c r="D29">
        <v>103.342</v>
      </c>
      <c r="E29">
        <v>102.04</v>
      </c>
      <c r="F29">
        <v>381</v>
      </c>
    </row>
    <row r="30" spans="1:39" x14ac:dyDescent="0.3">
      <c r="A30" t="s">
        <v>17</v>
      </c>
      <c r="B30">
        <v>100</v>
      </c>
      <c r="C30">
        <v>1</v>
      </c>
      <c r="D30">
        <v>103.27800000000001</v>
      </c>
      <c r="E30">
        <v>102.157</v>
      </c>
      <c r="F30">
        <v>377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8.0139999999999993</v>
      </c>
      <c r="F31">
        <v>224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7.9980000000000002</v>
      </c>
      <c r="F32">
        <v>225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8.0120000000000005</v>
      </c>
      <c r="F33">
        <v>257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8.0109999999999992</v>
      </c>
      <c r="F34">
        <v>228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8.032</v>
      </c>
      <c r="F35">
        <v>236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8.0020000000000007</v>
      </c>
      <c r="F36">
        <v>245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8.0150000000000006</v>
      </c>
      <c r="F37">
        <v>301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8.0090000000000003</v>
      </c>
      <c r="F38">
        <v>260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8.0009999999999994</v>
      </c>
      <c r="F39">
        <v>299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8.02</v>
      </c>
      <c r="F40">
        <v>245</v>
      </c>
    </row>
    <row r="41" spans="1:6" x14ac:dyDescent="0.3">
      <c r="A41" t="s">
        <v>18</v>
      </c>
      <c r="B41">
        <v>50</v>
      </c>
      <c r="C41">
        <v>1</v>
      </c>
      <c r="D41">
        <v>180.87100000000001</v>
      </c>
      <c r="E41">
        <v>22.42</v>
      </c>
      <c r="F41">
        <v>243</v>
      </c>
    </row>
    <row r="42" spans="1:6" x14ac:dyDescent="0.3">
      <c r="A42" t="s">
        <v>18</v>
      </c>
      <c r="B42">
        <v>50</v>
      </c>
      <c r="C42">
        <v>1</v>
      </c>
      <c r="D42">
        <v>179.93799999999999</v>
      </c>
      <c r="E42">
        <v>22.452999999999999</v>
      </c>
      <c r="F42">
        <v>242</v>
      </c>
    </row>
    <row r="43" spans="1:6" x14ac:dyDescent="0.3">
      <c r="A43" t="s">
        <v>18</v>
      </c>
      <c r="B43">
        <v>50</v>
      </c>
      <c r="C43">
        <v>1</v>
      </c>
      <c r="D43">
        <v>179.953</v>
      </c>
      <c r="E43">
        <v>22.491</v>
      </c>
      <c r="F43">
        <v>248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22.443999999999999</v>
      </c>
      <c r="F44">
        <v>245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22.42</v>
      </c>
      <c r="F45">
        <v>247</v>
      </c>
    </row>
    <row r="46" spans="1:6" x14ac:dyDescent="0.3">
      <c r="A46" t="s">
        <v>18</v>
      </c>
      <c r="B46">
        <v>50</v>
      </c>
      <c r="C46">
        <v>1</v>
      </c>
      <c r="D46">
        <v>179.953</v>
      </c>
      <c r="E46">
        <v>22.478000000000002</v>
      </c>
      <c r="F46">
        <v>246</v>
      </c>
    </row>
    <row r="47" spans="1:6" x14ac:dyDescent="0.3">
      <c r="A47" t="s">
        <v>18</v>
      </c>
      <c r="B47">
        <v>50</v>
      </c>
      <c r="C47">
        <v>1</v>
      </c>
      <c r="D47">
        <v>180.685</v>
      </c>
      <c r="E47">
        <v>22.433</v>
      </c>
      <c r="F47">
        <v>247</v>
      </c>
    </row>
    <row r="48" spans="1:6" x14ac:dyDescent="0.3">
      <c r="A48" t="s">
        <v>18</v>
      </c>
      <c r="B48">
        <v>50</v>
      </c>
      <c r="C48">
        <v>1</v>
      </c>
      <c r="D48">
        <v>181.59700000000001</v>
      </c>
      <c r="E48">
        <v>22.466999999999999</v>
      </c>
      <c r="F48">
        <v>244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22.45</v>
      </c>
      <c r="F49">
        <v>249</v>
      </c>
    </row>
    <row r="50" spans="1:6" x14ac:dyDescent="0.3">
      <c r="A50" t="s">
        <v>18</v>
      </c>
      <c r="B50">
        <v>50</v>
      </c>
      <c r="C50">
        <v>1</v>
      </c>
      <c r="D50">
        <v>180.87100000000001</v>
      </c>
      <c r="E50">
        <v>22.431000000000001</v>
      </c>
      <c r="F50">
        <v>247</v>
      </c>
    </row>
    <row r="51" spans="1:6" x14ac:dyDescent="0.3">
      <c r="A51" t="s">
        <v>18</v>
      </c>
      <c r="B51">
        <v>100</v>
      </c>
      <c r="C51">
        <v>1</v>
      </c>
      <c r="D51">
        <v>239.684</v>
      </c>
      <c r="E51">
        <v>138.63200000000001</v>
      </c>
      <c r="F51">
        <v>454</v>
      </c>
    </row>
    <row r="52" spans="1:6" x14ac:dyDescent="0.3">
      <c r="A52" t="s">
        <v>18</v>
      </c>
      <c r="B52">
        <v>100</v>
      </c>
      <c r="C52">
        <v>1</v>
      </c>
      <c r="D52">
        <v>239.143</v>
      </c>
      <c r="E52">
        <v>138.53100000000001</v>
      </c>
      <c r="F52">
        <v>480</v>
      </c>
    </row>
    <row r="53" spans="1:6" x14ac:dyDescent="0.3">
      <c r="A53" t="s">
        <v>18</v>
      </c>
      <c r="B53">
        <v>100</v>
      </c>
      <c r="C53">
        <v>1</v>
      </c>
      <c r="D53">
        <v>239.22</v>
      </c>
      <c r="E53">
        <v>138.636</v>
      </c>
      <c r="F53">
        <v>457</v>
      </c>
    </row>
    <row r="54" spans="1:6" x14ac:dyDescent="0.3">
      <c r="A54" t="s">
        <v>18</v>
      </c>
      <c r="B54">
        <v>100</v>
      </c>
      <c r="C54">
        <v>1</v>
      </c>
      <c r="D54">
        <v>239.24700000000001</v>
      </c>
      <c r="E54">
        <v>138.47499999999999</v>
      </c>
      <c r="F54">
        <v>433</v>
      </c>
    </row>
    <row r="55" spans="1:6" x14ac:dyDescent="0.3">
      <c r="A55" t="s">
        <v>18</v>
      </c>
      <c r="B55">
        <v>100</v>
      </c>
      <c r="C55">
        <v>1</v>
      </c>
      <c r="D55">
        <v>239.32</v>
      </c>
      <c r="E55">
        <v>138.626</v>
      </c>
      <c r="F55">
        <v>432</v>
      </c>
    </row>
    <row r="56" spans="1:6" x14ac:dyDescent="0.3">
      <c r="A56" t="s">
        <v>18</v>
      </c>
      <c r="B56">
        <v>100</v>
      </c>
      <c r="C56">
        <v>1</v>
      </c>
      <c r="D56">
        <v>239.453</v>
      </c>
      <c r="E56">
        <v>138.58699999999999</v>
      </c>
      <c r="F56">
        <v>430</v>
      </c>
    </row>
    <row r="57" spans="1:6" x14ac:dyDescent="0.3">
      <c r="A57" t="s">
        <v>18</v>
      </c>
      <c r="B57">
        <v>100</v>
      </c>
      <c r="C57">
        <v>1</v>
      </c>
      <c r="D57">
        <v>239.374</v>
      </c>
      <c r="E57">
        <v>138.70599999999999</v>
      </c>
      <c r="F57">
        <v>437</v>
      </c>
    </row>
    <row r="58" spans="1:6" x14ac:dyDescent="0.3">
      <c r="A58" t="s">
        <v>18</v>
      </c>
      <c r="B58">
        <v>100</v>
      </c>
      <c r="C58">
        <v>1</v>
      </c>
      <c r="D58">
        <v>239.06399999999999</v>
      </c>
      <c r="E58">
        <v>138.465</v>
      </c>
      <c r="F58">
        <v>477</v>
      </c>
    </row>
    <row r="59" spans="1:6" x14ac:dyDescent="0.3">
      <c r="A59" t="s">
        <v>18</v>
      </c>
      <c r="B59">
        <v>100</v>
      </c>
      <c r="C59">
        <v>1</v>
      </c>
      <c r="D59">
        <v>239.39699999999999</v>
      </c>
      <c r="E59">
        <v>138.482</v>
      </c>
      <c r="F59">
        <v>474</v>
      </c>
    </row>
    <row r="60" spans="1:6" x14ac:dyDescent="0.3">
      <c r="A60" t="s">
        <v>18</v>
      </c>
      <c r="B60">
        <v>100</v>
      </c>
      <c r="C60">
        <v>1</v>
      </c>
      <c r="D60">
        <v>239.107</v>
      </c>
      <c r="E60">
        <v>138.48400000000001</v>
      </c>
      <c r="F60">
        <v>436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4.3129999999999997</v>
      </c>
      <c r="F61">
        <v>220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4.3230000000000004</v>
      </c>
      <c r="F62">
        <v>155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4.3109999999999999</v>
      </c>
      <c r="F63">
        <v>203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4.3150000000000004</v>
      </c>
      <c r="F64">
        <v>192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4.3339999999999996</v>
      </c>
      <c r="F65">
        <v>152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4.3179999999999996</v>
      </c>
      <c r="F66">
        <v>155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4.34</v>
      </c>
      <c r="F67">
        <v>159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4.3120000000000003</v>
      </c>
      <c r="F68">
        <v>186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4.3460000000000001</v>
      </c>
      <c r="F69">
        <v>187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4.3129999999999997</v>
      </c>
      <c r="F70">
        <v>181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13.247999999999999</v>
      </c>
      <c r="F71">
        <v>200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13.23</v>
      </c>
      <c r="F72">
        <v>195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13.225</v>
      </c>
      <c r="F73">
        <v>190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13.217000000000001</v>
      </c>
      <c r="F74">
        <v>192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13.196</v>
      </c>
      <c r="F75">
        <v>196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13.212999999999999</v>
      </c>
      <c r="F76">
        <v>194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13.201000000000001</v>
      </c>
      <c r="F77">
        <v>195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13.238</v>
      </c>
      <c r="F78">
        <v>192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13.243</v>
      </c>
      <c r="F79">
        <v>194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13.237</v>
      </c>
      <c r="F80">
        <v>191</v>
      </c>
    </row>
    <row r="81" spans="1:6" x14ac:dyDescent="0.3">
      <c r="A81" t="s">
        <v>19</v>
      </c>
      <c r="B81">
        <v>100</v>
      </c>
      <c r="C81">
        <v>1</v>
      </c>
      <c r="D81">
        <v>35237.345999999998</v>
      </c>
      <c r="E81">
        <v>54.805</v>
      </c>
      <c r="F81">
        <v>242</v>
      </c>
    </row>
    <row r="82" spans="1:6" x14ac:dyDescent="0.3">
      <c r="A82" t="s">
        <v>19</v>
      </c>
      <c r="B82">
        <v>100</v>
      </c>
      <c r="C82">
        <v>1</v>
      </c>
      <c r="D82">
        <v>35239.002999999997</v>
      </c>
      <c r="E82">
        <v>54.857999999999997</v>
      </c>
      <c r="F82">
        <v>242</v>
      </c>
    </row>
    <row r="83" spans="1:6" x14ac:dyDescent="0.3">
      <c r="A83" t="s">
        <v>19</v>
      </c>
      <c r="B83">
        <v>100</v>
      </c>
      <c r="C83">
        <v>1</v>
      </c>
      <c r="D83">
        <v>35218.18</v>
      </c>
      <c r="E83">
        <v>54.91</v>
      </c>
      <c r="F83">
        <v>248</v>
      </c>
    </row>
    <row r="84" spans="1:6" x14ac:dyDescent="0.3">
      <c r="A84" t="s">
        <v>19</v>
      </c>
      <c r="B84">
        <v>100</v>
      </c>
      <c r="C84">
        <v>1</v>
      </c>
      <c r="D84">
        <v>35235.962</v>
      </c>
      <c r="E84">
        <v>54.899000000000001</v>
      </c>
      <c r="F84">
        <v>221</v>
      </c>
    </row>
    <row r="85" spans="1:6" x14ac:dyDescent="0.3">
      <c r="A85" t="s">
        <v>19</v>
      </c>
      <c r="B85">
        <v>100</v>
      </c>
      <c r="C85">
        <v>1</v>
      </c>
      <c r="D85">
        <v>35230.637000000002</v>
      </c>
      <c r="E85">
        <v>54.912999999999997</v>
      </c>
      <c r="F85">
        <v>213</v>
      </c>
    </row>
    <row r="86" spans="1:6" x14ac:dyDescent="0.3">
      <c r="A86" t="s">
        <v>19</v>
      </c>
      <c r="B86">
        <v>100</v>
      </c>
      <c r="C86">
        <v>1</v>
      </c>
      <c r="D86">
        <v>35247.724999999999</v>
      </c>
      <c r="E86">
        <v>55.027999999999999</v>
      </c>
      <c r="F86">
        <v>214</v>
      </c>
    </row>
    <row r="87" spans="1:6" x14ac:dyDescent="0.3">
      <c r="A87" t="s">
        <v>19</v>
      </c>
      <c r="B87">
        <v>100</v>
      </c>
      <c r="C87">
        <v>1</v>
      </c>
      <c r="D87">
        <v>35218.506000000001</v>
      </c>
      <c r="E87">
        <v>54.822000000000003</v>
      </c>
      <c r="F87">
        <v>214</v>
      </c>
    </row>
    <row r="88" spans="1:6" x14ac:dyDescent="0.3">
      <c r="A88" t="s">
        <v>19</v>
      </c>
      <c r="B88">
        <v>100</v>
      </c>
      <c r="C88">
        <v>1</v>
      </c>
      <c r="D88">
        <v>35261.326000000001</v>
      </c>
      <c r="E88">
        <v>54.844000000000001</v>
      </c>
      <c r="F88">
        <v>209</v>
      </c>
    </row>
    <row r="89" spans="1:6" x14ac:dyDescent="0.3">
      <c r="A89" t="s">
        <v>19</v>
      </c>
      <c r="B89">
        <v>100</v>
      </c>
      <c r="C89">
        <v>1</v>
      </c>
      <c r="D89">
        <v>35235.597999999998</v>
      </c>
      <c r="E89">
        <v>54.997999999999998</v>
      </c>
      <c r="F89">
        <v>213</v>
      </c>
    </row>
    <row r="90" spans="1:6" x14ac:dyDescent="0.3">
      <c r="A90" t="s">
        <v>19</v>
      </c>
      <c r="B90">
        <v>100</v>
      </c>
      <c r="C90">
        <v>1</v>
      </c>
      <c r="D90">
        <v>35251.82</v>
      </c>
      <c r="E90">
        <v>54.826000000000001</v>
      </c>
      <c r="F90">
        <v>212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6.492</v>
      </c>
      <c r="F91">
        <v>193</v>
      </c>
    </row>
    <row r="92" spans="1:6" x14ac:dyDescent="0.3">
      <c r="A92" t="s">
        <v>20</v>
      </c>
      <c r="B92">
        <v>30</v>
      </c>
      <c r="C92">
        <v>1</v>
      </c>
      <c r="D92">
        <v>658.23299999999995</v>
      </c>
      <c r="E92">
        <v>6.5</v>
      </c>
      <c r="F92">
        <v>194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6.5039999999999996</v>
      </c>
      <c r="F93">
        <v>199</v>
      </c>
    </row>
    <row r="94" spans="1:6" x14ac:dyDescent="0.3">
      <c r="A94" t="s">
        <v>20</v>
      </c>
      <c r="B94">
        <v>30</v>
      </c>
      <c r="C94">
        <v>1</v>
      </c>
      <c r="D94">
        <v>657.35599999999999</v>
      </c>
      <c r="E94">
        <v>6.4889999999999999</v>
      </c>
      <c r="F94">
        <v>203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6.4909999999999997</v>
      </c>
      <c r="F95">
        <v>169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6.4829999999999997</v>
      </c>
      <c r="F96">
        <v>197</v>
      </c>
    </row>
    <row r="97" spans="1:6" x14ac:dyDescent="0.3">
      <c r="A97" t="s">
        <v>20</v>
      </c>
      <c r="B97">
        <v>30</v>
      </c>
      <c r="C97">
        <v>1</v>
      </c>
      <c r="D97">
        <v>657.35599999999999</v>
      </c>
      <c r="E97">
        <v>6.4779999999999998</v>
      </c>
      <c r="F97">
        <v>178</v>
      </c>
    </row>
    <row r="98" spans="1:6" x14ac:dyDescent="0.3">
      <c r="A98" t="s">
        <v>20</v>
      </c>
      <c r="B98">
        <v>30</v>
      </c>
      <c r="C98">
        <v>1</v>
      </c>
      <c r="D98">
        <v>657.29200000000003</v>
      </c>
      <c r="E98">
        <v>6.4669999999999996</v>
      </c>
      <c r="F98">
        <v>185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6.4889999999999999</v>
      </c>
      <c r="F99">
        <v>199</v>
      </c>
    </row>
    <row r="100" spans="1:6" x14ac:dyDescent="0.3">
      <c r="A100" t="s">
        <v>20</v>
      </c>
      <c r="B100">
        <v>30</v>
      </c>
      <c r="C100">
        <v>1</v>
      </c>
      <c r="D100">
        <v>657.33</v>
      </c>
      <c r="E100">
        <v>6.5149999999999997</v>
      </c>
      <c r="F100">
        <v>215</v>
      </c>
    </row>
    <row r="101" spans="1:6" x14ac:dyDescent="0.3">
      <c r="A101" t="s">
        <v>20</v>
      </c>
      <c r="B101">
        <v>50</v>
      </c>
      <c r="C101">
        <v>1</v>
      </c>
      <c r="D101">
        <v>992.70799999999997</v>
      </c>
      <c r="E101">
        <v>14.696</v>
      </c>
      <c r="F101">
        <v>193</v>
      </c>
    </row>
    <row r="102" spans="1:6" x14ac:dyDescent="0.3">
      <c r="A102" t="s">
        <v>20</v>
      </c>
      <c r="B102">
        <v>50</v>
      </c>
      <c r="C102">
        <v>1</v>
      </c>
      <c r="D102">
        <v>993.97699999999998</v>
      </c>
      <c r="E102">
        <v>14.696999999999999</v>
      </c>
      <c r="F102">
        <v>195</v>
      </c>
    </row>
    <row r="103" spans="1:6" x14ac:dyDescent="0.3">
      <c r="A103" t="s">
        <v>20</v>
      </c>
      <c r="B103">
        <v>50</v>
      </c>
      <c r="C103">
        <v>1</v>
      </c>
      <c r="D103">
        <v>995.375</v>
      </c>
      <c r="E103">
        <v>14.717000000000001</v>
      </c>
      <c r="F103">
        <v>199</v>
      </c>
    </row>
    <row r="104" spans="1:6" x14ac:dyDescent="0.3">
      <c r="A104" t="s">
        <v>20</v>
      </c>
      <c r="B104">
        <v>50</v>
      </c>
      <c r="C104">
        <v>1</v>
      </c>
      <c r="D104">
        <v>996.27200000000005</v>
      </c>
      <c r="E104">
        <v>14.727</v>
      </c>
      <c r="F104">
        <v>191</v>
      </c>
    </row>
    <row r="105" spans="1:6" x14ac:dyDescent="0.3">
      <c r="A105" t="s">
        <v>20</v>
      </c>
      <c r="B105">
        <v>50</v>
      </c>
      <c r="C105">
        <v>1</v>
      </c>
      <c r="D105">
        <v>994.995</v>
      </c>
      <c r="E105">
        <v>14.728</v>
      </c>
      <c r="F105">
        <v>190</v>
      </c>
    </row>
    <row r="106" spans="1:6" x14ac:dyDescent="0.3">
      <c r="A106" t="s">
        <v>20</v>
      </c>
      <c r="B106">
        <v>50</v>
      </c>
      <c r="C106">
        <v>1</v>
      </c>
      <c r="D106">
        <v>993.38400000000001</v>
      </c>
      <c r="E106">
        <v>14.74</v>
      </c>
      <c r="F106">
        <v>196</v>
      </c>
    </row>
    <row r="107" spans="1:6" x14ac:dyDescent="0.3">
      <c r="A107" t="s">
        <v>20</v>
      </c>
      <c r="B107">
        <v>50</v>
      </c>
      <c r="C107">
        <v>1</v>
      </c>
      <c r="D107">
        <v>991.101</v>
      </c>
      <c r="E107">
        <v>14.686</v>
      </c>
      <c r="F107">
        <v>192</v>
      </c>
    </row>
    <row r="108" spans="1:6" x14ac:dyDescent="0.3">
      <c r="A108" t="s">
        <v>20</v>
      </c>
      <c r="B108">
        <v>50</v>
      </c>
      <c r="C108">
        <v>1</v>
      </c>
      <c r="D108">
        <v>992.34900000000005</v>
      </c>
      <c r="E108">
        <v>14.712</v>
      </c>
      <c r="F108">
        <v>195</v>
      </c>
    </row>
    <row r="109" spans="1:6" x14ac:dyDescent="0.3">
      <c r="A109" t="s">
        <v>20</v>
      </c>
      <c r="B109">
        <v>50</v>
      </c>
      <c r="C109">
        <v>1</v>
      </c>
      <c r="D109">
        <v>994.726</v>
      </c>
      <c r="E109">
        <v>14.734</v>
      </c>
      <c r="F109">
        <v>195</v>
      </c>
    </row>
    <row r="110" spans="1:6" x14ac:dyDescent="0.3">
      <c r="A110" t="s">
        <v>20</v>
      </c>
      <c r="B110">
        <v>50</v>
      </c>
      <c r="C110">
        <v>1</v>
      </c>
      <c r="D110">
        <v>991.09100000000001</v>
      </c>
      <c r="E110">
        <v>14.705</v>
      </c>
      <c r="F110">
        <v>197</v>
      </c>
    </row>
    <row r="111" spans="1:6" x14ac:dyDescent="0.3">
      <c r="A111" t="s">
        <v>20</v>
      </c>
      <c r="B111">
        <v>100</v>
      </c>
      <c r="C111">
        <v>1</v>
      </c>
      <c r="D111">
        <v>1755.9849999999999</v>
      </c>
      <c r="E111">
        <v>32.515999999999998</v>
      </c>
      <c r="F111">
        <v>138</v>
      </c>
    </row>
    <row r="112" spans="1:6" x14ac:dyDescent="0.3">
      <c r="A112" t="s">
        <v>20</v>
      </c>
      <c r="B112">
        <v>100</v>
      </c>
      <c r="C112">
        <v>1</v>
      </c>
      <c r="D112">
        <v>1755.7539999999999</v>
      </c>
      <c r="E112">
        <v>32.613999999999997</v>
      </c>
      <c r="F112">
        <v>139</v>
      </c>
    </row>
    <row r="113" spans="1:6" x14ac:dyDescent="0.3">
      <c r="A113" t="s">
        <v>20</v>
      </c>
      <c r="B113">
        <v>100</v>
      </c>
      <c r="C113">
        <v>1</v>
      </c>
      <c r="D113">
        <v>1756.1769999999999</v>
      </c>
      <c r="E113">
        <v>32.545000000000002</v>
      </c>
      <c r="F113">
        <v>139</v>
      </c>
    </row>
    <row r="114" spans="1:6" x14ac:dyDescent="0.3">
      <c r="A114" t="s">
        <v>20</v>
      </c>
      <c r="B114">
        <v>100</v>
      </c>
      <c r="C114">
        <v>1</v>
      </c>
      <c r="D114">
        <v>1757.9369999999999</v>
      </c>
      <c r="E114">
        <v>32.609000000000002</v>
      </c>
      <c r="F114">
        <v>138</v>
      </c>
    </row>
    <row r="115" spans="1:6" x14ac:dyDescent="0.3">
      <c r="A115" t="s">
        <v>20</v>
      </c>
      <c r="B115">
        <v>100</v>
      </c>
      <c r="C115">
        <v>1</v>
      </c>
      <c r="D115">
        <v>1755.902</v>
      </c>
      <c r="E115">
        <v>32.588000000000001</v>
      </c>
      <c r="F115">
        <v>140</v>
      </c>
    </row>
    <row r="116" spans="1:6" x14ac:dyDescent="0.3">
      <c r="A116" t="s">
        <v>20</v>
      </c>
      <c r="B116">
        <v>100</v>
      </c>
      <c r="C116">
        <v>1</v>
      </c>
      <c r="D116">
        <v>1756.297</v>
      </c>
      <c r="E116">
        <v>32.673999999999999</v>
      </c>
      <c r="F116">
        <v>141</v>
      </c>
    </row>
    <row r="117" spans="1:6" x14ac:dyDescent="0.3">
      <c r="A117" t="s">
        <v>20</v>
      </c>
      <c r="B117">
        <v>100</v>
      </c>
      <c r="C117">
        <v>1</v>
      </c>
      <c r="D117">
        <v>1755.9970000000001</v>
      </c>
      <c r="E117">
        <v>32.594999999999999</v>
      </c>
      <c r="F117">
        <v>138</v>
      </c>
    </row>
    <row r="118" spans="1:6" x14ac:dyDescent="0.3">
      <c r="A118" t="s">
        <v>20</v>
      </c>
      <c r="B118">
        <v>100</v>
      </c>
      <c r="C118">
        <v>1</v>
      </c>
      <c r="D118">
        <v>1756.5530000000001</v>
      </c>
      <c r="E118">
        <v>32.670999999999999</v>
      </c>
      <c r="F118">
        <v>139</v>
      </c>
    </row>
    <row r="119" spans="1:6" x14ac:dyDescent="0.3">
      <c r="A119" t="s">
        <v>20</v>
      </c>
      <c r="B119">
        <v>100</v>
      </c>
      <c r="C119">
        <v>1</v>
      </c>
      <c r="D119">
        <v>1756.49</v>
      </c>
      <c r="E119">
        <v>32.465000000000003</v>
      </c>
      <c r="F119">
        <v>139</v>
      </c>
    </row>
    <row r="120" spans="1:6" x14ac:dyDescent="0.3">
      <c r="A120" t="s">
        <v>20</v>
      </c>
      <c r="B120">
        <v>100</v>
      </c>
      <c r="C120">
        <v>1</v>
      </c>
      <c r="D120">
        <v>1755.8920000000001</v>
      </c>
      <c r="E120">
        <v>32.601999999999997</v>
      </c>
      <c r="F120">
        <v>139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1.371</v>
      </c>
      <c r="F121">
        <v>185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1.3779999999999999</v>
      </c>
      <c r="F122">
        <v>156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1.3759999999999999</v>
      </c>
      <c r="F123">
        <v>180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1.3640000000000001</v>
      </c>
      <c r="F124">
        <v>177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1.3740000000000001</v>
      </c>
      <c r="F125">
        <v>247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1.3959999999999999</v>
      </c>
      <c r="F126">
        <v>240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1.409</v>
      </c>
      <c r="F127">
        <v>200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1.3660000000000001</v>
      </c>
      <c r="F128">
        <v>110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1.365</v>
      </c>
      <c r="F129">
        <v>142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1.377</v>
      </c>
      <c r="F130">
        <v>230</v>
      </c>
    </row>
    <row r="131" spans="1:6" x14ac:dyDescent="0.3">
      <c r="A131" t="s">
        <v>33</v>
      </c>
      <c r="B131">
        <v>209</v>
      </c>
      <c r="C131">
        <v>1</v>
      </c>
      <c r="D131">
        <v>77.066999999999993</v>
      </c>
      <c r="E131">
        <v>181.27</v>
      </c>
      <c r="F131">
        <v>167</v>
      </c>
    </row>
    <row r="132" spans="1:6" x14ac:dyDescent="0.3">
      <c r="A132" t="s">
        <v>33</v>
      </c>
      <c r="B132">
        <v>209</v>
      </c>
      <c r="C132">
        <v>1</v>
      </c>
      <c r="D132">
        <v>76.668000000000006</v>
      </c>
      <c r="E132">
        <v>181.29</v>
      </c>
      <c r="F132">
        <v>170</v>
      </c>
    </row>
    <row r="133" spans="1:6" x14ac:dyDescent="0.3">
      <c r="A133" t="s">
        <v>33</v>
      </c>
      <c r="B133">
        <v>209</v>
      </c>
      <c r="C133">
        <v>1</v>
      </c>
      <c r="D133">
        <v>76.41</v>
      </c>
      <c r="E133">
        <v>180.85599999999999</v>
      </c>
      <c r="F133">
        <v>168</v>
      </c>
    </row>
    <row r="134" spans="1:6" x14ac:dyDescent="0.3">
      <c r="A134" t="s">
        <v>33</v>
      </c>
      <c r="B134">
        <v>209</v>
      </c>
      <c r="C134">
        <v>1</v>
      </c>
      <c r="D134">
        <v>76.804000000000002</v>
      </c>
      <c r="E134">
        <v>181.43199999999999</v>
      </c>
      <c r="F134">
        <v>165</v>
      </c>
    </row>
    <row r="135" spans="1:6" x14ac:dyDescent="0.3">
      <c r="A135" t="s">
        <v>33</v>
      </c>
      <c r="B135">
        <v>209</v>
      </c>
      <c r="C135">
        <v>1</v>
      </c>
      <c r="D135">
        <v>76.56</v>
      </c>
      <c r="E135">
        <v>181.54400000000001</v>
      </c>
      <c r="F135">
        <v>164</v>
      </c>
    </row>
    <row r="136" spans="1:6" x14ac:dyDescent="0.3">
      <c r="A136" t="s">
        <v>33</v>
      </c>
      <c r="B136">
        <v>209</v>
      </c>
      <c r="C136">
        <v>1</v>
      </c>
      <c r="D136">
        <v>76.353999999999999</v>
      </c>
      <c r="E136">
        <v>181.404</v>
      </c>
      <c r="F136">
        <v>165</v>
      </c>
    </row>
    <row r="137" spans="1:6" x14ac:dyDescent="0.3">
      <c r="A137" t="s">
        <v>33</v>
      </c>
      <c r="B137">
        <v>209</v>
      </c>
      <c r="C137">
        <v>1</v>
      </c>
      <c r="D137">
        <v>76.516000000000005</v>
      </c>
      <c r="E137">
        <v>180.96799999999999</v>
      </c>
      <c r="F137">
        <v>166</v>
      </c>
    </row>
    <row r="138" spans="1:6" x14ac:dyDescent="0.3">
      <c r="A138" t="s">
        <v>33</v>
      </c>
      <c r="B138">
        <v>209</v>
      </c>
      <c r="C138">
        <v>1</v>
      </c>
      <c r="D138">
        <v>76.698999999999998</v>
      </c>
      <c r="E138">
        <v>180.983</v>
      </c>
      <c r="F138">
        <v>167</v>
      </c>
    </row>
    <row r="139" spans="1:6" x14ac:dyDescent="0.3">
      <c r="A139" t="s">
        <v>33</v>
      </c>
      <c r="B139">
        <v>209</v>
      </c>
      <c r="C139">
        <v>1</v>
      </c>
      <c r="D139">
        <v>76.793000000000006</v>
      </c>
      <c r="E139">
        <v>180.77</v>
      </c>
      <c r="F139">
        <v>171</v>
      </c>
    </row>
    <row r="140" spans="1:6" x14ac:dyDescent="0.3">
      <c r="A140" t="s">
        <v>33</v>
      </c>
      <c r="B140">
        <v>209</v>
      </c>
      <c r="C140">
        <v>1</v>
      </c>
      <c r="D140">
        <v>76.866</v>
      </c>
      <c r="E140">
        <v>181.52</v>
      </c>
      <c r="F140">
        <v>169</v>
      </c>
    </row>
    <row r="141" spans="1:6" x14ac:dyDescent="0.3">
      <c r="A141" t="s">
        <v>33</v>
      </c>
      <c r="B141">
        <v>324</v>
      </c>
      <c r="C141">
        <v>1</v>
      </c>
      <c r="D141">
        <v>119.274</v>
      </c>
      <c r="E141">
        <v>419.93599999999998</v>
      </c>
      <c r="F141">
        <v>145</v>
      </c>
    </row>
    <row r="142" spans="1:6" x14ac:dyDescent="0.3">
      <c r="A142" t="s">
        <v>33</v>
      </c>
      <c r="B142">
        <v>324</v>
      </c>
      <c r="C142">
        <v>1</v>
      </c>
      <c r="D142">
        <v>119.146</v>
      </c>
      <c r="E142">
        <v>419.738</v>
      </c>
      <c r="F142">
        <v>142</v>
      </c>
    </row>
    <row r="143" spans="1:6" x14ac:dyDescent="0.3">
      <c r="A143" t="s">
        <v>33</v>
      </c>
      <c r="B143">
        <v>324</v>
      </c>
      <c r="C143">
        <v>1</v>
      </c>
      <c r="D143">
        <v>119.096</v>
      </c>
      <c r="E143">
        <v>420.43099999999998</v>
      </c>
      <c r="F143">
        <v>142</v>
      </c>
    </row>
    <row r="144" spans="1:6" x14ac:dyDescent="0.3">
      <c r="A144" t="s">
        <v>33</v>
      </c>
      <c r="B144">
        <v>324</v>
      </c>
      <c r="C144">
        <v>1</v>
      </c>
      <c r="D144">
        <v>119.27500000000001</v>
      </c>
      <c r="E144">
        <v>420.22800000000001</v>
      </c>
      <c r="F144">
        <v>143</v>
      </c>
    </row>
    <row r="145" spans="1:6" x14ac:dyDescent="0.3">
      <c r="A145" t="s">
        <v>33</v>
      </c>
      <c r="B145">
        <v>324</v>
      </c>
      <c r="C145">
        <v>1</v>
      </c>
      <c r="D145">
        <v>119.285</v>
      </c>
      <c r="E145">
        <v>419.69799999999998</v>
      </c>
      <c r="F145">
        <v>141</v>
      </c>
    </row>
    <row r="146" spans="1:6" x14ac:dyDescent="0.3">
      <c r="A146" t="s">
        <v>33</v>
      </c>
      <c r="B146">
        <v>324</v>
      </c>
      <c r="C146">
        <v>1</v>
      </c>
      <c r="D146">
        <v>118.979</v>
      </c>
      <c r="E146">
        <v>421.21699999999998</v>
      </c>
      <c r="F146">
        <v>143</v>
      </c>
    </row>
    <row r="147" spans="1:6" x14ac:dyDescent="0.3">
      <c r="A147" t="s">
        <v>33</v>
      </c>
      <c r="B147">
        <v>324</v>
      </c>
      <c r="C147">
        <v>1</v>
      </c>
      <c r="D147">
        <v>118.605</v>
      </c>
      <c r="E147">
        <v>420.48899999999998</v>
      </c>
      <c r="F147">
        <v>143</v>
      </c>
    </row>
    <row r="148" spans="1:6" x14ac:dyDescent="0.3">
      <c r="A148" t="s">
        <v>33</v>
      </c>
      <c r="B148">
        <v>324</v>
      </c>
      <c r="C148">
        <v>1</v>
      </c>
      <c r="D148">
        <v>119.794</v>
      </c>
      <c r="E148">
        <v>421.31599999999997</v>
      </c>
      <c r="F148">
        <v>142</v>
      </c>
    </row>
    <row r="149" spans="1:6" x14ac:dyDescent="0.3">
      <c r="A149" t="s">
        <v>33</v>
      </c>
      <c r="B149">
        <v>324</v>
      </c>
      <c r="C149">
        <v>1</v>
      </c>
      <c r="D149">
        <v>119.453</v>
      </c>
      <c r="E149">
        <v>420.02199999999999</v>
      </c>
      <c r="F149">
        <v>142</v>
      </c>
    </row>
    <row r="150" spans="1:6" x14ac:dyDescent="0.3">
      <c r="A150" t="s">
        <v>33</v>
      </c>
      <c r="B150">
        <v>324</v>
      </c>
      <c r="C150">
        <v>1</v>
      </c>
      <c r="D150">
        <v>119.571</v>
      </c>
      <c r="E150">
        <v>420.04399999999998</v>
      </c>
      <c r="F150">
        <v>144</v>
      </c>
    </row>
    <row r="151" spans="1:6" x14ac:dyDescent="0.3">
      <c r="A151" t="s">
        <v>34</v>
      </c>
      <c r="B151">
        <v>40</v>
      </c>
      <c r="C151">
        <v>1</v>
      </c>
      <c r="D151">
        <v>16.616</v>
      </c>
      <c r="E151">
        <v>11.621</v>
      </c>
      <c r="F151">
        <v>202</v>
      </c>
    </row>
    <row r="152" spans="1:6" x14ac:dyDescent="0.3">
      <c r="A152" t="s">
        <v>34</v>
      </c>
      <c r="B152">
        <v>40</v>
      </c>
      <c r="C152">
        <v>1</v>
      </c>
      <c r="D152">
        <v>16.481999999999999</v>
      </c>
      <c r="E152">
        <v>11.61</v>
      </c>
      <c r="F152">
        <v>202</v>
      </c>
    </row>
    <row r="153" spans="1:6" x14ac:dyDescent="0.3">
      <c r="A153" t="s">
        <v>34</v>
      </c>
      <c r="B153">
        <v>40</v>
      </c>
      <c r="C153">
        <v>1</v>
      </c>
      <c r="D153">
        <v>16.78</v>
      </c>
      <c r="E153">
        <v>11.627000000000001</v>
      </c>
      <c r="F153">
        <v>212</v>
      </c>
    </row>
    <row r="154" spans="1:6" x14ac:dyDescent="0.3">
      <c r="A154" t="s">
        <v>34</v>
      </c>
      <c r="B154">
        <v>40</v>
      </c>
      <c r="C154">
        <v>1</v>
      </c>
      <c r="D154">
        <v>16.623000000000001</v>
      </c>
      <c r="E154">
        <v>11.64</v>
      </c>
      <c r="F154">
        <v>209</v>
      </c>
    </row>
    <row r="155" spans="1:6" x14ac:dyDescent="0.3">
      <c r="A155" t="s">
        <v>34</v>
      </c>
      <c r="B155">
        <v>40</v>
      </c>
      <c r="C155">
        <v>1</v>
      </c>
      <c r="D155">
        <v>16.821999999999999</v>
      </c>
      <c r="E155">
        <v>11.628</v>
      </c>
      <c r="F155">
        <v>216</v>
      </c>
    </row>
    <row r="156" spans="1:6" x14ac:dyDescent="0.3">
      <c r="A156" t="s">
        <v>34</v>
      </c>
      <c r="B156">
        <v>40</v>
      </c>
      <c r="C156">
        <v>1</v>
      </c>
      <c r="D156">
        <v>16.762</v>
      </c>
      <c r="E156">
        <v>11.615</v>
      </c>
      <c r="F156">
        <v>210</v>
      </c>
    </row>
    <row r="157" spans="1:6" x14ac:dyDescent="0.3">
      <c r="A157" t="s">
        <v>34</v>
      </c>
      <c r="B157">
        <v>40</v>
      </c>
      <c r="C157">
        <v>1</v>
      </c>
      <c r="D157">
        <v>16.75</v>
      </c>
      <c r="E157">
        <v>11.632</v>
      </c>
      <c r="F157">
        <v>209</v>
      </c>
    </row>
    <row r="158" spans="1:6" x14ac:dyDescent="0.3">
      <c r="A158" t="s">
        <v>34</v>
      </c>
      <c r="B158">
        <v>40</v>
      </c>
      <c r="C158">
        <v>1</v>
      </c>
      <c r="D158">
        <v>16.616</v>
      </c>
      <c r="E158">
        <v>11.641999999999999</v>
      </c>
      <c r="F158">
        <v>207</v>
      </c>
    </row>
    <row r="159" spans="1:6" x14ac:dyDescent="0.3">
      <c r="A159" t="s">
        <v>34</v>
      </c>
      <c r="B159">
        <v>40</v>
      </c>
      <c r="C159">
        <v>1</v>
      </c>
      <c r="D159">
        <v>16.600999999999999</v>
      </c>
      <c r="E159">
        <v>11.625</v>
      </c>
      <c r="F159">
        <v>203</v>
      </c>
    </row>
    <row r="160" spans="1:6" x14ac:dyDescent="0.3">
      <c r="A160" t="s">
        <v>34</v>
      </c>
      <c r="B160">
        <v>40</v>
      </c>
      <c r="C160">
        <v>1</v>
      </c>
      <c r="D160">
        <v>16.515000000000001</v>
      </c>
      <c r="E160">
        <v>11.621</v>
      </c>
      <c r="F160">
        <v>209</v>
      </c>
    </row>
    <row r="161" spans="1:6" x14ac:dyDescent="0.3">
      <c r="A161" t="s">
        <v>34</v>
      </c>
      <c r="B161">
        <v>96</v>
      </c>
      <c r="C161">
        <v>1</v>
      </c>
      <c r="D161">
        <v>35.176000000000002</v>
      </c>
      <c r="E161">
        <v>51.402000000000001</v>
      </c>
      <c r="F161">
        <v>232</v>
      </c>
    </row>
    <row r="162" spans="1:6" x14ac:dyDescent="0.3">
      <c r="A162" t="s">
        <v>34</v>
      </c>
      <c r="B162">
        <v>96</v>
      </c>
      <c r="C162">
        <v>1</v>
      </c>
      <c r="D162">
        <v>35.207000000000001</v>
      </c>
      <c r="E162">
        <v>51.44</v>
      </c>
      <c r="F162">
        <v>244</v>
      </c>
    </row>
    <row r="163" spans="1:6" x14ac:dyDescent="0.3">
      <c r="A163" t="s">
        <v>34</v>
      </c>
      <c r="B163">
        <v>96</v>
      </c>
      <c r="C163">
        <v>1</v>
      </c>
      <c r="D163">
        <v>35.19</v>
      </c>
      <c r="E163">
        <v>51.372999999999998</v>
      </c>
      <c r="F163">
        <v>228</v>
      </c>
    </row>
    <row r="164" spans="1:6" x14ac:dyDescent="0.3">
      <c r="A164" t="s">
        <v>34</v>
      </c>
      <c r="B164">
        <v>96</v>
      </c>
      <c r="C164">
        <v>1</v>
      </c>
      <c r="D164">
        <v>35.167999999999999</v>
      </c>
      <c r="E164">
        <v>51.420999999999999</v>
      </c>
      <c r="F164">
        <v>255</v>
      </c>
    </row>
    <row r="165" spans="1:6" x14ac:dyDescent="0.3">
      <c r="A165" t="s">
        <v>34</v>
      </c>
      <c r="B165">
        <v>96</v>
      </c>
      <c r="C165">
        <v>1</v>
      </c>
      <c r="D165">
        <v>35.155000000000001</v>
      </c>
      <c r="E165">
        <v>51.335000000000001</v>
      </c>
      <c r="F165">
        <v>225</v>
      </c>
    </row>
    <row r="166" spans="1:6" x14ac:dyDescent="0.3">
      <c r="A166" t="s">
        <v>34</v>
      </c>
      <c r="B166">
        <v>96</v>
      </c>
      <c r="C166">
        <v>1</v>
      </c>
      <c r="D166">
        <v>35.151000000000003</v>
      </c>
      <c r="E166">
        <v>51.337000000000003</v>
      </c>
      <c r="F166">
        <v>245</v>
      </c>
    </row>
    <row r="167" spans="1:6" x14ac:dyDescent="0.3">
      <c r="A167" t="s">
        <v>34</v>
      </c>
      <c r="B167">
        <v>96</v>
      </c>
      <c r="C167">
        <v>1</v>
      </c>
      <c r="D167">
        <v>35.183</v>
      </c>
      <c r="E167">
        <v>51.344999999999999</v>
      </c>
      <c r="F167">
        <v>230</v>
      </c>
    </row>
    <row r="168" spans="1:6" x14ac:dyDescent="0.3">
      <c r="A168" t="s">
        <v>34</v>
      </c>
      <c r="B168">
        <v>96</v>
      </c>
      <c r="C168">
        <v>1</v>
      </c>
      <c r="D168">
        <v>35.116</v>
      </c>
      <c r="E168">
        <v>51.417999999999999</v>
      </c>
      <c r="F168">
        <v>241</v>
      </c>
    </row>
    <row r="169" spans="1:6" x14ac:dyDescent="0.3">
      <c r="A169" t="s">
        <v>34</v>
      </c>
      <c r="B169">
        <v>96</v>
      </c>
      <c r="C169">
        <v>1</v>
      </c>
      <c r="D169">
        <v>35.151000000000003</v>
      </c>
      <c r="E169">
        <v>51.371000000000002</v>
      </c>
      <c r="F169">
        <v>236</v>
      </c>
    </row>
    <row r="170" spans="1:6" x14ac:dyDescent="0.3">
      <c r="A170" t="s">
        <v>34</v>
      </c>
      <c r="B170">
        <v>96</v>
      </c>
      <c r="C170">
        <v>1</v>
      </c>
      <c r="D170">
        <v>35.128</v>
      </c>
      <c r="E170">
        <v>51.279000000000003</v>
      </c>
      <c r="F170">
        <v>233</v>
      </c>
    </row>
    <row r="171" spans="1:6" x14ac:dyDescent="0.3">
      <c r="A171" t="s">
        <v>34</v>
      </c>
      <c r="B171">
        <v>224</v>
      </c>
      <c r="C171">
        <v>1</v>
      </c>
      <c r="D171">
        <v>71.938999999999993</v>
      </c>
      <c r="E171">
        <v>255.88900000000001</v>
      </c>
      <c r="F171">
        <v>198</v>
      </c>
    </row>
    <row r="172" spans="1:6" x14ac:dyDescent="0.3">
      <c r="A172" t="s">
        <v>34</v>
      </c>
      <c r="B172">
        <v>224</v>
      </c>
      <c r="C172">
        <v>1</v>
      </c>
      <c r="D172">
        <v>72.007999999999996</v>
      </c>
      <c r="E172">
        <v>255.64599999999999</v>
      </c>
      <c r="F172">
        <v>204</v>
      </c>
    </row>
    <row r="173" spans="1:6" x14ac:dyDescent="0.3">
      <c r="A173" t="s">
        <v>34</v>
      </c>
      <c r="B173">
        <v>224</v>
      </c>
      <c r="C173">
        <v>1</v>
      </c>
      <c r="D173">
        <v>71.927000000000007</v>
      </c>
      <c r="E173">
        <v>255.69200000000001</v>
      </c>
      <c r="F173">
        <v>199</v>
      </c>
    </row>
    <row r="174" spans="1:6" x14ac:dyDescent="0.3">
      <c r="A174" t="s">
        <v>34</v>
      </c>
      <c r="B174">
        <v>224</v>
      </c>
      <c r="C174">
        <v>1</v>
      </c>
      <c r="D174">
        <v>71.915000000000006</v>
      </c>
      <c r="E174">
        <v>256.15100000000001</v>
      </c>
      <c r="F174">
        <v>199</v>
      </c>
    </row>
    <row r="175" spans="1:6" x14ac:dyDescent="0.3">
      <c r="A175" t="s">
        <v>34</v>
      </c>
      <c r="B175">
        <v>224</v>
      </c>
      <c r="C175">
        <v>1</v>
      </c>
      <c r="D175">
        <v>71.921000000000006</v>
      </c>
      <c r="E175">
        <v>256.25799999999998</v>
      </c>
      <c r="F175">
        <v>199</v>
      </c>
    </row>
    <row r="176" spans="1:6" x14ac:dyDescent="0.3">
      <c r="A176" t="s">
        <v>34</v>
      </c>
      <c r="B176">
        <v>224</v>
      </c>
      <c r="C176">
        <v>1</v>
      </c>
      <c r="D176">
        <v>71.927999999999997</v>
      </c>
      <c r="E176">
        <v>256.47500000000002</v>
      </c>
      <c r="F176">
        <v>199</v>
      </c>
    </row>
    <row r="177" spans="1:6" x14ac:dyDescent="0.3">
      <c r="A177" t="s">
        <v>34</v>
      </c>
      <c r="B177">
        <v>224</v>
      </c>
      <c r="C177">
        <v>1</v>
      </c>
      <c r="D177">
        <v>71.924000000000007</v>
      </c>
      <c r="E177">
        <v>256.17200000000003</v>
      </c>
      <c r="F177">
        <v>200</v>
      </c>
    </row>
    <row r="178" spans="1:6" x14ac:dyDescent="0.3">
      <c r="A178" t="s">
        <v>34</v>
      </c>
      <c r="B178">
        <v>224</v>
      </c>
      <c r="C178">
        <v>1</v>
      </c>
      <c r="D178">
        <v>71.915000000000006</v>
      </c>
      <c r="E178">
        <v>255.64500000000001</v>
      </c>
      <c r="F178">
        <v>201</v>
      </c>
    </row>
    <row r="179" spans="1:6" x14ac:dyDescent="0.3">
      <c r="A179" t="s">
        <v>34</v>
      </c>
      <c r="B179">
        <v>224</v>
      </c>
      <c r="C179">
        <v>1</v>
      </c>
      <c r="D179">
        <v>71.992999999999995</v>
      </c>
      <c r="E179">
        <v>255.65899999999999</v>
      </c>
      <c r="F179">
        <v>199</v>
      </c>
    </row>
    <row r="180" spans="1:6" x14ac:dyDescent="0.3">
      <c r="A180" t="s">
        <v>34</v>
      </c>
      <c r="B180">
        <v>224</v>
      </c>
      <c r="C180">
        <v>1</v>
      </c>
      <c r="D180">
        <v>71.951999999999998</v>
      </c>
      <c r="E180">
        <v>256.49700000000001</v>
      </c>
      <c r="F180">
        <v>197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9.83203125" customWidth="1"/>
    <col min="2" max="2" width="4.33203125"/>
    <col min="3" max="3" width="2.58203125"/>
    <col min="4" max="4" width="10.5" bestFit="1" customWidth="1"/>
    <col min="5" max="5" width="7.25"/>
    <col min="6" max="6" width="4.9140625" customWidth="1"/>
    <col min="7" max="7" width="2.25"/>
    <col min="8" max="8" width="10"/>
    <col min="9" max="9" width="4.33203125"/>
    <col min="10" max="10" width="3.33203125"/>
    <col min="11" max="11" width="2.08203125"/>
    <col min="12" max="21" width="9.5"/>
    <col min="22" max="22" width="2.08203125"/>
    <col min="23" max="23" width="9.5"/>
    <col min="24" max="24" width="2.5"/>
    <col min="25" max="25" width="9.5"/>
    <col min="26" max="26" width="2.58203125"/>
    <col min="27" max="27" width="2.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28.504000000000001</v>
      </c>
      <c r="E1">
        <v>5.3</v>
      </c>
      <c r="F1">
        <v>170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5.2939999999999996</v>
      </c>
      <c r="F2">
        <v>175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28.504000000000001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28.504000000000001</v>
      </c>
      <c r="Q2" s="35">
        <f t="shared" ref="Q2:Q13" ca="1" si="5">INDIRECT("D"&amp;1+(ROW(I1)-1)*10+COLUMN(F1)-1)</f>
        <v>28.587</v>
      </c>
      <c r="R2" s="35">
        <f t="shared" ref="R2:R13" ca="1" si="6">INDIRECT("D"&amp;1+(ROW(J1)-1)*10+COLUMN(G1)-1)</f>
        <v>28.545999999999999</v>
      </c>
      <c r="S2" s="35">
        <f t="shared" ref="S2:S13" ca="1" si="7">INDIRECT("D"&amp;1+(ROW(K1)-1)*10+COLUMN(H1)-1)</f>
        <v>28.545999999999999</v>
      </c>
      <c r="T2" s="35">
        <f t="shared" ref="T2:T13" ca="1" si="8">INDIRECT("D"&amp;1+(ROW(L1)-1)*10+COLUMN(I1)-1)</f>
        <v>28.504000000000001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28.537499999999994</v>
      </c>
      <c r="Y2" s="35">
        <f ca="1">Total!E2</f>
        <v>28.504000000000001</v>
      </c>
      <c r="AB2" s="35">
        <f t="shared" ref="AB2:AB19" ca="1" si="11">(L2-$Y2)/$Y2</f>
        <v>0</v>
      </c>
      <c r="AC2" s="35">
        <f t="shared" ref="AC2:AC19" ca="1" si="12">(M2-$Y2)/$Y2</f>
        <v>1.4734774066796953E-3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0</v>
      </c>
      <c r="AG2" s="35">
        <f t="shared" ref="AG2:AG19" ca="1" si="16">(Q2-$Y2)/$Y2</f>
        <v>2.9118720179623354E-3</v>
      </c>
      <c r="AH2" s="35">
        <f t="shared" ref="AH2:AH19" ca="1" si="17">(R2-$Y2)/$Y2</f>
        <v>1.4734774066796953E-3</v>
      </c>
      <c r="AI2" s="35">
        <f t="shared" ref="AI2:AI19" ca="1" si="18">(S2-$Y2)/$Y2</f>
        <v>1.4734774066796953E-3</v>
      </c>
      <c r="AJ2" s="35">
        <f t="shared" ref="AJ2:AJ19" ca="1" si="19">(T2-$Y2)/$Y2</f>
        <v>0</v>
      </c>
      <c r="AK2" s="35">
        <f t="shared" ref="AK2:AK19" ca="1" si="20">(U2-$Y2)/$Y2</f>
        <v>1.4734774066796953E-3</v>
      </c>
      <c r="AM2" s="35">
        <f t="shared" ref="AM2:AM19" ca="1" si="21">SUM(AB2:AK2)</f>
        <v>1.175273645804051E-2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5.2789999999999999</v>
      </c>
      <c r="F3">
        <v>180</v>
      </c>
      <c r="H3" s="35" t="s">
        <v>17</v>
      </c>
      <c r="I3" s="35">
        <v>50</v>
      </c>
      <c r="J3" s="35">
        <v>1</v>
      </c>
      <c r="L3" s="35">
        <f t="shared" ca="1" si="0"/>
        <v>53.097000000000001</v>
      </c>
      <c r="M3" s="35">
        <f t="shared" ca="1" si="1"/>
        <v>52.927</v>
      </c>
      <c r="N3" s="35">
        <f t="shared" ca="1" si="2"/>
        <v>53.006999999999998</v>
      </c>
      <c r="O3" s="35">
        <f t="shared" ca="1" si="3"/>
        <v>52.927</v>
      </c>
      <c r="P3" s="35">
        <f t="shared" ca="1" si="4"/>
        <v>53.036999999999999</v>
      </c>
      <c r="Q3" s="35">
        <f t="shared" ca="1" si="5"/>
        <v>53.137999999999998</v>
      </c>
      <c r="R3" s="35">
        <f t="shared" ca="1" si="6"/>
        <v>52.927999999999997</v>
      </c>
      <c r="S3" s="35">
        <f t="shared" ca="1" si="7"/>
        <v>53.046999999999997</v>
      </c>
      <c r="T3" s="35">
        <f t="shared" ca="1" si="8"/>
        <v>53.017000000000003</v>
      </c>
      <c r="U3" s="35">
        <f t="shared" ca="1" si="9"/>
        <v>53.137999999999998</v>
      </c>
      <c r="W3" s="35">
        <f t="shared" ca="1" si="10"/>
        <v>53.026299999999992</v>
      </c>
      <c r="Y3" s="35">
        <f ca="1">Total!E3</f>
        <v>52.927</v>
      </c>
      <c r="AB3" s="35">
        <f t="shared" ca="1" si="11"/>
        <v>3.2119712056228713E-3</v>
      </c>
      <c r="AC3" s="35">
        <f t="shared" ca="1" si="12"/>
        <v>0</v>
      </c>
      <c r="AD3" s="35">
        <f t="shared" ca="1" si="13"/>
        <v>1.5115158614695391E-3</v>
      </c>
      <c r="AE3" s="35">
        <f t="shared" ca="1" si="14"/>
        <v>0</v>
      </c>
      <c r="AF3" s="35">
        <f t="shared" ca="1" si="15"/>
        <v>2.0783343095206498E-3</v>
      </c>
      <c r="AG3" s="35">
        <f t="shared" ca="1" si="16"/>
        <v>3.9866230846259667E-3</v>
      </c>
      <c r="AH3" s="35">
        <f t="shared" ca="1" si="17"/>
        <v>1.8893948268325608E-5</v>
      </c>
      <c r="AI3" s="35">
        <f t="shared" ca="1" si="18"/>
        <v>2.2672737922043084E-3</v>
      </c>
      <c r="AJ3" s="35">
        <f t="shared" ca="1" si="19"/>
        <v>1.7004553441533322E-3</v>
      </c>
      <c r="AK3" s="35">
        <f t="shared" ca="1" si="20"/>
        <v>3.9866230846259667E-3</v>
      </c>
      <c r="AM3" s="35">
        <f t="shared" ca="1" si="21"/>
        <v>1.8761690630490959E-2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5.298</v>
      </c>
      <c r="F4">
        <v>184</v>
      </c>
      <c r="H4" s="35" t="s">
        <v>17</v>
      </c>
      <c r="I4" s="35">
        <v>100</v>
      </c>
      <c r="J4" s="35">
        <v>1</v>
      </c>
      <c r="L4" s="35">
        <f t="shared" ca="1" si="0"/>
        <v>103.255</v>
      </c>
      <c r="M4" s="35">
        <f t="shared" ca="1" si="1"/>
        <v>103.197</v>
      </c>
      <c r="N4" s="35">
        <f t="shared" ca="1" si="2"/>
        <v>103.244</v>
      </c>
      <c r="O4" s="35">
        <f t="shared" ca="1" si="3"/>
        <v>103.27800000000001</v>
      </c>
      <c r="P4" s="35">
        <f t="shared" ca="1" si="4"/>
        <v>103.261</v>
      </c>
      <c r="Q4" s="35">
        <f t="shared" ca="1" si="5"/>
        <v>103.22199999999999</v>
      </c>
      <c r="R4" s="35">
        <f t="shared" ca="1" si="6"/>
        <v>102.937</v>
      </c>
      <c r="S4" s="35">
        <f t="shared" ca="1" si="7"/>
        <v>103.27</v>
      </c>
      <c r="T4" s="35">
        <f t="shared" ca="1" si="8"/>
        <v>103.623</v>
      </c>
      <c r="U4" s="35">
        <f t="shared" ca="1" si="9"/>
        <v>103.297</v>
      </c>
      <c r="W4" s="35">
        <f t="shared" ca="1" si="10"/>
        <v>103.25840000000001</v>
      </c>
      <c r="Y4" s="35">
        <f ca="1">Total!E4</f>
        <v>102.80200000000001</v>
      </c>
      <c r="AB4" s="35">
        <f t="shared" ca="1" si="11"/>
        <v>4.4065290558548348E-3</v>
      </c>
      <c r="AC4" s="35">
        <f t="shared" ca="1" si="12"/>
        <v>3.8423376977101222E-3</v>
      </c>
      <c r="AD4" s="35">
        <f t="shared" ca="1" si="13"/>
        <v>4.2995272465515561E-3</v>
      </c>
      <c r="AE4" s="35">
        <f t="shared" ca="1" si="14"/>
        <v>4.63026011167097E-3</v>
      </c>
      <c r="AF4" s="35">
        <f t="shared" ca="1" si="15"/>
        <v>4.4648936791111937E-3</v>
      </c>
      <c r="AG4" s="35">
        <f t="shared" ca="1" si="16"/>
        <v>4.0855236279448599E-3</v>
      </c>
      <c r="AH4" s="35">
        <f t="shared" ca="1" si="17"/>
        <v>1.3132040232679413E-3</v>
      </c>
      <c r="AI4" s="35">
        <f t="shared" ca="1" si="18"/>
        <v>4.5524406139957323E-3</v>
      </c>
      <c r="AJ4" s="35">
        <f t="shared" ca="1" si="19"/>
        <v>7.9862259489114802E-3</v>
      </c>
      <c r="AK4" s="35">
        <f t="shared" ca="1" si="20"/>
        <v>4.8150814186493484E-3</v>
      </c>
      <c r="AM4" s="35">
        <f t="shared" ca="1" si="21"/>
        <v>4.4396023423668038E-2</v>
      </c>
    </row>
    <row r="5" spans="1:39" x14ac:dyDescent="0.3">
      <c r="A5" t="s">
        <v>17</v>
      </c>
      <c r="B5">
        <v>25</v>
      </c>
      <c r="C5">
        <v>1</v>
      </c>
      <c r="D5">
        <v>28.504000000000001</v>
      </c>
      <c r="E5">
        <v>5.2809999999999997</v>
      </c>
      <c r="F5">
        <v>172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28.587</v>
      </c>
      <c r="E6">
        <v>5.2830000000000004</v>
      </c>
      <c r="F6">
        <v>186</v>
      </c>
      <c r="H6" s="35" t="s">
        <v>18</v>
      </c>
      <c r="I6" s="35">
        <v>50</v>
      </c>
      <c r="J6" s="35">
        <v>1</v>
      </c>
      <c r="L6" s="35">
        <f t="shared" ca="1" si="0"/>
        <v>179.953</v>
      </c>
      <c r="M6" s="35">
        <f t="shared" ca="1" si="1"/>
        <v>180.685</v>
      </c>
      <c r="N6" s="35">
        <f t="shared" ca="1" si="2"/>
        <v>179.673</v>
      </c>
      <c r="O6" s="35">
        <f t="shared" ca="1" si="3"/>
        <v>179.93799999999999</v>
      </c>
      <c r="P6" s="35">
        <f t="shared" ca="1" si="4"/>
        <v>181.64500000000001</v>
      </c>
      <c r="Q6" s="35">
        <f t="shared" ca="1" si="5"/>
        <v>179.93799999999999</v>
      </c>
      <c r="R6" s="35">
        <f t="shared" ca="1" si="6"/>
        <v>179.93799999999999</v>
      </c>
      <c r="S6" s="35">
        <f t="shared" ca="1" si="7"/>
        <v>179.93799999999999</v>
      </c>
      <c r="T6" s="35">
        <f t="shared" ca="1" si="8"/>
        <v>179.93799999999999</v>
      </c>
      <c r="U6" s="35">
        <f t="shared" ca="1" si="9"/>
        <v>180.87100000000001</v>
      </c>
      <c r="W6" s="35">
        <f t="shared" ca="1" si="10"/>
        <v>180.25170000000003</v>
      </c>
      <c r="Y6" s="35">
        <f ca="1">Total!E6</f>
        <v>179.673</v>
      </c>
      <c r="AB6" s="35">
        <f t="shared" ca="1" si="11"/>
        <v>1.5583866245902341E-3</v>
      </c>
      <c r="AC6" s="35">
        <f t="shared" ca="1" si="12"/>
        <v>5.6324545145903975E-3</v>
      </c>
      <c r="AD6" s="35">
        <f t="shared" ca="1" si="13"/>
        <v>0</v>
      </c>
      <c r="AE6" s="35">
        <f t="shared" ca="1" si="14"/>
        <v>1.4749016268442469E-3</v>
      </c>
      <c r="AF6" s="35">
        <f t="shared" ca="1" si="15"/>
        <v>1.0975494370328366E-2</v>
      </c>
      <c r="AG6" s="35">
        <f t="shared" ca="1" si="16"/>
        <v>1.4749016268442469E-3</v>
      </c>
      <c r="AH6" s="35">
        <f t="shared" ca="1" si="17"/>
        <v>1.4749016268442469E-3</v>
      </c>
      <c r="AI6" s="35">
        <f t="shared" ca="1" si="18"/>
        <v>1.4749016268442469E-3</v>
      </c>
      <c r="AJ6" s="35">
        <f t="shared" ca="1" si="19"/>
        <v>1.4749016268442469E-3</v>
      </c>
      <c r="AK6" s="35">
        <f t="shared" ca="1" si="20"/>
        <v>6.667668486639659E-3</v>
      </c>
      <c r="AM6" s="35">
        <f t="shared" ca="1" si="21"/>
        <v>3.220851213036989E-2</v>
      </c>
    </row>
    <row r="7" spans="1:39" x14ac:dyDescent="0.3">
      <c r="A7" t="s">
        <v>17</v>
      </c>
      <c r="B7">
        <v>25</v>
      </c>
      <c r="C7">
        <v>1</v>
      </c>
      <c r="D7">
        <v>28.545999999999999</v>
      </c>
      <c r="E7">
        <v>5.3019999999999996</v>
      </c>
      <c r="F7">
        <v>175</v>
      </c>
      <c r="H7" s="35" t="s">
        <v>18</v>
      </c>
      <c r="I7" s="35">
        <v>100</v>
      </c>
      <c r="J7" s="35">
        <v>1</v>
      </c>
      <c r="L7" s="35">
        <f t="shared" ca="1" si="0"/>
        <v>239.05</v>
      </c>
      <c r="M7" s="35">
        <f t="shared" ca="1" si="1"/>
        <v>239.333</v>
      </c>
      <c r="N7" s="35">
        <f t="shared" ca="1" si="2"/>
        <v>240.62</v>
      </c>
      <c r="O7" s="35">
        <f t="shared" ca="1" si="3"/>
        <v>238.98</v>
      </c>
      <c r="P7" s="35">
        <f t="shared" ca="1" si="4"/>
        <v>239.16300000000001</v>
      </c>
      <c r="Q7" s="35">
        <f t="shared" ca="1" si="5"/>
        <v>239.08099999999999</v>
      </c>
      <c r="R7" s="35">
        <f t="shared" ca="1" si="6"/>
        <v>238.95699999999999</v>
      </c>
      <c r="S7" s="35">
        <f t="shared" ca="1" si="7"/>
        <v>239.119</v>
      </c>
      <c r="T7" s="35">
        <f t="shared" ca="1" si="8"/>
        <v>239.501</v>
      </c>
      <c r="U7" s="35">
        <f t="shared" ca="1" si="9"/>
        <v>239.10499999999999</v>
      </c>
      <c r="W7" s="35">
        <f t="shared" ca="1" si="10"/>
        <v>239.29090000000002</v>
      </c>
      <c r="Y7" s="35">
        <f ca="1">Total!E7</f>
        <v>238.86699999999999</v>
      </c>
      <c r="AB7" s="35">
        <f t="shared" ca="1" si="11"/>
        <v>7.6611670929856851E-4</v>
      </c>
      <c r="AC7" s="35">
        <f t="shared" ca="1" si="12"/>
        <v>1.9508764291426117E-3</v>
      </c>
      <c r="AD7" s="35">
        <f t="shared" ca="1" si="13"/>
        <v>7.3388119748647338E-3</v>
      </c>
      <c r="AE7" s="35">
        <f t="shared" ca="1" si="14"/>
        <v>4.7306660191654581E-4</v>
      </c>
      <c r="AF7" s="35">
        <f t="shared" ca="1" si="15"/>
        <v>1.2391833112151143E-3</v>
      </c>
      <c r="AG7" s="35">
        <f t="shared" ca="1" si="16"/>
        <v>8.9589604256761564E-4</v>
      </c>
      <c r="AH7" s="35">
        <f t="shared" ca="1" si="17"/>
        <v>3.7677870949106998E-4</v>
      </c>
      <c r="AI7" s="35">
        <f t="shared" ca="1" si="18"/>
        <v>1.054980386574996E-3</v>
      </c>
      <c r="AJ7" s="35">
        <f t="shared" ca="1" si="19"/>
        <v>2.6541966868592758E-3</v>
      </c>
      <c r="AK7" s="35">
        <f t="shared" ca="1" si="20"/>
        <v>9.9637036509856759E-4</v>
      </c>
      <c r="AM7" s="35">
        <f t="shared" ca="1" si="21"/>
        <v>1.7746277217029101E-2</v>
      </c>
    </row>
    <row r="8" spans="1:39" x14ac:dyDescent="0.3">
      <c r="A8" t="s">
        <v>17</v>
      </c>
      <c r="B8">
        <v>25</v>
      </c>
      <c r="C8">
        <v>1</v>
      </c>
      <c r="D8">
        <v>28.545999999999999</v>
      </c>
      <c r="E8">
        <v>5.2869999999999999</v>
      </c>
      <c r="F8">
        <v>185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28.504000000000001</v>
      </c>
      <c r="E9">
        <v>5.28</v>
      </c>
      <c r="F9">
        <v>194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4318.4880000000003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4314.0978000000005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1.130839366563183E-3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1.130839366563183E-3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5.2859999999999996</v>
      </c>
      <c r="F10">
        <v>213</v>
      </c>
      <c r="H10" s="35" t="s">
        <v>19</v>
      </c>
      <c r="I10" s="35">
        <v>100</v>
      </c>
      <c r="J10" s="35">
        <v>1</v>
      </c>
      <c r="L10" s="35">
        <f t="shared" ca="1" si="0"/>
        <v>35275.114999999998</v>
      </c>
      <c r="M10" s="35">
        <f t="shared" ca="1" si="1"/>
        <v>35272.953000000001</v>
      </c>
      <c r="N10" s="35">
        <f t="shared" ca="1" si="2"/>
        <v>35311.523000000001</v>
      </c>
      <c r="O10" s="35">
        <f t="shared" ca="1" si="3"/>
        <v>35284.372000000003</v>
      </c>
      <c r="P10" s="35">
        <f t="shared" ca="1" si="4"/>
        <v>35243.358</v>
      </c>
      <c r="Q10" s="35">
        <f t="shared" ca="1" si="5"/>
        <v>35253.605000000003</v>
      </c>
      <c r="R10" s="35">
        <f t="shared" ca="1" si="6"/>
        <v>35218.18</v>
      </c>
      <c r="S10" s="35">
        <f t="shared" ca="1" si="7"/>
        <v>35273.317999999999</v>
      </c>
      <c r="T10" s="35">
        <f t="shared" ca="1" si="8"/>
        <v>35253.682999999997</v>
      </c>
      <c r="U10" s="35">
        <f t="shared" ca="1" si="9"/>
        <v>35310.597999999998</v>
      </c>
      <c r="W10" s="35">
        <f t="shared" ca="1" si="10"/>
        <v>35269.6705</v>
      </c>
      <c r="Y10" s="35">
        <f ca="1">Total!E10</f>
        <v>35210.383000000002</v>
      </c>
      <c r="AB10" s="35">
        <f t="shared" ca="1" si="11"/>
        <v>1.838434986634378E-3</v>
      </c>
      <c r="AC10" s="35">
        <f t="shared" ca="1" si="12"/>
        <v>1.7770326440357013E-3</v>
      </c>
      <c r="AD10" s="35">
        <f t="shared" ca="1" si="13"/>
        <v>2.8724481639407166E-3</v>
      </c>
      <c r="AE10" s="35">
        <f t="shared" ca="1" si="14"/>
        <v>2.1013403915544284E-3</v>
      </c>
      <c r="AF10" s="35">
        <f t="shared" ca="1" si="15"/>
        <v>9.365135278420159E-4</v>
      </c>
      <c r="AG10" s="35">
        <f t="shared" ca="1" si="16"/>
        <v>1.2275356391323994E-3</v>
      </c>
      <c r="AH10" s="35">
        <f t="shared" ca="1" si="17"/>
        <v>2.2144036320191862E-4</v>
      </c>
      <c r="AI10" s="35">
        <f t="shared" ca="1" si="18"/>
        <v>1.787398904465131E-3</v>
      </c>
      <c r="AJ10" s="35">
        <f t="shared" ca="1" si="19"/>
        <v>1.2297508947856554E-3</v>
      </c>
      <c r="AK10" s="35">
        <f t="shared" ca="1" si="20"/>
        <v>2.8461775039480969E-3</v>
      </c>
      <c r="AM10" s="35">
        <f t="shared" ca="1" si="21"/>
        <v>1.6838073019540441E-2</v>
      </c>
    </row>
    <row r="11" spans="1:39" x14ac:dyDescent="0.3">
      <c r="A11" t="s">
        <v>17</v>
      </c>
      <c r="B11">
        <v>50</v>
      </c>
      <c r="C11">
        <v>1</v>
      </c>
      <c r="D11">
        <v>53.097000000000001</v>
      </c>
      <c r="E11">
        <v>19.577000000000002</v>
      </c>
      <c r="F11">
        <v>246</v>
      </c>
      <c r="H11" s="35" t="s">
        <v>20</v>
      </c>
      <c r="I11" s="35">
        <v>30</v>
      </c>
      <c r="J11" s="35">
        <v>1</v>
      </c>
      <c r="L11" s="35">
        <f t="shared" ca="1" si="0"/>
        <v>658.23299999999995</v>
      </c>
      <c r="M11" s="35">
        <f t="shared" ca="1" si="1"/>
        <v>657.35599999999999</v>
      </c>
      <c r="N11" s="35">
        <f t="shared" ca="1" si="2"/>
        <v>657.35599999999999</v>
      </c>
      <c r="O11" s="35">
        <f t="shared" ca="1" si="3"/>
        <v>657.35599999999999</v>
      </c>
      <c r="P11" s="35">
        <f t="shared" ca="1" si="4"/>
        <v>658.23299999999995</v>
      </c>
      <c r="Q11" s="35">
        <f t="shared" ca="1" si="5"/>
        <v>657.35599999999999</v>
      </c>
      <c r="R11" s="35">
        <f t="shared" ca="1" si="6"/>
        <v>658.23299999999995</v>
      </c>
      <c r="S11" s="35">
        <f t="shared" ca="1" si="7"/>
        <v>655.46500000000003</v>
      </c>
      <c r="T11" s="35">
        <f t="shared" ca="1" si="8"/>
        <v>657.35599999999999</v>
      </c>
      <c r="U11" s="35">
        <f t="shared" ca="1" si="9"/>
        <v>657.35599999999999</v>
      </c>
      <c r="W11" s="35">
        <f t="shared" ca="1" si="10"/>
        <v>657.43</v>
      </c>
      <c r="Y11" s="35">
        <f ca="1">Total!E11</f>
        <v>655.46500000000003</v>
      </c>
      <c r="AB11" s="35">
        <f t="shared" ca="1" si="11"/>
        <v>4.2229562219186613E-3</v>
      </c>
      <c r="AC11" s="35">
        <f t="shared" ca="1" si="12"/>
        <v>2.8849747888902728E-3</v>
      </c>
      <c r="AD11" s="35">
        <f t="shared" ca="1" si="13"/>
        <v>2.8849747888902728E-3</v>
      </c>
      <c r="AE11" s="35">
        <f t="shared" ca="1" si="14"/>
        <v>2.8849747888902728E-3</v>
      </c>
      <c r="AF11" s="35">
        <f t="shared" ca="1" si="15"/>
        <v>4.2229562219186613E-3</v>
      </c>
      <c r="AG11" s="35">
        <f t="shared" ca="1" si="16"/>
        <v>2.8849747888902728E-3</v>
      </c>
      <c r="AH11" s="35">
        <f t="shared" ca="1" si="17"/>
        <v>4.2229562219186613E-3</v>
      </c>
      <c r="AI11" s="35">
        <f t="shared" ca="1" si="18"/>
        <v>0</v>
      </c>
      <c r="AJ11" s="35">
        <f t="shared" ca="1" si="19"/>
        <v>2.8849747888902728E-3</v>
      </c>
      <c r="AK11" s="35">
        <f t="shared" ca="1" si="20"/>
        <v>2.8849747888902728E-3</v>
      </c>
      <c r="AM11" s="35">
        <f t="shared" ca="1" si="21"/>
        <v>2.9978717399097618E-2</v>
      </c>
    </row>
    <row r="12" spans="1:39" x14ac:dyDescent="0.3">
      <c r="A12" t="s">
        <v>17</v>
      </c>
      <c r="B12">
        <v>50</v>
      </c>
      <c r="C12">
        <v>1</v>
      </c>
      <c r="D12">
        <v>52.927</v>
      </c>
      <c r="E12">
        <v>19.611999999999998</v>
      </c>
      <c r="F12">
        <v>247</v>
      </c>
      <c r="H12" s="35" t="s">
        <v>20</v>
      </c>
      <c r="I12" s="35">
        <v>50</v>
      </c>
      <c r="J12" s="35">
        <v>1</v>
      </c>
      <c r="L12" s="35">
        <f t="shared" ca="1" si="0"/>
        <v>993.88499999999999</v>
      </c>
      <c r="M12" s="35">
        <f t="shared" ca="1" si="1"/>
        <v>993.51400000000001</v>
      </c>
      <c r="N12" s="35">
        <f t="shared" ca="1" si="2"/>
        <v>990.69</v>
      </c>
      <c r="O12" s="35">
        <f t="shared" ca="1" si="3"/>
        <v>994.54600000000005</v>
      </c>
      <c r="P12" s="35">
        <f t="shared" ca="1" si="4"/>
        <v>994.75400000000002</v>
      </c>
      <c r="Q12" s="35">
        <f t="shared" ca="1" si="5"/>
        <v>994.53099999999995</v>
      </c>
      <c r="R12" s="35">
        <f t="shared" ca="1" si="6"/>
        <v>991.55</v>
      </c>
      <c r="S12" s="35">
        <f t="shared" ca="1" si="7"/>
        <v>995.03099999999995</v>
      </c>
      <c r="T12" s="35">
        <f t="shared" ca="1" si="8"/>
        <v>994.298</v>
      </c>
      <c r="U12" s="35">
        <f t="shared" ca="1" si="9"/>
        <v>991.73800000000006</v>
      </c>
      <c r="W12" s="35">
        <f t="shared" ca="1" si="10"/>
        <v>993.45370000000003</v>
      </c>
      <c r="Y12" s="35">
        <f ca="1">Total!E12</f>
        <v>990.096</v>
      </c>
      <c r="AB12" s="35">
        <f t="shared" ca="1" si="11"/>
        <v>3.8269016337809537E-3</v>
      </c>
      <c r="AC12" s="35">
        <f t="shared" ca="1" si="12"/>
        <v>3.4521904946591101E-3</v>
      </c>
      <c r="AD12" s="35">
        <f t="shared" ca="1" si="13"/>
        <v>5.9994182382319585E-4</v>
      </c>
      <c r="AE12" s="35">
        <f t="shared" ca="1" si="14"/>
        <v>4.494513663321582E-3</v>
      </c>
      <c r="AF12" s="35">
        <f t="shared" ca="1" si="15"/>
        <v>4.7045943019666933E-3</v>
      </c>
      <c r="AG12" s="35">
        <f t="shared" ca="1" si="16"/>
        <v>4.4793636172653414E-3</v>
      </c>
      <c r="AH12" s="35">
        <f t="shared" ca="1" si="17"/>
        <v>1.4685444643751221E-3</v>
      </c>
      <c r="AI12" s="35">
        <f t="shared" ca="1" si="18"/>
        <v>4.9843651524700081E-3</v>
      </c>
      <c r="AJ12" s="35">
        <f t="shared" ca="1" si="19"/>
        <v>4.2440329018600198E-3</v>
      </c>
      <c r="AK12" s="35">
        <f t="shared" ca="1" si="20"/>
        <v>1.6584250416121797E-3</v>
      </c>
      <c r="AM12" s="35">
        <f t="shared" ca="1" si="21"/>
        <v>3.3912873095134202E-2</v>
      </c>
    </row>
    <row r="13" spans="1:39" x14ac:dyDescent="0.3">
      <c r="A13" t="s">
        <v>17</v>
      </c>
      <c r="B13">
        <v>50</v>
      </c>
      <c r="C13">
        <v>1</v>
      </c>
      <c r="D13">
        <v>53.006999999999998</v>
      </c>
      <c r="E13">
        <v>19.571000000000002</v>
      </c>
      <c r="F13">
        <v>242</v>
      </c>
      <c r="H13" s="35" t="s">
        <v>20</v>
      </c>
      <c r="I13" s="35">
        <v>100</v>
      </c>
      <c r="J13" s="35">
        <v>1</v>
      </c>
      <c r="L13" s="35">
        <f t="shared" ca="1" si="0"/>
        <v>1755.5309999999999</v>
      </c>
      <c r="M13" s="35">
        <f t="shared" ca="1" si="1"/>
        <v>1758.655</v>
      </c>
      <c r="N13" s="35">
        <f t="shared" ca="1" si="2"/>
        <v>1760.72</v>
      </c>
      <c r="O13" s="35">
        <f t="shared" ca="1" si="3"/>
        <v>1758.13</v>
      </c>
      <c r="P13" s="35">
        <f t="shared" ca="1" si="4"/>
        <v>1756.067</v>
      </c>
      <c r="Q13" s="35">
        <f t="shared" ca="1" si="5"/>
        <v>1755.76</v>
      </c>
      <c r="R13" s="35">
        <f t="shared" ca="1" si="6"/>
        <v>1755.152</v>
      </c>
      <c r="S13" s="35">
        <f t="shared" ca="1" si="7"/>
        <v>1762.502</v>
      </c>
      <c r="T13" s="35">
        <f t="shared" ca="1" si="8"/>
        <v>1753.9269999999999</v>
      </c>
      <c r="U13" s="35">
        <f t="shared" ca="1" si="9"/>
        <v>1756.05</v>
      </c>
      <c r="W13" s="35">
        <f t="shared" ca="1" si="10"/>
        <v>1757.2493999999999</v>
      </c>
      <c r="Y13" s="35">
        <f ca="1">Total!E13</f>
        <v>1753.79</v>
      </c>
      <c r="AB13" s="35">
        <f t="shared" ca="1" si="11"/>
        <v>9.9270722264352363E-4</v>
      </c>
      <c r="AC13" s="35">
        <f t="shared" ca="1" si="12"/>
        <v>2.7739923251928734E-3</v>
      </c>
      <c r="AD13" s="35">
        <f t="shared" ca="1" si="13"/>
        <v>3.9514423049510283E-3</v>
      </c>
      <c r="AE13" s="35">
        <f t="shared" ca="1" si="14"/>
        <v>2.4746406354239363E-3</v>
      </c>
      <c r="AF13" s="35">
        <f t="shared" ca="1" si="15"/>
        <v>1.2983310430553507E-3</v>
      </c>
      <c r="AG13" s="35">
        <f t="shared" ca="1" si="16"/>
        <v>1.1232815787523178E-3</v>
      </c>
      <c r="AH13" s="35">
        <f t="shared" ca="1" si="17"/>
        <v>7.7660381231508906E-4</v>
      </c>
      <c r="AI13" s="35">
        <f t="shared" ca="1" si="18"/>
        <v>4.9675274690812411E-3</v>
      </c>
      <c r="AJ13" s="35">
        <f t="shared" ca="1" si="19"/>
        <v>7.8116536187310693E-5</v>
      </c>
      <c r="AK13" s="35">
        <f t="shared" ca="1" si="20"/>
        <v>1.2886377502437526E-3</v>
      </c>
      <c r="AM13" s="35">
        <f t="shared" ca="1" si="21"/>
        <v>1.9725280677846419E-2</v>
      </c>
    </row>
    <row r="14" spans="1:39" x14ac:dyDescent="0.3">
      <c r="A14" t="s">
        <v>17</v>
      </c>
      <c r="B14">
        <v>50</v>
      </c>
      <c r="C14">
        <v>1</v>
      </c>
      <c r="D14">
        <v>52.927</v>
      </c>
      <c r="E14">
        <v>19.603999999999999</v>
      </c>
      <c r="F14">
        <v>239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53.036999999999999</v>
      </c>
      <c r="E15">
        <v>19.553999999999998</v>
      </c>
      <c r="F15">
        <v>306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76.28</v>
      </c>
      <c r="M15" s="35">
        <f t="shared" ca="1" si="1"/>
        <v>76.506</v>
      </c>
      <c r="N15" s="35">
        <f t="shared" ca="1" si="1"/>
        <v>76.41</v>
      </c>
      <c r="O15" s="35">
        <f t="shared" ca="1" si="1"/>
        <v>76.254000000000005</v>
      </c>
      <c r="P15" s="35">
        <f t="shared" ca="1" si="1"/>
        <v>76.271000000000001</v>
      </c>
      <c r="Q15" s="35">
        <f t="shared" ca="1" si="1"/>
        <v>76.569999999999993</v>
      </c>
      <c r="R15" s="35">
        <f t="shared" ca="1" si="1"/>
        <v>76.275000000000006</v>
      </c>
      <c r="S15" s="35">
        <f t="shared" ca="1" si="1"/>
        <v>76.766999999999996</v>
      </c>
      <c r="T15" s="35">
        <f t="shared" ca="1" si="1"/>
        <v>76.075999999999993</v>
      </c>
      <c r="U15" s="35">
        <f t="shared" ca="1" si="1"/>
        <v>76.512</v>
      </c>
      <c r="W15" s="35">
        <f t="shared" ca="1" si="10"/>
        <v>76.392099999999999</v>
      </c>
      <c r="Y15" s="35">
        <f ca="1">Total!E15</f>
        <v>75.998000000000005</v>
      </c>
      <c r="AB15" s="35">
        <f t="shared" ca="1" si="11"/>
        <v>3.7106239637884741E-3</v>
      </c>
      <c r="AC15" s="35">
        <f t="shared" ca="1" si="12"/>
        <v>6.6843864312218157E-3</v>
      </c>
      <c r="AD15" s="35">
        <f t="shared" ca="1" si="13"/>
        <v>5.4211952946129098E-3</v>
      </c>
      <c r="AE15" s="35">
        <f t="shared" ca="1" si="14"/>
        <v>3.3685096976236247E-3</v>
      </c>
      <c r="AF15" s="35">
        <f t="shared" ca="1" si="15"/>
        <v>3.5921997947313891E-3</v>
      </c>
      <c r="AG15" s="35">
        <f t="shared" ca="1" si="16"/>
        <v>7.5265138556276281E-3</v>
      </c>
      <c r="AH15" s="35">
        <f t="shared" ca="1" si="17"/>
        <v>3.6448327587568228E-3</v>
      </c>
      <c r="AI15" s="35">
        <f t="shared" ca="1" si="18"/>
        <v>1.0118687333877092E-2</v>
      </c>
      <c r="AJ15" s="35">
        <f t="shared" ca="1" si="19"/>
        <v>1.0263427984945491E-3</v>
      </c>
      <c r="AK15" s="35">
        <f t="shared" ca="1" si="20"/>
        <v>6.763335877259872E-3</v>
      </c>
      <c r="AM15" s="35">
        <f t="shared" ca="1" si="21"/>
        <v>5.1856627805994177E-2</v>
      </c>
    </row>
    <row r="16" spans="1:39" x14ac:dyDescent="0.3">
      <c r="A16" t="s">
        <v>17</v>
      </c>
      <c r="B16">
        <v>50</v>
      </c>
      <c r="C16">
        <v>1</v>
      </c>
      <c r="D16">
        <v>53.137999999999998</v>
      </c>
      <c r="E16">
        <v>19.577000000000002</v>
      </c>
      <c r="F16">
        <v>343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118.45399999999999</v>
      </c>
      <c r="M16" s="35">
        <f t="shared" ca="1" si="1"/>
        <v>118.81699999999999</v>
      </c>
      <c r="N16" s="35">
        <f t="shared" ca="1" si="1"/>
        <v>118.77800000000001</v>
      </c>
      <c r="O16" s="35">
        <f t="shared" ca="1" si="1"/>
        <v>118.746</v>
      </c>
      <c r="P16" s="35">
        <f t="shared" ca="1" si="1"/>
        <v>118.788</v>
      </c>
      <c r="Q16" s="35">
        <f t="shared" ca="1" si="1"/>
        <v>118.756</v>
      </c>
      <c r="R16" s="35">
        <f t="shared" ca="1" si="1"/>
        <v>118.289</v>
      </c>
      <c r="S16" s="35">
        <f t="shared" ca="1" si="1"/>
        <v>118.47</v>
      </c>
      <c r="T16" s="35">
        <f t="shared" ca="1" si="1"/>
        <v>118.43600000000001</v>
      </c>
      <c r="U16" s="35">
        <f t="shared" ca="1" si="1"/>
        <v>118.55200000000001</v>
      </c>
      <c r="W16" s="35">
        <f t="shared" ca="1" si="10"/>
        <v>118.60859999999998</v>
      </c>
      <c r="Y16" s="35">
        <f ca="1">Total!E16</f>
        <v>118.01</v>
      </c>
      <c r="AB16" s="35">
        <f t="shared" ca="1" si="11"/>
        <v>3.762393017540788E-3</v>
      </c>
      <c r="AC16" s="35">
        <f t="shared" ca="1" si="12"/>
        <v>6.838403525124887E-3</v>
      </c>
      <c r="AD16" s="35">
        <f t="shared" ca="1" si="13"/>
        <v>6.5079230573680249E-3</v>
      </c>
      <c r="AE16" s="35">
        <f t="shared" ca="1" si="14"/>
        <v>6.2367595966442676E-3</v>
      </c>
      <c r="AF16" s="35">
        <f t="shared" ca="1" si="15"/>
        <v>6.5926616388440945E-3</v>
      </c>
      <c r="AG16" s="35">
        <f t="shared" ca="1" si="16"/>
        <v>6.3214981781204568E-3</v>
      </c>
      <c r="AH16" s="35">
        <f t="shared" ca="1" si="17"/>
        <v>2.3642064231844452E-3</v>
      </c>
      <c r="AI16" s="35">
        <f t="shared" ca="1" si="18"/>
        <v>3.8979747479026671E-3</v>
      </c>
      <c r="AJ16" s="35">
        <f t="shared" ca="1" si="19"/>
        <v>3.6098635708838398E-3</v>
      </c>
      <c r="AK16" s="35">
        <f t="shared" ca="1" si="20"/>
        <v>4.5928311160071313E-3</v>
      </c>
      <c r="AM16" s="35">
        <f t="shared" ca="1" si="21"/>
        <v>5.0724514871620607E-2</v>
      </c>
    </row>
    <row r="17" spans="1:39" x14ac:dyDescent="0.3">
      <c r="A17" t="s">
        <v>17</v>
      </c>
      <c r="B17">
        <v>50</v>
      </c>
      <c r="C17">
        <v>1</v>
      </c>
      <c r="D17">
        <v>52.927999999999997</v>
      </c>
      <c r="E17">
        <v>19.545999999999999</v>
      </c>
      <c r="F17">
        <v>333</v>
      </c>
      <c r="H17" s="35" t="s">
        <v>34</v>
      </c>
      <c r="I17" s="35">
        <v>40</v>
      </c>
      <c r="J17" s="35">
        <v>1</v>
      </c>
      <c r="L17" s="35">
        <f t="shared" ca="1" si="22"/>
        <v>16.78</v>
      </c>
      <c r="M17" s="35">
        <f t="shared" ca="1" si="1"/>
        <v>16.8</v>
      </c>
      <c r="N17" s="35">
        <f t="shared" ca="1" si="1"/>
        <v>16.638000000000002</v>
      </c>
      <c r="O17" s="35">
        <f t="shared" ca="1" si="1"/>
        <v>16.777000000000001</v>
      </c>
      <c r="P17" s="35">
        <f t="shared" ca="1" si="1"/>
        <v>16.616</v>
      </c>
      <c r="Q17" s="35">
        <f t="shared" ca="1" si="1"/>
        <v>16.515000000000001</v>
      </c>
      <c r="R17" s="35">
        <f t="shared" ca="1" si="1"/>
        <v>16.733000000000001</v>
      </c>
      <c r="S17" s="35">
        <f t="shared" ca="1" si="1"/>
        <v>16.686</v>
      </c>
      <c r="T17" s="35">
        <f t="shared" ca="1" si="1"/>
        <v>16.530999999999999</v>
      </c>
      <c r="U17" s="35">
        <f t="shared" ca="1" si="1"/>
        <v>16.818999999999999</v>
      </c>
      <c r="W17" s="35">
        <f t="shared" ca="1" si="10"/>
        <v>16.689500000000002</v>
      </c>
      <c r="Y17" s="35">
        <f ca="1">Total!E17</f>
        <v>16.481999999999999</v>
      </c>
      <c r="AB17" s="35">
        <f t="shared" ca="1" si="11"/>
        <v>1.8080330057032024E-2</v>
      </c>
      <c r="AC17" s="35">
        <f t="shared" ca="1" si="12"/>
        <v>1.9293775027302597E-2</v>
      </c>
      <c r="AD17" s="35">
        <f t="shared" ca="1" si="13"/>
        <v>9.4648707681108096E-3</v>
      </c>
      <c r="AE17" s="35">
        <f t="shared" ca="1" si="14"/>
        <v>1.7898313311491429E-2</v>
      </c>
      <c r="AF17" s="35">
        <f t="shared" ca="1" si="15"/>
        <v>8.1300813008130298E-3</v>
      </c>
      <c r="AG17" s="35">
        <f t="shared" ca="1" si="16"/>
        <v>2.0021842009465629E-3</v>
      </c>
      <c r="AH17" s="35">
        <f t="shared" ca="1" si="17"/>
        <v>1.5228734376896083E-2</v>
      </c>
      <c r="AI17" s="35">
        <f t="shared" ca="1" si="18"/>
        <v>1.237713869676014E-2</v>
      </c>
      <c r="AJ17" s="35">
        <f t="shared" ca="1" si="19"/>
        <v>2.9729401771629348E-3</v>
      </c>
      <c r="AK17" s="35">
        <f t="shared" ca="1" si="20"/>
        <v>2.0446547749059567E-2</v>
      </c>
      <c r="AM17" s="35">
        <f t="shared" ca="1" si="21"/>
        <v>0.12589491566557517</v>
      </c>
    </row>
    <row r="18" spans="1:39" x14ac:dyDescent="0.3">
      <c r="A18" t="s">
        <v>17</v>
      </c>
      <c r="B18">
        <v>50</v>
      </c>
      <c r="C18">
        <v>1</v>
      </c>
      <c r="D18">
        <v>53.046999999999997</v>
      </c>
      <c r="E18">
        <v>19.57</v>
      </c>
      <c r="F18">
        <v>253</v>
      </c>
      <c r="H18" s="35" t="s">
        <v>34</v>
      </c>
      <c r="I18" s="35">
        <v>96</v>
      </c>
      <c r="J18" s="35">
        <v>1</v>
      </c>
      <c r="L18" s="35">
        <f t="shared" ca="1" si="22"/>
        <v>35.241</v>
      </c>
      <c r="M18" s="35">
        <f t="shared" ca="1" si="22"/>
        <v>35.148000000000003</v>
      </c>
      <c r="N18" s="35">
        <f t="shared" ca="1" si="22"/>
        <v>35.173999999999999</v>
      </c>
      <c r="O18" s="35">
        <f t="shared" ca="1" si="22"/>
        <v>35.183999999999997</v>
      </c>
      <c r="P18" s="35">
        <f t="shared" ca="1" si="22"/>
        <v>35.118000000000002</v>
      </c>
      <c r="Q18" s="35">
        <f t="shared" ca="1" si="22"/>
        <v>35.171999999999997</v>
      </c>
      <c r="R18" s="35">
        <f t="shared" ca="1" si="22"/>
        <v>35.152000000000001</v>
      </c>
      <c r="S18" s="35">
        <f t="shared" ca="1" si="22"/>
        <v>35.232999999999997</v>
      </c>
      <c r="T18" s="35">
        <f t="shared" ca="1" si="22"/>
        <v>35.079000000000001</v>
      </c>
      <c r="U18" s="35">
        <f t="shared" ca="1" si="22"/>
        <v>35.155000000000001</v>
      </c>
      <c r="W18" s="35">
        <f t="shared" ca="1" si="10"/>
        <v>35.165600000000005</v>
      </c>
      <c r="Y18" s="35">
        <f ca="1">Total!E18</f>
        <v>35.069000000000003</v>
      </c>
      <c r="AB18" s="35">
        <f t="shared" ca="1" si="11"/>
        <v>4.9046166129629309E-3</v>
      </c>
      <c r="AC18" s="35">
        <f t="shared" ca="1" si="12"/>
        <v>2.2527018164190771E-3</v>
      </c>
      <c r="AD18" s="35">
        <f t="shared" ca="1" si="13"/>
        <v>2.9940973509366355E-3</v>
      </c>
      <c r="AE18" s="35">
        <f t="shared" ca="1" si="14"/>
        <v>3.2792494795972193E-3</v>
      </c>
      <c r="AF18" s="35">
        <f t="shared" ca="1" si="15"/>
        <v>1.3972454304371235E-3</v>
      </c>
      <c r="AG18" s="35">
        <f t="shared" ca="1" si="16"/>
        <v>2.9370669252044377E-3</v>
      </c>
      <c r="AH18" s="35">
        <f t="shared" ca="1" si="17"/>
        <v>2.3667626678832701E-3</v>
      </c>
      <c r="AI18" s="35">
        <f t="shared" ca="1" si="18"/>
        <v>4.6764949100343428E-3</v>
      </c>
      <c r="AJ18" s="35">
        <f t="shared" ca="1" si="19"/>
        <v>2.851521286605837E-4</v>
      </c>
      <c r="AK18" s="35">
        <f t="shared" ca="1" si="20"/>
        <v>2.4523083064814655E-3</v>
      </c>
      <c r="AM18" s="35">
        <f t="shared" ca="1" si="21"/>
        <v>2.7545695628617087E-2</v>
      </c>
    </row>
    <row r="19" spans="1:39" x14ac:dyDescent="0.3">
      <c r="A19" t="s">
        <v>17</v>
      </c>
      <c r="B19">
        <v>50</v>
      </c>
      <c r="C19">
        <v>1</v>
      </c>
      <c r="D19">
        <v>53.017000000000003</v>
      </c>
      <c r="E19">
        <v>19.617000000000001</v>
      </c>
      <c r="F19">
        <v>250</v>
      </c>
      <c r="H19" s="35" t="s">
        <v>34</v>
      </c>
      <c r="I19" s="35">
        <v>224</v>
      </c>
      <c r="J19" s="35">
        <v>1</v>
      </c>
      <c r="L19" s="35">
        <f t="shared" ca="1" si="22"/>
        <v>71.927999999999997</v>
      </c>
      <c r="M19" s="35">
        <f t="shared" ca="1" si="22"/>
        <v>72.004999999999995</v>
      </c>
      <c r="N19" s="35">
        <f t="shared" ca="1" si="22"/>
        <v>71.994</v>
      </c>
      <c r="O19" s="35">
        <f t="shared" ca="1" si="22"/>
        <v>72.010999999999996</v>
      </c>
      <c r="P19" s="35">
        <f t="shared" ca="1" si="22"/>
        <v>71.94</v>
      </c>
      <c r="Q19" s="35">
        <f t="shared" ca="1" si="22"/>
        <v>71.930000000000007</v>
      </c>
      <c r="R19" s="35">
        <f t="shared" ca="1" si="22"/>
        <v>71.927999999999997</v>
      </c>
      <c r="S19" s="35">
        <f t="shared" ca="1" si="22"/>
        <v>71.912999999999997</v>
      </c>
      <c r="T19" s="35">
        <f t="shared" ca="1" si="22"/>
        <v>71.921000000000006</v>
      </c>
      <c r="U19" s="35">
        <f t="shared" ca="1" si="22"/>
        <v>71.998000000000005</v>
      </c>
      <c r="W19" s="35">
        <f t="shared" ca="1" si="10"/>
        <v>71.956800000000015</v>
      </c>
      <c r="Y19" s="35">
        <f ca="1">Total!E19</f>
        <v>71.908000000000001</v>
      </c>
      <c r="AB19" s="35">
        <f t="shared" ca="1" si="11"/>
        <v>2.7813317016181819E-4</v>
      </c>
      <c r="AC19" s="35">
        <f t="shared" ca="1" si="12"/>
        <v>1.3489458752850058E-3</v>
      </c>
      <c r="AD19" s="35">
        <f t="shared" ca="1" si="13"/>
        <v>1.1959726316960355E-3</v>
      </c>
      <c r="AE19" s="35">
        <f t="shared" ca="1" si="14"/>
        <v>1.432385826333571E-3</v>
      </c>
      <c r="AF19" s="35">
        <f t="shared" ca="1" si="15"/>
        <v>4.4501307225894857E-4</v>
      </c>
      <c r="AG19" s="35">
        <f t="shared" ca="1" si="16"/>
        <v>3.059464871781383E-4</v>
      </c>
      <c r="AH19" s="35">
        <f t="shared" ca="1" si="17"/>
        <v>2.7813317016181819E-4</v>
      </c>
      <c r="AI19" s="35">
        <f t="shared" ca="1" si="18"/>
        <v>6.9533292540405135E-5</v>
      </c>
      <c r="AJ19" s="35">
        <f t="shared" ca="1" si="19"/>
        <v>1.8078656060529049E-4</v>
      </c>
      <c r="AK19" s="35">
        <f t="shared" ca="1" si="20"/>
        <v>1.2515992657284782E-3</v>
      </c>
      <c r="AM19" s="35">
        <f t="shared" ca="1" si="21"/>
        <v>6.7864493519495086E-3</v>
      </c>
    </row>
    <row r="20" spans="1:39" x14ac:dyDescent="0.3">
      <c r="A20" t="s">
        <v>17</v>
      </c>
      <c r="B20">
        <v>50</v>
      </c>
      <c r="C20">
        <v>1</v>
      </c>
      <c r="D20">
        <v>53.137999999999998</v>
      </c>
      <c r="E20">
        <v>19.602</v>
      </c>
      <c r="F20">
        <v>237</v>
      </c>
    </row>
    <row r="21" spans="1:39" x14ac:dyDescent="0.3">
      <c r="A21" t="s">
        <v>17</v>
      </c>
      <c r="B21">
        <v>100</v>
      </c>
      <c r="C21">
        <v>1</v>
      </c>
      <c r="D21">
        <v>103.255</v>
      </c>
      <c r="E21">
        <v>102.113</v>
      </c>
      <c r="F21">
        <v>381</v>
      </c>
    </row>
    <row r="22" spans="1:39" x14ac:dyDescent="0.3">
      <c r="A22" t="s">
        <v>17</v>
      </c>
      <c r="B22">
        <v>100</v>
      </c>
      <c r="C22">
        <v>1</v>
      </c>
      <c r="D22">
        <v>103.197</v>
      </c>
      <c r="E22">
        <v>102</v>
      </c>
      <c r="F22">
        <v>418</v>
      </c>
    </row>
    <row r="23" spans="1:39" x14ac:dyDescent="0.3">
      <c r="A23" t="s">
        <v>17</v>
      </c>
      <c r="B23">
        <v>100</v>
      </c>
      <c r="C23">
        <v>1</v>
      </c>
      <c r="D23">
        <v>103.244</v>
      </c>
      <c r="E23">
        <v>102.098</v>
      </c>
      <c r="F23">
        <v>435</v>
      </c>
    </row>
    <row r="24" spans="1:39" x14ac:dyDescent="0.3">
      <c r="A24" t="s">
        <v>17</v>
      </c>
      <c r="B24">
        <v>100</v>
      </c>
      <c r="C24">
        <v>1</v>
      </c>
      <c r="D24">
        <v>103.27800000000001</v>
      </c>
      <c r="E24">
        <v>102.16800000000001</v>
      </c>
      <c r="F24">
        <v>421</v>
      </c>
    </row>
    <row r="25" spans="1:39" x14ac:dyDescent="0.3">
      <c r="A25" t="s">
        <v>17</v>
      </c>
      <c r="B25">
        <v>100</v>
      </c>
      <c r="C25">
        <v>1</v>
      </c>
      <c r="D25">
        <v>103.261</v>
      </c>
      <c r="E25">
        <v>102.227</v>
      </c>
      <c r="F25">
        <v>388</v>
      </c>
    </row>
    <row r="26" spans="1:39" x14ac:dyDescent="0.3">
      <c r="A26" t="s">
        <v>17</v>
      </c>
      <c r="B26">
        <v>100</v>
      </c>
      <c r="C26">
        <v>1</v>
      </c>
      <c r="D26">
        <v>103.22199999999999</v>
      </c>
      <c r="E26">
        <v>102.07</v>
      </c>
      <c r="F26">
        <v>376</v>
      </c>
    </row>
    <row r="27" spans="1:39" x14ac:dyDescent="0.3">
      <c r="A27" t="s">
        <v>17</v>
      </c>
      <c r="B27">
        <v>100</v>
      </c>
      <c r="C27">
        <v>1</v>
      </c>
      <c r="D27">
        <v>102.937</v>
      </c>
      <c r="E27">
        <v>102.021</v>
      </c>
      <c r="F27">
        <v>392</v>
      </c>
    </row>
    <row r="28" spans="1:39" x14ac:dyDescent="0.3">
      <c r="A28" t="s">
        <v>17</v>
      </c>
      <c r="B28">
        <v>100</v>
      </c>
      <c r="C28">
        <v>1</v>
      </c>
      <c r="D28">
        <v>103.27</v>
      </c>
      <c r="E28">
        <v>102.161</v>
      </c>
      <c r="F28">
        <v>376</v>
      </c>
    </row>
    <row r="29" spans="1:39" x14ac:dyDescent="0.3">
      <c r="A29" t="s">
        <v>17</v>
      </c>
      <c r="B29">
        <v>100</v>
      </c>
      <c r="C29">
        <v>1</v>
      </c>
      <c r="D29">
        <v>103.623</v>
      </c>
      <c r="E29">
        <v>102.032</v>
      </c>
      <c r="F29">
        <v>364</v>
      </c>
    </row>
    <row r="30" spans="1:39" x14ac:dyDescent="0.3">
      <c r="A30" t="s">
        <v>17</v>
      </c>
      <c r="B30">
        <v>100</v>
      </c>
      <c r="C30">
        <v>1</v>
      </c>
      <c r="D30">
        <v>103.297</v>
      </c>
      <c r="E30">
        <v>102.13500000000001</v>
      </c>
      <c r="F30">
        <v>384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7.9969999999999999</v>
      </c>
      <c r="F31">
        <v>294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8.0139999999999993</v>
      </c>
      <c r="F32">
        <v>315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7.9989999999999997</v>
      </c>
      <c r="F33">
        <v>309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8.02</v>
      </c>
      <c r="F34">
        <v>279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8.0259999999999998</v>
      </c>
      <c r="F35">
        <v>286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</v>
      </c>
      <c r="F36">
        <v>282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8.0150000000000006</v>
      </c>
      <c r="F37">
        <v>307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8.0250000000000004</v>
      </c>
      <c r="F38">
        <v>287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8.0269999999999992</v>
      </c>
      <c r="F39">
        <v>300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</v>
      </c>
      <c r="F40">
        <v>263</v>
      </c>
    </row>
    <row r="41" spans="1:6" x14ac:dyDescent="0.3">
      <c r="A41" t="s">
        <v>18</v>
      </c>
      <c r="B41">
        <v>50</v>
      </c>
      <c r="C41">
        <v>1</v>
      </c>
      <c r="D41">
        <v>179.953</v>
      </c>
      <c r="E41">
        <v>22.422000000000001</v>
      </c>
      <c r="F41">
        <v>264</v>
      </c>
    </row>
    <row r="42" spans="1:6" x14ac:dyDescent="0.3">
      <c r="A42" t="s">
        <v>18</v>
      </c>
      <c r="B42">
        <v>50</v>
      </c>
      <c r="C42">
        <v>1</v>
      </c>
      <c r="D42">
        <v>180.685</v>
      </c>
      <c r="E42">
        <v>22.413</v>
      </c>
      <c r="F42">
        <v>330</v>
      </c>
    </row>
    <row r="43" spans="1:6" x14ac:dyDescent="0.3">
      <c r="A43" t="s">
        <v>18</v>
      </c>
      <c r="B43">
        <v>50</v>
      </c>
      <c r="C43">
        <v>1</v>
      </c>
      <c r="D43">
        <v>179.673</v>
      </c>
      <c r="E43">
        <v>22.407</v>
      </c>
      <c r="F43">
        <v>344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22.448</v>
      </c>
      <c r="F44">
        <v>339</v>
      </c>
    </row>
    <row r="45" spans="1:6" x14ac:dyDescent="0.3">
      <c r="A45" t="s">
        <v>18</v>
      </c>
      <c r="B45">
        <v>50</v>
      </c>
      <c r="C45">
        <v>1</v>
      </c>
      <c r="D45">
        <v>181.64500000000001</v>
      </c>
      <c r="E45">
        <v>22.439</v>
      </c>
      <c r="F45">
        <v>356</v>
      </c>
    </row>
    <row r="46" spans="1:6" x14ac:dyDescent="0.3">
      <c r="A46" t="s">
        <v>18</v>
      </c>
      <c r="B46">
        <v>50</v>
      </c>
      <c r="C46">
        <v>1</v>
      </c>
      <c r="D46">
        <v>179.93799999999999</v>
      </c>
      <c r="E46">
        <v>22.437999999999999</v>
      </c>
      <c r="F46">
        <v>329</v>
      </c>
    </row>
    <row r="47" spans="1:6" x14ac:dyDescent="0.3">
      <c r="A47" t="s">
        <v>18</v>
      </c>
      <c r="B47">
        <v>50</v>
      </c>
      <c r="C47">
        <v>1</v>
      </c>
      <c r="D47">
        <v>179.93799999999999</v>
      </c>
      <c r="E47">
        <v>22.428000000000001</v>
      </c>
      <c r="F47">
        <v>308</v>
      </c>
    </row>
    <row r="48" spans="1:6" x14ac:dyDescent="0.3">
      <c r="A48" t="s">
        <v>18</v>
      </c>
      <c r="B48">
        <v>50</v>
      </c>
      <c r="C48">
        <v>1</v>
      </c>
      <c r="D48">
        <v>179.93799999999999</v>
      </c>
      <c r="E48">
        <v>22.44</v>
      </c>
      <c r="F48">
        <v>330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22.431999999999999</v>
      </c>
      <c r="F49">
        <v>351</v>
      </c>
    </row>
    <row r="50" spans="1:6" x14ac:dyDescent="0.3">
      <c r="A50" t="s">
        <v>18</v>
      </c>
      <c r="B50">
        <v>50</v>
      </c>
      <c r="C50">
        <v>1</v>
      </c>
      <c r="D50">
        <v>180.87100000000001</v>
      </c>
      <c r="E50">
        <v>22.402999999999999</v>
      </c>
      <c r="F50">
        <v>345</v>
      </c>
    </row>
    <row r="51" spans="1:6" x14ac:dyDescent="0.3">
      <c r="A51" t="s">
        <v>18</v>
      </c>
      <c r="B51">
        <v>100</v>
      </c>
      <c r="C51">
        <v>1</v>
      </c>
      <c r="D51">
        <v>239.05</v>
      </c>
      <c r="E51">
        <v>138.64099999999999</v>
      </c>
      <c r="F51">
        <v>436</v>
      </c>
    </row>
    <row r="52" spans="1:6" x14ac:dyDescent="0.3">
      <c r="A52" t="s">
        <v>18</v>
      </c>
      <c r="B52">
        <v>100</v>
      </c>
      <c r="C52">
        <v>1</v>
      </c>
      <c r="D52">
        <v>239.333</v>
      </c>
      <c r="E52">
        <v>138.62799999999999</v>
      </c>
      <c r="F52">
        <v>433</v>
      </c>
    </row>
    <row r="53" spans="1:6" x14ac:dyDescent="0.3">
      <c r="A53" t="s">
        <v>18</v>
      </c>
      <c r="B53">
        <v>100</v>
      </c>
      <c r="C53">
        <v>1</v>
      </c>
      <c r="D53">
        <v>240.62</v>
      </c>
      <c r="E53">
        <v>138.51400000000001</v>
      </c>
      <c r="F53">
        <v>426</v>
      </c>
    </row>
    <row r="54" spans="1:6" x14ac:dyDescent="0.3">
      <c r="A54" t="s">
        <v>18</v>
      </c>
      <c r="B54">
        <v>100</v>
      </c>
      <c r="C54">
        <v>1</v>
      </c>
      <c r="D54">
        <v>238.98</v>
      </c>
      <c r="E54">
        <v>138.703</v>
      </c>
      <c r="F54">
        <v>461</v>
      </c>
    </row>
    <row r="55" spans="1:6" x14ac:dyDescent="0.3">
      <c r="A55" t="s">
        <v>18</v>
      </c>
      <c r="B55">
        <v>100</v>
      </c>
      <c r="C55">
        <v>1</v>
      </c>
      <c r="D55">
        <v>239.16300000000001</v>
      </c>
      <c r="E55">
        <v>138.67699999999999</v>
      </c>
      <c r="F55">
        <v>476</v>
      </c>
    </row>
    <row r="56" spans="1:6" x14ac:dyDescent="0.3">
      <c r="A56" t="s">
        <v>18</v>
      </c>
      <c r="B56">
        <v>100</v>
      </c>
      <c r="C56">
        <v>1</v>
      </c>
      <c r="D56">
        <v>239.08099999999999</v>
      </c>
      <c r="E56">
        <v>138.72800000000001</v>
      </c>
      <c r="F56">
        <v>442</v>
      </c>
    </row>
    <row r="57" spans="1:6" x14ac:dyDescent="0.3">
      <c r="A57" t="s">
        <v>18</v>
      </c>
      <c r="B57">
        <v>100</v>
      </c>
      <c r="C57">
        <v>1</v>
      </c>
      <c r="D57">
        <v>238.95699999999999</v>
      </c>
      <c r="E57">
        <v>138.70699999999999</v>
      </c>
      <c r="F57">
        <v>431</v>
      </c>
    </row>
    <row r="58" spans="1:6" x14ac:dyDescent="0.3">
      <c r="A58" t="s">
        <v>18</v>
      </c>
      <c r="B58">
        <v>100</v>
      </c>
      <c r="C58">
        <v>1</v>
      </c>
      <c r="D58">
        <v>239.119</v>
      </c>
      <c r="E58">
        <v>138.64599999999999</v>
      </c>
      <c r="F58">
        <v>436</v>
      </c>
    </row>
    <row r="59" spans="1:6" x14ac:dyDescent="0.3">
      <c r="A59" t="s">
        <v>18</v>
      </c>
      <c r="B59">
        <v>100</v>
      </c>
      <c r="C59">
        <v>1</v>
      </c>
      <c r="D59">
        <v>239.501</v>
      </c>
      <c r="E59">
        <v>138.691</v>
      </c>
      <c r="F59">
        <v>432</v>
      </c>
    </row>
    <row r="60" spans="1:6" x14ac:dyDescent="0.3">
      <c r="A60" t="s">
        <v>18</v>
      </c>
      <c r="B60">
        <v>100</v>
      </c>
      <c r="C60">
        <v>1</v>
      </c>
      <c r="D60">
        <v>239.10499999999999</v>
      </c>
      <c r="E60">
        <v>138.495</v>
      </c>
      <c r="F60">
        <v>445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4.3159999999999998</v>
      </c>
      <c r="F61">
        <v>195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4.3239999999999998</v>
      </c>
      <c r="F62">
        <v>202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4.3140000000000001</v>
      </c>
      <c r="F63">
        <v>173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4.3369999999999997</v>
      </c>
      <c r="F64">
        <v>165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4.3170000000000002</v>
      </c>
      <c r="F65">
        <v>189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4.3109999999999999</v>
      </c>
      <c r="F66">
        <v>147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4.3120000000000003</v>
      </c>
      <c r="F67">
        <v>191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4.3129999999999997</v>
      </c>
      <c r="F68">
        <v>209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4.3129999999999997</v>
      </c>
      <c r="F69">
        <v>180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4.3230000000000004</v>
      </c>
      <c r="F70">
        <v>190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13.231</v>
      </c>
      <c r="F71">
        <v>197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13.233000000000001</v>
      </c>
      <c r="F72">
        <v>188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13.24</v>
      </c>
      <c r="F73">
        <v>196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13.221</v>
      </c>
      <c r="F74">
        <v>193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13.205</v>
      </c>
      <c r="F75">
        <v>197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13.215</v>
      </c>
      <c r="F76">
        <v>190</v>
      </c>
    </row>
    <row r="77" spans="1:6" x14ac:dyDescent="0.3">
      <c r="A77" t="s">
        <v>19</v>
      </c>
      <c r="B77">
        <v>47</v>
      </c>
      <c r="C77">
        <v>1</v>
      </c>
      <c r="D77">
        <v>4318.4880000000003</v>
      </c>
      <c r="E77">
        <v>13.211</v>
      </c>
      <c r="F77">
        <v>187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13.198</v>
      </c>
      <c r="F78">
        <v>192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13.221</v>
      </c>
      <c r="F79">
        <v>193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13.212</v>
      </c>
      <c r="F80">
        <v>196</v>
      </c>
    </row>
    <row r="81" spans="1:6" x14ac:dyDescent="0.3">
      <c r="A81" t="s">
        <v>19</v>
      </c>
      <c r="B81">
        <v>100</v>
      </c>
      <c r="C81">
        <v>1</v>
      </c>
      <c r="D81">
        <v>35275.114999999998</v>
      </c>
      <c r="E81">
        <v>55.021000000000001</v>
      </c>
      <c r="F81">
        <v>215</v>
      </c>
    </row>
    <row r="82" spans="1:6" x14ac:dyDescent="0.3">
      <c r="A82" t="s">
        <v>19</v>
      </c>
      <c r="B82">
        <v>100</v>
      </c>
      <c r="C82">
        <v>1</v>
      </c>
      <c r="D82">
        <v>35272.953000000001</v>
      </c>
      <c r="E82">
        <v>54.901000000000003</v>
      </c>
      <c r="F82">
        <v>211</v>
      </c>
    </row>
    <row r="83" spans="1:6" x14ac:dyDescent="0.3">
      <c r="A83" t="s">
        <v>19</v>
      </c>
      <c r="B83">
        <v>100</v>
      </c>
      <c r="C83">
        <v>1</v>
      </c>
      <c r="D83">
        <v>35311.523000000001</v>
      </c>
      <c r="E83">
        <v>54.84</v>
      </c>
      <c r="F83">
        <v>209</v>
      </c>
    </row>
    <row r="84" spans="1:6" x14ac:dyDescent="0.3">
      <c r="A84" t="s">
        <v>19</v>
      </c>
      <c r="B84">
        <v>100</v>
      </c>
      <c r="C84">
        <v>1</v>
      </c>
      <c r="D84">
        <v>35284.372000000003</v>
      </c>
      <c r="E84">
        <v>54.930999999999997</v>
      </c>
      <c r="F84">
        <v>205</v>
      </c>
    </row>
    <row r="85" spans="1:6" x14ac:dyDescent="0.3">
      <c r="A85" t="s">
        <v>19</v>
      </c>
      <c r="B85">
        <v>100</v>
      </c>
      <c r="C85">
        <v>1</v>
      </c>
      <c r="D85">
        <v>35243.358</v>
      </c>
      <c r="E85">
        <v>54.899000000000001</v>
      </c>
      <c r="F85">
        <v>233</v>
      </c>
    </row>
    <row r="86" spans="1:6" x14ac:dyDescent="0.3">
      <c r="A86" t="s">
        <v>19</v>
      </c>
      <c r="B86">
        <v>100</v>
      </c>
      <c r="C86">
        <v>1</v>
      </c>
      <c r="D86">
        <v>35253.605000000003</v>
      </c>
      <c r="E86">
        <v>54.798999999999999</v>
      </c>
      <c r="F86">
        <v>237</v>
      </c>
    </row>
    <row r="87" spans="1:6" x14ac:dyDescent="0.3">
      <c r="A87" t="s">
        <v>19</v>
      </c>
      <c r="B87">
        <v>100</v>
      </c>
      <c r="C87">
        <v>1</v>
      </c>
      <c r="D87">
        <v>35218.18</v>
      </c>
      <c r="E87">
        <v>54.935000000000002</v>
      </c>
      <c r="F87">
        <v>239</v>
      </c>
    </row>
    <row r="88" spans="1:6" x14ac:dyDescent="0.3">
      <c r="A88" t="s">
        <v>19</v>
      </c>
      <c r="B88">
        <v>100</v>
      </c>
      <c r="C88">
        <v>1</v>
      </c>
      <c r="D88">
        <v>35273.317999999999</v>
      </c>
      <c r="E88">
        <v>54.807000000000002</v>
      </c>
      <c r="F88">
        <v>242</v>
      </c>
    </row>
    <row r="89" spans="1:6" x14ac:dyDescent="0.3">
      <c r="A89" t="s">
        <v>19</v>
      </c>
      <c r="B89">
        <v>100</v>
      </c>
      <c r="C89">
        <v>1</v>
      </c>
      <c r="D89">
        <v>35253.682999999997</v>
      </c>
      <c r="E89">
        <v>54.886000000000003</v>
      </c>
      <c r="F89">
        <v>244</v>
      </c>
    </row>
    <row r="90" spans="1:6" x14ac:dyDescent="0.3">
      <c r="A90" t="s">
        <v>19</v>
      </c>
      <c r="B90">
        <v>100</v>
      </c>
      <c r="C90">
        <v>1</v>
      </c>
      <c r="D90">
        <v>35310.597999999998</v>
      </c>
      <c r="E90">
        <v>54.9</v>
      </c>
      <c r="F90">
        <v>228</v>
      </c>
    </row>
    <row r="91" spans="1:6" x14ac:dyDescent="0.3">
      <c r="A91" t="s">
        <v>20</v>
      </c>
      <c r="B91">
        <v>30</v>
      </c>
      <c r="C91">
        <v>1</v>
      </c>
      <c r="D91">
        <v>658.23299999999995</v>
      </c>
      <c r="E91">
        <v>6.4870000000000001</v>
      </c>
      <c r="F91">
        <v>180</v>
      </c>
    </row>
    <row r="92" spans="1:6" x14ac:dyDescent="0.3">
      <c r="A92" t="s">
        <v>20</v>
      </c>
      <c r="B92">
        <v>30</v>
      </c>
      <c r="C92">
        <v>1</v>
      </c>
      <c r="D92">
        <v>657.35599999999999</v>
      </c>
      <c r="E92">
        <v>6.51</v>
      </c>
      <c r="F92">
        <v>184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6.4690000000000003</v>
      </c>
      <c r="F93">
        <v>180</v>
      </c>
    </row>
    <row r="94" spans="1:6" x14ac:dyDescent="0.3">
      <c r="A94" t="s">
        <v>20</v>
      </c>
      <c r="B94">
        <v>30</v>
      </c>
      <c r="C94">
        <v>1</v>
      </c>
      <c r="D94">
        <v>657.35599999999999</v>
      </c>
      <c r="E94">
        <v>6.4779999999999998</v>
      </c>
      <c r="F94">
        <v>186</v>
      </c>
    </row>
    <row r="95" spans="1:6" x14ac:dyDescent="0.3">
      <c r="A95" t="s">
        <v>20</v>
      </c>
      <c r="B95">
        <v>30</v>
      </c>
      <c r="C95">
        <v>1</v>
      </c>
      <c r="D95">
        <v>658.23299999999995</v>
      </c>
      <c r="E95">
        <v>6.468</v>
      </c>
      <c r="F95">
        <v>187</v>
      </c>
    </row>
    <row r="96" spans="1:6" x14ac:dyDescent="0.3">
      <c r="A96" t="s">
        <v>20</v>
      </c>
      <c r="B96">
        <v>30</v>
      </c>
      <c r="C96">
        <v>1</v>
      </c>
      <c r="D96">
        <v>657.35599999999999</v>
      </c>
      <c r="E96">
        <v>6.4989999999999997</v>
      </c>
      <c r="F96">
        <v>179</v>
      </c>
    </row>
    <row r="97" spans="1:6" x14ac:dyDescent="0.3">
      <c r="A97" t="s">
        <v>20</v>
      </c>
      <c r="B97">
        <v>30</v>
      </c>
      <c r="C97">
        <v>1</v>
      </c>
      <c r="D97">
        <v>658.23299999999995</v>
      </c>
      <c r="E97">
        <v>6.4820000000000002</v>
      </c>
      <c r="F97">
        <v>185</v>
      </c>
    </row>
    <row r="98" spans="1:6" x14ac:dyDescent="0.3">
      <c r="A98" t="s">
        <v>20</v>
      </c>
      <c r="B98">
        <v>30</v>
      </c>
      <c r="C98">
        <v>1</v>
      </c>
      <c r="D98">
        <v>655.46500000000003</v>
      </c>
      <c r="E98">
        <v>6.4850000000000003</v>
      </c>
      <c r="F98">
        <v>176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6.4690000000000003</v>
      </c>
      <c r="F99">
        <v>182</v>
      </c>
    </row>
    <row r="100" spans="1:6" x14ac:dyDescent="0.3">
      <c r="A100" t="s">
        <v>20</v>
      </c>
      <c r="B100">
        <v>30</v>
      </c>
      <c r="C100">
        <v>1</v>
      </c>
      <c r="D100">
        <v>657.35599999999999</v>
      </c>
      <c r="E100">
        <v>6.4690000000000003</v>
      </c>
      <c r="F100">
        <v>212</v>
      </c>
    </row>
    <row r="101" spans="1:6" x14ac:dyDescent="0.3">
      <c r="A101" t="s">
        <v>20</v>
      </c>
      <c r="B101">
        <v>50</v>
      </c>
      <c r="C101">
        <v>1</v>
      </c>
      <c r="D101">
        <v>993.88499999999999</v>
      </c>
      <c r="E101">
        <v>14.737</v>
      </c>
      <c r="F101">
        <v>191</v>
      </c>
    </row>
    <row r="102" spans="1:6" x14ac:dyDescent="0.3">
      <c r="A102" t="s">
        <v>20</v>
      </c>
      <c r="B102">
        <v>50</v>
      </c>
      <c r="C102">
        <v>1</v>
      </c>
      <c r="D102">
        <v>993.51400000000001</v>
      </c>
      <c r="E102">
        <v>14.7</v>
      </c>
      <c r="F102">
        <v>193</v>
      </c>
    </row>
    <row r="103" spans="1:6" x14ac:dyDescent="0.3">
      <c r="A103" t="s">
        <v>20</v>
      </c>
      <c r="B103">
        <v>50</v>
      </c>
      <c r="C103">
        <v>1</v>
      </c>
      <c r="D103">
        <v>990.69</v>
      </c>
      <c r="E103">
        <v>14.698</v>
      </c>
      <c r="F103">
        <v>198</v>
      </c>
    </row>
    <row r="104" spans="1:6" x14ac:dyDescent="0.3">
      <c r="A104" t="s">
        <v>20</v>
      </c>
      <c r="B104">
        <v>50</v>
      </c>
      <c r="C104">
        <v>1</v>
      </c>
      <c r="D104">
        <v>994.54600000000005</v>
      </c>
      <c r="E104">
        <v>14.709</v>
      </c>
      <c r="F104">
        <v>190</v>
      </c>
    </row>
    <row r="105" spans="1:6" x14ac:dyDescent="0.3">
      <c r="A105" t="s">
        <v>20</v>
      </c>
      <c r="B105">
        <v>50</v>
      </c>
      <c r="C105">
        <v>1</v>
      </c>
      <c r="D105">
        <v>994.75400000000002</v>
      </c>
      <c r="E105">
        <v>14.714</v>
      </c>
      <c r="F105">
        <v>196</v>
      </c>
    </row>
    <row r="106" spans="1:6" x14ac:dyDescent="0.3">
      <c r="A106" t="s">
        <v>20</v>
      </c>
      <c r="B106">
        <v>50</v>
      </c>
      <c r="C106">
        <v>1</v>
      </c>
      <c r="D106">
        <v>994.53099999999995</v>
      </c>
      <c r="E106">
        <v>14.702999999999999</v>
      </c>
      <c r="F106">
        <v>192</v>
      </c>
    </row>
    <row r="107" spans="1:6" x14ac:dyDescent="0.3">
      <c r="A107" t="s">
        <v>20</v>
      </c>
      <c r="B107">
        <v>50</v>
      </c>
      <c r="C107">
        <v>1</v>
      </c>
      <c r="D107">
        <v>991.55</v>
      </c>
      <c r="E107">
        <v>14.715</v>
      </c>
      <c r="F107">
        <v>195</v>
      </c>
    </row>
    <row r="108" spans="1:6" x14ac:dyDescent="0.3">
      <c r="A108" t="s">
        <v>20</v>
      </c>
      <c r="B108">
        <v>50</v>
      </c>
      <c r="C108">
        <v>1</v>
      </c>
      <c r="D108">
        <v>995.03099999999995</v>
      </c>
      <c r="E108">
        <v>14.750999999999999</v>
      </c>
      <c r="F108">
        <v>193</v>
      </c>
    </row>
    <row r="109" spans="1:6" x14ac:dyDescent="0.3">
      <c r="A109" t="s">
        <v>20</v>
      </c>
      <c r="B109">
        <v>50</v>
      </c>
      <c r="C109">
        <v>1</v>
      </c>
      <c r="D109">
        <v>994.298</v>
      </c>
      <c r="E109">
        <v>14.749000000000001</v>
      </c>
      <c r="F109">
        <v>191</v>
      </c>
    </row>
    <row r="110" spans="1:6" x14ac:dyDescent="0.3">
      <c r="A110" t="s">
        <v>20</v>
      </c>
      <c r="B110">
        <v>50</v>
      </c>
      <c r="C110">
        <v>1</v>
      </c>
      <c r="D110">
        <v>991.73800000000006</v>
      </c>
      <c r="E110">
        <v>14.683999999999999</v>
      </c>
      <c r="F110">
        <v>195</v>
      </c>
    </row>
    <row r="111" spans="1:6" x14ac:dyDescent="0.3">
      <c r="A111" t="s">
        <v>20</v>
      </c>
      <c r="B111">
        <v>100</v>
      </c>
      <c r="C111">
        <v>1</v>
      </c>
      <c r="D111">
        <v>1755.5309999999999</v>
      </c>
      <c r="E111">
        <v>32.533999999999999</v>
      </c>
      <c r="F111">
        <v>140</v>
      </c>
    </row>
    <row r="112" spans="1:6" x14ac:dyDescent="0.3">
      <c r="A112" t="s">
        <v>20</v>
      </c>
      <c r="B112">
        <v>100</v>
      </c>
      <c r="C112">
        <v>1</v>
      </c>
      <c r="D112">
        <v>1758.655</v>
      </c>
      <c r="E112">
        <v>32.567</v>
      </c>
      <c r="F112">
        <v>138</v>
      </c>
    </row>
    <row r="113" spans="1:6" x14ac:dyDescent="0.3">
      <c r="A113" t="s">
        <v>20</v>
      </c>
      <c r="B113">
        <v>100</v>
      </c>
      <c r="C113">
        <v>1</v>
      </c>
      <c r="D113">
        <v>1760.72</v>
      </c>
      <c r="E113">
        <v>32.537999999999997</v>
      </c>
      <c r="F113">
        <v>156</v>
      </c>
    </row>
    <row r="114" spans="1:6" x14ac:dyDescent="0.3">
      <c r="A114" t="s">
        <v>20</v>
      </c>
      <c r="B114">
        <v>100</v>
      </c>
      <c r="C114">
        <v>1</v>
      </c>
      <c r="D114">
        <v>1758.13</v>
      </c>
      <c r="E114">
        <v>32.58</v>
      </c>
      <c r="F114">
        <v>162</v>
      </c>
    </row>
    <row r="115" spans="1:6" x14ac:dyDescent="0.3">
      <c r="A115" t="s">
        <v>20</v>
      </c>
      <c r="B115">
        <v>100</v>
      </c>
      <c r="C115">
        <v>1</v>
      </c>
      <c r="D115">
        <v>1756.067</v>
      </c>
      <c r="E115">
        <v>32.594999999999999</v>
      </c>
      <c r="F115">
        <v>163</v>
      </c>
    </row>
    <row r="116" spans="1:6" x14ac:dyDescent="0.3">
      <c r="A116" t="s">
        <v>20</v>
      </c>
      <c r="B116">
        <v>100</v>
      </c>
      <c r="C116">
        <v>1</v>
      </c>
      <c r="D116">
        <v>1755.76</v>
      </c>
      <c r="E116">
        <v>32.488999999999997</v>
      </c>
      <c r="F116">
        <v>163</v>
      </c>
    </row>
    <row r="117" spans="1:6" x14ac:dyDescent="0.3">
      <c r="A117" t="s">
        <v>20</v>
      </c>
      <c r="B117">
        <v>100</v>
      </c>
      <c r="C117">
        <v>1</v>
      </c>
      <c r="D117">
        <v>1755.152</v>
      </c>
      <c r="E117">
        <v>32.601999999999997</v>
      </c>
      <c r="F117">
        <v>161</v>
      </c>
    </row>
    <row r="118" spans="1:6" x14ac:dyDescent="0.3">
      <c r="A118" t="s">
        <v>20</v>
      </c>
      <c r="B118">
        <v>100</v>
      </c>
      <c r="C118">
        <v>1</v>
      </c>
      <c r="D118">
        <v>1762.502</v>
      </c>
      <c r="E118">
        <v>32.494999999999997</v>
      </c>
      <c r="F118">
        <v>160</v>
      </c>
    </row>
    <row r="119" spans="1:6" x14ac:dyDescent="0.3">
      <c r="A119" t="s">
        <v>20</v>
      </c>
      <c r="B119">
        <v>100</v>
      </c>
      <c r="C119">
        <v>1</v>
      </c>
      <c r="D119">
        <v>1753.9269999999999</v>
      </c>
      <c r="E119">
        <v>32.481999999999999</v>
      </c>
      <c r="F119">
        <v>158</v>
      </c>
    </row>
    <row r="120" spans="1:6" x14ac:dyDescent="0.3">
      <c r="A120" t="s">
        <v>20</v>
      </c>
      <c r="B120">
        <v>100</v>
      </c>
      <c r="C120">
        <v>1</v>
      </c>
      <c r="D120">
        <v>1756.05</v>
      </c>
      <c r="E120">
        <v>32.622</v>
      </c>
      <c r="F120">
        <v>167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1.39</v>
      </c>
      <c r="F121">
        <v>245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1.367</v>
      </c>
      <c r="F122">
        <v>234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1.3740000000000001</v>
      </c>
      <c r="F123">
        <v>94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1.3779999999999999</v>
      </c>
      <c r="F124">
        <v>102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1.365</v>
      </c>
      <c r="F125">
        <v>62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1.371</v>
      </c>
      <c r="F126">
        <v>116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1.3720000000000001</v>
      </c>
      <c r="F127">
        <v>54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1.365</v>
      </c>
      <c r="F128">
        <v>163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1.3660000000000001</v>
      </c>
      <c r="F129">
        <v>334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1.3640000000000001</v>
      </c>
      <c r="F130">
        <v>152</v>
      </c>
    </row>
    <row r="131" spans="1:6" x14ac:dyDescent="0.3">
      <c r="A131" t="s">
        <v>33</v>
      </c>
      <c r="B131">
        <v>209</v>
      </c>
      <c r="C131">
        <v>1</v>
      </c>
      <c r="D131">
        <v>76.28</v>
      </c>
      <c r="E131">
        <v>181.517</v>
      </c>
      <c r="F131">
        <v>168</v>
      </c>
    </row>
    <row r="132" spans="1:6" x14ac:dyDescent="0.3">
      <c r="A132" t="s">
        <v>33</v>
      </c>
      <c r="B132">
        <v>209</v>
      </c>
      <c r="C132">
        <v>1</v>
      </c>
      <c r="D132">
        <v>76.506</v>
      </c>
      <c r="E132">
        <v>181.37200000000001</v>
      </c>
      <c r="F132">
        <v>166</v>
      </c>
    </row>
    <row r="133" spans="1:6" x14ac:dyDescent="0.3">
      <c r="A133" t="s">
        <v>33</v>
      </c>
      <c r="B133">
        <v>209</v>
      </c>
      <c r="C133">
        <v>1</v>
      </c>
      <c r="D133">
        <v>76.41</v>
      </c>
      <c r="E133">
        <v>181.464</v>
      </c>
      <c r="F133">
        <v>169</v>
      </c>
    </row>
    <row r="134" spans="1:6" x14ac:dyDescent="0.3">
      <c r="A134" t="s">
        <v>33</v>
      </c>
      <c r="B134">
        <v>209</v>
      </c>
      <c r="C134">
        <v>1</v>
      </c>
      <c r="D134">
        <v>76.254000000000005</v>
      </c>
      <c r="E134">
        <v>181.13</v>
      </c>
      <c r="F134">
        <v>165</v>
      </c>
    </row>
    <row r="135" spans="1:6" x14ac:dyDescent="0.3">
      <c r="A135" t="s">
        <v>33</v>
      </c>
      <c r="B135">
        <v>209</v>
      </c>
      <c r="C135">
        <v>1</v>
      </c>
      <c r="D135">
        <v>76.271000000000001</v>
      </c>
      <c r="E135">
        <v>181.25299999999999</v>
      </c>
      <c r="F135">
        <v>178</v>
      </c>
    </row>
    <row r="136" spans="1:6" x14ac:dyDescent="0.3">
      <c r="A136" t="s">
        <v>33</v>
      </c>
      <c r="B136">
        <v>209</v>
      </c>
      <c r="C136">
        <v>1</v>
      </c>
      <c r="D136">
        <v>76.569999999999993</v>
      </c>
      <c r="E136">
        <v>181.29</v>
      </c>
      <c r="F136">
        <v>173</v>
      </c>
    </row>
    <row r="137" spans="1:6" x14ac:dyDescent="0.3">
      <c r="A137" t="s">
        <v>33</v>
      </c>
      <c r="B137">
        <v>209</v>
      </c>
      <c r="C137">
        <v>1</v>
      </c>
      <c r="D137">
        <v>76.275000000000006</v>
      </c>
      <c r="E137">
        <v>181.398</v>
      </c>
      <c r="F137">
        <v>168</v>
      </c>
    </row>
    <row r="138" spans="1:6" x14ac:dyDescent="0.3">
      <c r="A138" t="s">
        <v>33</v>
      </c>
      <c r="B138">
        <v>209</v>
      </c>
      <c r="C138">
        <v>1</v>
      </c>
      <c r="D138">
        <v>76.766999999999996</v>
      </c>
      <c r="E138">
        <v>180.96700000000001</v>
      </c>
      <c r="F138">
        <v>166</v>
      </c>
    </row>
    <row r="139" spans="1:6" x14ac:dyDescent="0.3">
      <c r="A139" t="s">
        <v>33</v>
      </c>
      <c r="B139">
        <v>209</v>
      </c>
      <c r="C139">
        <v>1</v>
      </c>
      <c r="D139">
        <v>76.075999999999993</v>
      </c>
      <c r="E139">
        <v>180.74799999999999</v>
      </c>
      <c r="F139">
        <v>164</v>
      </c>
    </row>
    <row r="140" spans="1:6" x14ac:dyDescent="0.3">
      <c r="A140" t="s">
        <v>33</v>
      </c>
      <c r="B140">
        <v>209</v>
      </c>
      <c r="C140">
        <v>1</v>
      </c>
      <c r="D140">
        <v>76.512</v>
      </c>
      <c r="E140">
        <v>181.02</v>
      </c>
      <c r="F140">
        <v>167</v>
      </c>
    </row>
    <row r="141" spans="1:6" x14ac:dyDescent="0.3">
      <c r="A141" t="s">
        <v>33</v>
      </c>
      <c r="B141">
        <v>324</v>
      </c>
      <c r="C141">
        <v>1</v>
      </c>
      <c r="D141">
        <v>118.45399999999999</v>
      </c>
      <c r="E141">
        <v>419.67</v>
      </c>
      <c r="F141">
        <v>144</v>
      </c>
    </row>
    <row r="142" spans="1:6" x14ac:dyDescent="0.3">
      <c r="A142" t="s">
        <v>33</v>
      </c>
      <c r="B142">
        <v>324</v>
      </c>
      <c r="C142">
        <v>1</v>
      </c>
      <c r="D142">
        <v>118.81699999999999</v>
      </c>
      <c r="E142">
        <v>420.65800000000002</v>
      </c>
      <c r="F142">
        <v>143</v>
      </c>
    </row>
    <row r="143" spans="1:6" x14ac:dyDescent="0.3">
      <c r="A143" t="s">
        <v>33</v>
      </c>
      <c r="B143">
        <v>324</v>
      </c>
      <c r="C143">
        <v>1</v>
      </c>
      <c r="D143">
        <v>118.77800000000001</v>
      </c>
      <c r="E143">
        <v>420.27800000000002</v>
      </c>
      <c r="F143">
        <v>147</v>
      </c>
    </row>
    <row r="144" spans="1:6" x14ac:dyDescent="0.3">
      <c r="A144" t="s">
        <v>33</v>
      </c>
      <c r="B144">
        <v>324</v>
      </c>
      <c r="C144">
        <v>1</v>
      </c>
      <c r="D144">
        <v>118.746</v>
      </c>
      <c r="E144">
        <v>420.976</v>
      </c>
      <c r="F144">
        <v>143</v>
      </c>
    </row>
    <row r="145" spans="1:6" x14ac:dyDescent="0.3">
      <c r="A145" t="s">
        <v>33</v>
      </c>
      <c r="B145">
        <v>324</v>
      </c>
      <c r="C145">
        <v>1</v>
      </c>
      <c r="D145">
        <v>118.788</v>
      </c>
      <c r="E145">
        <v>420.89600000000002</v>
      </c>
      <c r="F145">
        <v>141</v>
      </c>
    </row>
    <row r="146" spans="1:6" x14ac:dyDescent="0.3">
      <c r="A146" t="s">
        <v>33</v>
      </c>
      <c r="B146">
        <v>324</v>
      </c>
      <c r="C146">
        <v>1</v>
      </c>
      <c r="D146">
        <v>118.756</v>
      </c>
      <c r="E146">
        <v>419.45800000000003</v>
      </c>
      <c r="F146">
        <v>142</v>
      </c>
    </row>
    <row r="147" spans="1:6" x14ac:dyDescent="0.3">
      <c r="A147" t="s">
        <v>33</v>
      </c>
      <c r="B147">
        <v>324</v>
      </c>
      <c r="C147">
        <v>1</v>
      </c>
      <c r="D147">
        <v>118.289</v>
      </c>
      <c r="E147">
        <v>419.90899999999999</v>
      </c>
      <c r="F147">
        <v>144</v>
      </c>
    </row>
    <row r="148" spans="1:6" x14ac:dyDescent="0.3">
      <c r="A148" t="s">
        <v>33</v>
      </c>
      <c r="B148">
        <v>324</v>
      </c>
      <c r="C148">
        <v>1</v>
      </c>
      <c r="D148">
        <v>118.47</v>
      </c>
      <c r="E148">
        <v>419.68</v>
      </c>
      <c r="F148">
        <v>144</v>
      </c>
    </row>
    <row r="149" spans="1:6" x14ac:dyDescent="0.3">
      <c r="A149" t="s">
        <v>33</v>
      </c>
      <c r="B149">
        <v>324</v>
      </c>
      <c r="C149">
        <v>1</v>
      </c>
      <c r="D149">
        <v>118.43600000000001</v>
      </c>
      <c r="E149">
        <v>421.24900000000002</v>
      </c>
      <c r="F149">
        <v>142</v>
      </c>
    </row>
    <row r="150" spans="1:6" x14ac:dyDescent="0.3">
      <c r="A150" t="s">
        <v>33</v>
      </c>
      <c r="B150">
        <v>324</v>
      </c>
      <c r="C150">
        <v>1</v>
      </c>
      <c r="D150">
        <v>118.55200000000001</v>
      </c>
      <c r="E150">
        <v>420.68</v>
      </c>
      <c r="F150">
        <v>149</v>
      </c>
    </row>
    <row r="151" spans="1:6" x14ac:dyDescent="0.3">
      <c r="A151" t="s">
        <v>34</v>
      </c>
      <c r="B151">
        <v>40</v>
      </c>
      <c r="C151">
        <v>1</v>
      </c>
      <c r="D151">
        <v>16.78</v>
      </c>
      <c r="E151">
        <v>11.648999999999999</v>
      </c>
      <c r="F151">
        <v>196</v>
      </c>
    </row>
    <row r="152" spans="1:6" x14ac:dyDescent="0.3">
      <c r="A152" t="s">
        <v>34</v>
      </c>
      <c r="B152">
        <v>40</v>
      </c>
      <c r="C152">
        <v>1</v>
      </c>
      <c r="D152">
        <v>16.8</v>
      </c>
      <c r="E152">
        <v>11.635999999999999</v>
      </c>
      <c r="F152">
        <v>213</v>
      </c>
    </row>
    <row r="153" spans="1:6" x14ac:dyDescent="0.3">
      <c r="A153" t="s">
        <v>34</v>
      </c>
      <c r="B153">
        <v>40</v>
      </c>
      <c r="C153">
        <v>1</v>
      </c>
      <c r="D153">
        <v>16.638000000000002</v>
      </c>
      <c r="E153">
        <v>11.619</v>
      </c>
      <c r="F153">
        <v>208</v>
      </c>
    </row>
    <row r="154" spans="1:6" x14ac:dyDescent="0.3">
      <c r="A154" t="s">
        <v>34</v>
      </c>
      <c r="B154">
        <v>40</v>
      </c>
      <c r="C154">
        <v>1</v>
      </c>
      <c r="D154">
        <v>16.777000000000001</v>
      </c>
      <c r="E154">
        <v>11.634</v>
      </c>
      <c r="F154">
        <v>203</v>
      </c>
    </row>
    <row r="155" spans="1:6" x14ac:dyDescent="0.3">
      <c r="A155" t="s">
        <v>34</v>
      </c>
      <c r="B155">
        <v>40</v>
      </c>
      <c r="C155">
        <v>1</v>
      </c>
      <c r="D155">
        <v>16.616</v>
      </c>
      <c r="E155">
        <v>11.613</v>
      </c>
      <c r="F155">
        <v>201</v>
      </c>
    </row>
    <row r="156" spans="1:6" x14ac:dyDescent="0.3">
      <c r="A156" t="s">
        <v>34</v>
      </c>
      <c r="B156">
        <v>40</v>
      </c>
      <c r="C156">
        <v>1</v>
      </c>
      <c r="D156">
        <v>16.515000000000001</v>
      </c>
      <c r="E156">
        <v>11.643000000000001</v>
      </c>
      <c r="F156">
        <v>207</v>
      </c>
    </row>
    <row r="157" spans="1:6" x14ac:dyDescent="0.3">
      <c r="A157" t="s">
        <v>34</v>
      </c>
      <c r="B157">
        <v>40</v>
      </c>
      <c r="C157">
        <v>1</v>
      </c>
      <c r="D157">
        <v>16.733000000000001</v>
      </c>
      <c r="E157">
        <v>11.617000000000001</v>
      </c>
      <c r="F157">
        <v>263</v>
      </c>
    </row>
    <row r="158" spans="1:6" x14ac:dyDescent="0.3">
      <c r="A158" t="s">
        <v>34</v>
      </c>
      <c r="B158">
        <v>40</v>
      </c>
      <c r="C158">
        <v>1</v>
      </c>
      <c r="D158">
        <v>16.686</v>
      </c>
      <c r="E158">
        <v>11.63</v>
      </c>
      <c r="F158">
        <v>281</v>
      </c>
    </row>
    <row r="159" spans="1:6" x14ac:dyDescent="0.3">
      <c r="A159" t="s">
        <v>34</v>
      </c>
      <c r="B159">
        <v>40</v>
      </c>
      <c r="C159">
        <v>1</v>
      </c>
      <c r="D159">
        <v>16.530999999999999</v>
      </c>
      <c r="E159">
        <v>11.615</v>
      </c>
      <c r="F159">
        <v>279</v>
      </c>
    </row>
    <row r="160" spans="1:6" x14ac:dyDescent="0.3">
      <c r="A160" t="s">
        <v>34</v>
      </c>
      <c r="B160">
        <v>40</v>
      </c>
      <c r="C160">
        <v>1</v>
      </c>
      <c r="D160">
        <v>16.818999999999999</v>
      </c>
      <c r="E160">
        <v>11.629</v>
      </c>
      <c r="F160">
        <v>281</v>
      </c>
    </row>
    <row r="161" spans="1:6" x14ac:dyDescent="0.3">
      <c r="A161" t="s">
        <v>34</v>
      </c>
      <c r="B161">
        <v>96</v>
      </c>
      <c r="C161">
        <v>1</v>
      </c>
      <c r="D161">
        <v>35.241</v>
      </c>
      <c r="E161">
        <v>51.322000000000003</v>
      </c>
      <c r="F161">
        <v>245</v>
      </c>
    </row>
    <row r="162" spans="1:6" x14ac:dyDescent="0.3">
      <c r="A162" t="s">
        <v>34</v>
      </c>
      <c r="B162">
        <v>96</v>
      </c>
      <c r="C162">
        <v>1</v>
      </c>
      <c r="D162">
        <v>35.148000000000003</v>
      </c>
      <c r="E162">
        <v>51.395000000000003</v>
      </c>
      <c r="F162">
        <v>226</v>
      </c>
    </row>
    <row r="163" spans="1:6" x14ac:dyDescent="0.3">
      <c r="A163" t="s">
        <v>34</v>
      </c>
      <c r="B163">
        <v>96</v>
      </c>
      <c r="C163">
        <v>1</v>
      </c>
      <c r="D163">
        <v>35.173999999999999</v>
      </c>
      <c r="E163">
        <v>51.307000000000002</v>
      </c>
      <c r="F163">
        <v>253</v>
      </c>
    </row>
    <row r="164" spans="1:6" x14ac:dyDescent="0.3">
      <c r="A164" t="s">
        <v>34</v>
      </c>
      <c r="B164">
        <v>96</v>
      </c>
      <c r="C164">
        <v>1</v>
      </c>
      <c r="D164">
        <v>35.183999999999997</v>
      </c>
      <c r="E164">
        <v>51.414999999999999</v>
      </c>
      <c r="F164">
        <v>229</v>
      </c>
    </row>
    <row r="165" spans="1:6" x14ac:dyDescent="0.3">
      <c r="A165" t="s">
        <v>34</v>
      </c>
      <c r="B165">
        <v>96</v>
      </c>
      <c r="C165">
        <v>1</v>
      </c>
      <c r="D165">
        <v>35.118000000000002</v>
      </c>
      <c r="E165">
        <v>51.31</v>
      </c>
      <c r="F165">
        <v>248</v>
      </c>
    </row>
    <row r="166" spans="1:6" x14ac:dyDescent="0.3">
      <c r="A166" t="s">
        <v>34</v>
      </c>
      <c r="B166">
        <v>96</v>
      </c>
      <c r="C166">
        <v>1</v>
      </c>
      <c r="D166">
        <v>35.171999999999997</v>
      </c>
      <c r="E166">
        <v>51.433999999999997</v>
      </c>
      <c r="F166">
        <v>229</v>
      </c>
    </row>
    <row r="167" spans="1:6" x14ac:dyDescent="0.3">
      <c r="A167" t="s">
        <v>34</v>
      </c>
      <c r="B167">
        <v>96</v>
      </c>
      <c r="C167">
        <v>1</v>
      </c>
      <c r="D167">
        <v>35.152000000000001</v>
      </c>
      <c r="E167">
        <v>51.311999999999998</v>
      </c>
      <c r="F167">
        <v>245</v>
      </c>
    </row>
    <row r="168" spans="1:6" x14ac:dyDescent="0.3">
      <c r="A168" t="s">
        <v>34</v>
      </c>
      <c r="B168">
        <v>96</v>
      </c>
      <c r="C168">
        <v>1</v>
      </c>
      <c r="D168">
        <v>35.232999999999997</v>
      </c>
      <c r="E168">
        <v>51.295000000000002</v>
      </c>
      <c r="F168">
        <v>232</v>
      </c>
    </row>
    <row r="169" spans="1:6" x14ac:dyDescent="0.3">
      <c r="A169" t="s">
        <v>34</v>
      </c>
      <c r="B169">
        <v>96</v>
      </c>
      <c r="C169">
        <v>1</v>
      </c>
      <c r="D169">
        <v>35.079000000000001</v>
      </c>
      <c r="E169">
        <v>51.286999999999999</v>
      </c>
      <c r="F169">
        <v>236</v>
      </c>
    </row>
    <row r="170" spans="1:6" x14ac:dyDescent="0.3">
      <c r="A170" t="s">
        <v>34</v>
      </c>
      <c r="B170">
        <v>96</v>
      </c>
      <c r="C170">
        <v>1</v>
      </c>
      <c r="D170">
        <v>35.155000000000001</v>
      </c>
      <c r="E170">
        <v>51.295999999999999</v>
      </c>
      <c r="F170">
        <v>242</v>
      </c>
    </row>
    <row r="171" spans="1:6" x14ac:dyDescent="0.3">
      <c r="A171" t="s">
        <v>34</v>
      </c>
      <c r="B171">
        <v>224</v>
      </c>
      <c r="C171">
        <v>1</v>
      </c>
      <c r="D171">
        <v>71.927999999999997</v>
      </c>
      <c r="E171">
        <v>256.267</v>
      </c>
      <c r="F171">
        <v>201</v>
      </c>
    </row>
    <row r="172" spans="1:6" x14ac:dyDescent="0.3">
      <c r="A172" t="s">
        <v>34</v>
      </c>
      <c r="B172">
        <v>224</v>
      </c>
      <c r="C172">
        <v>1</v>
      </c>
      <c r="D172">
        <v>72.004999999999995</v>
      </c>
      <c r="E172">
        <v>256.52999999999997</v>
      </c>
      <c r="F172">
        <v>201</v>
      </c>
    </row>
    <row r="173" spans="1:6" x14ac:dyDescent="0.3">
      <c r="A173" t="s">
        <v>34</v>
      </c>
      <c r="B173">
        <v>224</v>
      </c>
      <c r="C173">
        <v>1</v>
      </c>
      <c r="D173">
        <v>71.994</v>
      </c>
      <c r="E173">
        <v>256.28199999999998</v>
      </c>
      <c r="F173">
        <v>204</v>
      </c>
    </row>
    <row r="174" spans="1:6" x14ac:dyDescent="0.3">
      <c r="A174" t="s">
        <v>34</v>
      </c>
      <c r="B174">
        <v>224</v>
      </c>
      <c r="C174">
        <v>1</v>
      </c>
      <c r="D174">
        <v>72.010999999999996</v>
      </c>
      <c r="E174">
        <v>255.52099999999999</v>
      </c>
      <c r="F174">
        <v>200</v>
      </c>
    </row>
    <row r="175" spans="1:6" x14ac:dyDescent="0.3">
      <c r="A175" t="s">
        <v>34</v>
      </c>
      <c r="B175">
        <v>224</v>
      </c>
      <c r="C175">
        <v>1</v>
      </c>
      <c r="D175">
        <v>71.94</v>
      </c>
      <c r="E175">
        <v>255.429</v>
      </c>
      <c r="F175">
        <v>197</v>
      </c>
    </row>
    <row r="176" spans="1:6" x14ac:dyDescent="0.3">
      <c r="A176" t="s">
        <v>34</v>
      </c>
      <c r="B176">
        <v>224</v>
      </c>
      <c r="C176">
        <v>1</v>
      </c>
      <c r="D176">
        <v>71.930000000000007</v>
      </c>
      <c r="E176">
        <v>256.12400000000002</v>
      </c>
      <c r="F176">
        <v>203</v>
      </c>
    </row>
    <row r="177" spans="1:6" x14ac:dyDescent="0.3">
      <c r="A177" t="s">
        <v>34</v>
      </c>
      <c r="B177">
        <v>224</v>
      </c>
      <c r="C177">
        <v>1</v>
      </c>
      <c r="D177">
        <v>71.927999999999997</v>
      </c>
      <c r="E177">
        <v>256.27800000000002</v>
      </c>
      <c r="F177">
        <v>201</v>
      </c>
    </row>
    <row r="178" spans="1:6" x14ac:dyDescent="0.3">
      <c r="A178" t="s">
        <v>34</v>
      </c>
      <c r="B178">
        <v>224</v>
      </c>
      <c r="C178">
        <v>1</v>
      </c>
      <c r="D178">
        <v>71.912999999999997</v>
      </c>
      <c r="E178">
        <v>256.37700000000001</v>
      </c>
      <c r="F178">
        <v>204</v>
      </c>
    </row>
    <row r="179" spans="1:6" x14ac:dyDescent="0.3">
      <c r="A179" t="s">
        <v>34</v>
      </c>
      <c r="B179">
        <v>224</v>
      </c>
      <c r="C179">
        <v>1</v>
      </c>
      <c r="D179">
        <v>71.921000000000006</v>
      </c>
      <c r="E179">
        <v>255.63300000000001</v>
      </c>
      <c r="F179">
        <v>202</v>
      </c>
    </row>
    <row r="180" spans="1:6" x14ac:dyDescent="0.3">
      <c r="A180" t="s">
        <v>34</v>
      </c>
      <c r="B180">
        <v>224</v>
      </c>
      <c r="C180">
        <v>1</v>
      </c>
      <c r="D180">
        <v>71.998000000000005</v>
      </c>
      <c r="E180">
        <v>255.80500000000001</v>
      </c>
      <c r="F180">
        <v>201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M180"/>
  <sheetViews>
    <sheetView zoomScale="85" zoomScaleNormal="85" workbookViewId="0">
      <selection sqref="A1:F181"/>
    </sheetView>
  </sheetViews>
  <sheetFormatPr defaultRowHeight="14" x14ac:dyDescent="0.3"/>
  <cols>
    <col min="1" max="1" width="9.75" customWidth="1"/>
    <col min="2" max="2" width="4.33203125"/>
    <col min="3" max="3" width="2.58203125"/>
    <col min="4" max="4" width="10.5" bestFit="1" customWidth="1"/>
    <col min="5" max="5" width="7.25"/>
    <col min="6" max="6" width="5.5" customWidth="1"/>
    <col min="7" max="7" width="2.5"/>
    <col min="8" max="8" width="10.08203125"/>
    <col min="9" max="9" width="4.33203125"/>
    <col min="10" max="10" width="3.33203125"/>
    <col min="11" max="11" width="2.58203125"/>
    <col min="12" max="21" width="9.5"/>
    <col min="22" max="22" width="2.5"/>
    <col min="23" max="23" width="9.5"/>
    <col min="24" max="24" width="2.5"/>
    <col min="25" max="25" width="9.5"/>
    <col min="26" max="26" width="2.58203125"/>
    <col min="27" max="27" width="2.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5.3390000000000004</v>
      </c>
      <c r="F1">
        <v>185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5.2939999999999996</v>
      </c>
      <c r="F2">
        <v>184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28.545999999999999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28.504000000000001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28.504000000000001</v>
      </c>
      <c r="S2" s="35">
        <f t="shared" ref="S2:S13" ca="1" si="7">INDIRECT("D"&amp;1+(ROW(K1)-1)*10+COLUMN(H1)-1)</f>
        <v>28.504000000000001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28.529199999999996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1.4734774066796953E-3</v>
      </c>
      <c r="AD2" s="35">
        <f t="shared" ref="AD2:AD19" ca="1" si="13">(N2-$Y2)/$Y2</f>
        <v>1.4734774066796953E-3</v>
      </c>
      <c r="AE2" s="35">
        <f t="shared" ref="AE2:AE19" ca="1" si="14">(O2-$Y2)/$Y2</f>
        <v>1.4734774066796953E-3</v>
      </c>
      <c r="AF2" s="35">
        <f t="shared" ref="AF2:AF19" ca="1" si="15">(P2-$Y2)/$Y2</f>
        <v>0</v>
      </c>
      <c r="AG2" s="35">
        <f t="shared" ref="AG2:AG19" ca="1" si="16">(Q2-$Y2)/$Y2</f>
        <v>0</v>
      </c>
      <c r="AH2" s="35">
        <f t="shared" ref="AH2:AH19" ca="1" si="17">(R2-$Y2)/$Y2</f>
        <v>0</v>
      </c>
      <c r="AI2" s="35">
        <f t="shared" ref="AI2:AI19" ca="1" si="18">(S2-$Y2)/$Y2</f>
        <v>0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8.8408644400781722E-3</v>
      </c>
    </row>
    <row r="3" spans="1:39" x14ac:dyDescent="0.3">
      <c r="A3" t="s">
        <v>17</v>
      </c>
      <c r="B3">
        <v>25</v>
      </c>
      <c r="C3">
        <v>1</v>
      </c>
      <c r="D3">
        <v>28.545999999999999</v>
      </c>
      <c r="E3">
        <v>5.2859999999999996</v>
      </c>
      <c r="F3">
        <v>180</v>
      </c>
      <c r="H3" s="35" t="s">
        <v>17</v>
      </c>
      <c r="I3" s="35">
        <v>50</v>
      </c>
      <c r="J3" s="35">
        <v>1</v>
      </c>
      <c r="L3" s="35">
        <f t="shared" ca="1" si="0"/>
        <v>52.957999999999998</v>
      </c>
      <c r="M3" s="35">
        <f t="shared" ca="1" si="1"/>
        <v>52.978000000000002</v>
      </c>
      <c r="N3" s="35">
        <f t="shared" ca="1" si="2"/>
        <v>53.017000000000003</v>
      </c>
      <c r="O3" s="35">
        <f t="shared" ca="1" si="3"/>
        <v>52.988</v>
      </c>
      <c r="P3" s="35">
        <f t="shared" ca="1" si="4"/>
        <v>52.957000000000001</v>
      </c>
      <c r="Q3" s="35">
        <f t="shared" ca="1" si="5"/>
        <v>52.966999999999999</v>
      </c>
      <c r="R3" s="35">
        <f t="shared" ca="1" si="6"/>
        <v>52.927</v>
      </c>
      <c r="S3" s="35">
        <f t="shared" ca="1" si="7"/>
        <v>53.067999999999998</v>
      </c>
      <c r="T3" s="35">
        <f t="shared" ca="1" si="8"/>
        <v>53.067</v>
      </c>
      <c r="U3" s="35">
        <f t="shared" ca="1" si="9"/>
        <v>52.927999999999997</v>
      </c>
      <c r="W3" s="35">
        <f t="shared" ca="1" si="10"/>
        <v>52.985500000000002</v>
      </c>
      <c r="Y3" s="35">
        <f ca="1">Total!E3</f>
        <v>52.927</v>
      </c>
      <c r="AB3" s="35">
        <f t="shared" ca="1" si="11"/>
        <v>5.8571239631943631E-4</v>
      </c>
      <c r="AC3" s="35">
        <f t="shared" ca="1" si="12"/>
        <v>9.635913616868882E-4</v>
      </c>
      <c r="AD3" s="35">
        <f t="shared" ca="1" si="13"/>
        <v>1.7004553441533322E-3</v>
      </c>
      <c r="AE3" s="35">
        <f t="shared" ca="1" si="14"/>
        <v>1.1525308443705471E-3</v>
      </c>
      <c r="AF3" s="35">
        <f t="shared" ca="1" si="15"/>
        <v>5.6681844805111072E-4</v>
      </c>
      <c r="AG3" s="35">
        <f t="shared" ca="1" si="16"/>
        <v>7.5575793073476955E-4</v>
      </c>
      <c r="AH3" s="35">
        <f t="shared" ca="1" si="17"/>
        <v>0</v>
      </c>
      <c r="AI3" s="35">
        <f t="shared" ca="1" si="18"/>
        <v>2.6640467058400862E-3</v>
      </c>
      <c r="AJ3" s="35">
        <f t="shared" ca="1" si="19"/>
        <v>2.6451527575717605E-3</v>
      </c>
      <c r="AK3" s="35">
        <f t="shared" ca="1" si="20"/>
        <v>1.8893948268325608E-5</v>
      </c>
      <c r="AM3" s="35">
        <f t="shared" ca="1" si="21"/>
        <v>1.1052959736996255E-2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5.28</v>
      </c>
      <c r="F4">
        <v>181</v>
      </c>
      <c r="H4" s="35" t="s">
        <v>17</v>
      </c>
      <c r="I4" s="35">
        <v>100</v>
      </c>
      <c r="J4" s="35">
        <v>1</v>
      </c>
      <c r="L4" s="35">
        <f t="shared" ca="1" si="0"/>
        <v>103.268</v>
      </c>
      <c r="M4" s="35">
        <f t="shared" ca="1" si="1"/>
        <v>102.992</v>
      </c>
      <c r="N4" s="35">
        <f t="shared" ca="1" si="2"/>
        <v>103.32599999999999</v>
      </c>
      <c r="O4" s="35">
        <f t="shared" ca="1" si="3"/>
        <v>103.17700000000001</v>
      </c>
      <c r="P4" s="35">
        <f t="shared" ca="1" si="4"/>
        <v>103.273</v>
      </c>
      <c r="Q4" s="35">
        <f t="shared" ca="1" si="5"/>
        <v>103.279</v>
      </c>
      <c r="R4" s="35">
        <f t="shared" ca="1" si="6"/>
        <v>103.294</v>
      </c>
      <c r="S4" s="35">
        <f t="shared" ca="1" si="7"/>
        <v>103.218</v>
      </c>
      <c r="T4" s="35">
        <f t="shared" ca="1" si="8"/>
        <v>103.294</v>
      </c>
      <c r="U4" s="35">
        <f t="shared" ca="1" si="9"/>
        <v>103.279</v>
      </c>
      <c r="W4" s="35">
        <f t="shared" ca="1" si="10"/>
        <v>103.24000000000001</v>
      </c>
      <c r="Y4" s="35">
        <f ca="1">Total!E4</f>
        <v>102.80200000000001</v>
      </c>
      <c r="AB4" s="35">
        <f t="shared" ca="1" si="11"/>
        <v>4.5329857395769923E-3</v>
      </c>
      <c r="AC4" s="35">
        <f t="shared" ca="1" si="12"/>
        <v>1.8482130697846124E-3</v>
      </c>
      <c r="AD4" s="35">
        <f t="shared" ca="1" si="13"/>
        <v>5.0971770977217045E-3</v>
      </c>
      <c r="AE4" s="35">
        <f t="shared" ca="1" si="14"/>
        <v>3.6477889535223048E-3</v>
      </c>
      <c r="AF4" s="35">
        <f t="shared" ca="1" si="15"/>
        <v>4.5816229256239122E-3</v>
      </c>
      <c r="AG4" s="35">
        <f t="shared" ca="1" si="16"/>
        <v>4.639987548880271E-3</v>
      </c>
      <c r="AH4" s="35">
        <f t="shared" ca="1" si="17"/>
        <v>4.7858991070211685E-3</v>
      </c>
      <c r="AI4" s="35">
        <f t="shared" ca="1" si="18"/>
        <v>4.046613879107379E-3</v>
      </c>
      <c r="AJ4" s="35">
        <f t="shared" ca="1" si="19"/>
        <v>4.7858991070211685E-3</v>
      </c>
      <c r="AK4" s="35">
        <f t="shared" ca="1" si="20"/>
        <v>4.639987548880271E-3</v>
      </c>
      <c r="AM4" s="35">
        <f t="shared" ca="1" si="21"/>
        <v>4.2606174977139782E-2</v>
      </c>
    </row>
    <row r="5" spans="1:39" x14ac:dyDescent="0.3">
      <c r="A5" t="s">
        <v>17</v>
      </c>
      <c r="B5">
        <v>25</v>
      </c>
      <c r="C5">
        <v>1</v>
      </c>
      <c r="D5">
        <v>28.504000000000001</v>
      </c>
      <c r="E5">
        <v>5.2789999999999999</v>
      </c>
      <c r="F5">
        <v>408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28.504000000000001</v>
      </c>
      <c r="E6">
        <v>5.2789999999999999</v>
      </c>
      <c r="F6">
        <v>428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180.12</v>
      </c>
      <c r="N6" s="35">
        <f t="shared" ca="1" si="2"/>
        <v>179.93799999999999</v>
      </c>
      <c r="O6" s="35">
        <f t="shared" ca="1" si="3"/>
        <v>179.93799999999999</v>
      </c>
      <c r="P6" s="35">
        <f t="shared" ca="1" si="4"/>
        <v>179.93799999999999</v>
      </c>
      <c r="Q6" s="35">
        <f t="shared" ca="1" si="5"/>
        <v>179.93799999999999</v>
      </c>
      <c r="R6" s="35">
        <f t="shared" ca="1" si="6"/>
        <v>181.40799999999999</v>
      </c>
      <c r="S6" s="35">
        <f t="shared" ca="1" si="7"/>
        <v>179.673</v>
      </c>
      <c r="T6" s="35">
        <f t="shared" ca="1" si="8"/>
        <v>179.93799999999999</v>
      </c>
      <c r="U6" s="35">
        <f t="shared" ca="1" si="9"/>
        <v>179.93799999999999</v>
      </c>
      <c r="W6" s="35">
        <f t="shared" ca="1" si="10"/>
        <v>180.07669999999999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2.4878529328279859E-3</v>
      </c>
      <c r="AD6" s="35">
        <f t="shared" ca="1" si="13"/>
        <v>1.4749016268442469E-3</v>
      </c>
      <c r="AE6" s="35">
        <f t="shared" ca="1" si="14"/>
        <v>1.4749016268442469E-3</v>
      </c>
      <c r="AF6" s="35">
        <f t="shared" ca="1" si="15"/>
        <v>1.4749016268442469E-3</v>
      </c>
      <c r="AG6" s="35">
        <f t="shared" ca="1" si="16"/>
        <v>1.4749016268442469E-3</v>
      </c>
      <c r="AH6" s="35">
        <f t="shared" ca="1" si="17"/>
        <v>9.6564314059429356E-3</v>
      </c>
      <c r="AI6" s="35">
        <f t="shared" ca="1" si="18"/>
        <v>0</v>
      </c>
      <c r="AJ6" s="35">
        <f t="shared" ca="1" si="19"/>
        <v>1.4749016268442469E-3</v>
      </c>
      <c r="AK6" s="35">
        <f t="shared" ca="1" si="20"/>
        <v>1.4749016268442469E-3</v>
      </c>
      <c r="AM6" s="35">
        <f t="shared" ca="1" si="21"/>
        <v>2.2468595726680654E-2</v>
      </c>
    </row>
    <row r="7" spans="1:39" x14ac:dyDescent="0.3">
      <c r="A7" t="s">
        <v>17</v>
      </c>
      <c r="B7">
        <v>25</v>
      </c>
      <c r="C7">
        <v>1</v>
      </c>
      <c r="D7">
        <v>28.504000000000001</v>
      </c>
      <c r="E7">
        <v>5.2759999999999998</v>
      </c>
      <c r="F7">
        <v>429</v>
      </c>
      <c r="H7" s="35" t="s">
        <v>18</v>
      </c>
      <c r="I7" s="35">
        <v>100</v>
      </c>
      <c r="J7" s="35">
        <v>1</v>
      </c>
      <c r="L7" s="35">
        <f t="shared" ca="1" si="0"/>
        <v>239.56</v>
      </c>
      <c r="M7" s="35">
        <f t="shared" ca="1" si="1"/>
        <v>239.22</v>
      </c>
      <c r="N7" s="35">
        <f t="shared" ca="1" si="2"/>
        <v>239.077</v>
      </c>
      <c r="O7" s="35">
        <f t="shared" ca="1" si="3"/>
        <v>239.17</v>
      </c>
      <c r="P7" s="35">
        <f t="shared" ca="1" si="4"/>
        <v>239.714</v>
      </c>
      <c r="Q7" s="35">
        <f t="shared" ca="1" si="5"/>
        <v>239.17699999999999</v>
      </c>
      <c r="R7" s="35">
        <f t="shared" ca="1" si="6"/>
        <v>239.054</v>
      </c>
      <c r="S7" s="35">
        <f t="shared" ca="1" si="7"/>
        <v>239.15</v>
      </c>
      <c r="T7" s="35">
        <f t="shared" ca="1" si="8"/>
        <v>239.173</v>
      </c>
      <c r="U7" s="35">
        <f t="shared" ca="1" si="9"/>
        <v>239.31399999999999</v>
      </c>
      <c r="W7" s="35">
        <f t="shared" ca="1" si="10"/>
        <v>239.26089999999999</v>
      </c>
      <c r="Y7" s="35">
        <f ca="1">Total!E7</f>
        <v>238.86699999999999</v>
      </c>
      <c r="AB7" s="35">
        <f t="shared" ca="1" si="11"/>
        <v>2.9011960630811796E-3</v>
      </c>
      <c r="AC7" s="35">
        <f t="shared" ca="1" si="12"/>
        <v>1.4778098272260657E-3</v>
      </c>
      <c r="AD7" s="35">
        <f t="shared" ca="1" si="13"/>
        <v>8.7915032214582996E-4</v>
      </c>
      <c r="AE7" s="35">
        <f t="shared" ca="1" si="14"/>
        <v>1.2684883219532094E-3</v>
      </c>
      <c r="AF7" s="35">
        <f t="shared" ca="1" si="15"/>
        <v>3.545906299321415E-3</v>
      </c>
      <c r="AG7" s="35">
        <f t="shared" ca="1" si="16"/>
        <v>1.2977933326914237E-3</v>
      </c>
      <c r="AH7" s="35">
        <f t="shared" ca="1" si="17"/>
        <v>7.8286242972035408E-4</v>
      </c>
      <c r="AI7" s="35">
        <f t="shared" ca="1" si="18"/>
        <v>1.1847597198441622E-3</v>
      </c>
      <c r="AJ7" s="35">
        <f t="shared" ca="1" si="19"/>
        <v>1.281047612269638E-3</v>
      </c>
      <c r="AK7" s="35">
        <f t="shared" ca="1" si="20"/>
        <v>1.8713342571389214E-3</v>
      </c>
      <c r="AM7" s="35">
        <f t="shared" ca="1" si="21"/>
        <v>1.64903481853922E-2</v>
      </c>
    </row>
    <row r="8" spans="1:39" x14ac:dyDescent="0.3">
      <c r="A8" t="s">
        <v>17</v>
      </c>
      <c r="B8">
        <v>25</v>
      </c>
      <c r="C8">
        <v>1</v>
      </c>
      <c r="D8">
        <v>28.504000000000001</v>
      </c>
      <c r="E8">
        <v>5.2789999999999999</v>
      </c>
      <c r="F8">
        <v>425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5.2779999999999996</v>
      </c>
      <c r="F9">
        <v>196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4313.6099999999997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0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5.2919999999999998</v>
      </c>
      <c r="F10">
        <v>181</v>
      </c>
      <c r="H10" s="35" t="s">
        <v>19</v>
      </c>
      <c r="I10" s="35">
        <v>100</v>
      </c>
      <c r="J10" s="35">
        <v>1</v>
      </c>
      <c r="L10" s="35">
        <f t="shared" ca="1" si="0"/>
        <v>35273.252</v>
      </c>
      <c r="M10" s="35">
        <f t="shared" ca="1" si="1"/>
        <v>35255.794000000002</v>
      </c>
      <c r="N10" s="35">
        <f t="shared" ca="1" si="2"/>
        <v>35291.171999999999</v>
      </c>
      <c r="O10" s="35">
        <f t="shared" ca="1" si="3"/>
        <v>35245.006000000001</v>
      </c>
      <c r="P10" s="35">
        <f t="shared" ca="1" si="4"/>
        <v>35236.044000000002</v>
      </c>
      <c r="Q10" s="35">
        <f t="shared" ca="1" si="5"/>
        <v>35259.228000000003</v>
      </c>
      <c r="R10" s="35">
        <f t="shared" ca="1" si="6"/>
        <v>35230.97</v>
      </c>
      <c r="S10" s="35">
        <f t="shared" ca="1" si="7"/>
        <v>35284.807999999997</v>
      </c>
      <c r="T10" s="35">
        <f t="shared" ca="1" si="8"/>
        <v>35262.487000000001</v>
      </c>
      <c r="U10" s="35">
        <f t="shared" ca="1" si="9"/>
        <v>35246.915000000001</v>
      </c>
      <c r="W10" s="35">
        <f t="shared" ca="1" si="10"/>
        <v>35258.567599999995</v>
      </c>
      <c r="Y10" s="35">
        <f ca="1">Total!E10</f>
        <v>35210.383000000002</v>
      </c>
      <c r="AB10" s="35">
        <f t="shared" ca="1" si="11"/>
        <v>1.7855244573738028E-3</v>
      </c>
      <c r="AC10" s="35">
        <f t="shared" ca="1" si="12"/>
        <v>1.289704800995776E-3</v>
      </c>
      <c r="AD10" s="35">
        <f t="shared" ca="1" si="13"/>
        <v>2.2944652433913321E-3</v>
      </c>
      <c r="AE10" s="35">
        <f t="shared" ca="1" si="14"/>
        <v>9.8331790369901952E-4</v>
      </c>
      <c r="AF10" s="35">
        <f t="shared" ca="1" si="15"/>
        <v>7.2879070926323234E-4</v>
      </c>
      <c r="AG10" s="35">
        <f t="shared" ca="1" si="16"/>
        <v>1.3872328511735064E-3</v>
      </c>
      <c r="AH10" s="35">
        <f t="shared" ca="1" si="17"/>
        <v>5.846854889365882E-4</v>
      </c>
      <c r="AI10" s="35">
        <f t="shared" ca="1" si="18"/>
        <v>2.1137231026426388E-3</v>
      </c>
      <c r="AJ10" s="35">
        <f t="shared" ca="1" si="19"/>
        <v>1.4797907764877013E-3</v>
      </c>
      <c r="AK10" s="35">
        <f t="shared" ca="1" si="20"/>
        <v>1.0375348657809045E-3</v>
      </c>
      <c r="AM10" s="35">
        <f t="shared" ca="1" si="21"/>
        <v>1.3684770199744505E-2</v>
      </c>
    </row>
    <row r="11" spans="1:39" x14ac:dyDescent="0.3">
      <c r="A11" t="s">
        <v>17</v>
      </c>
      <c r="B11">
        <v>50</v>
      </c>
      <c r="C11">
        <v>1</v>
      </c>
      <c r="D11">
        <v>52.957999999999998</v>
      </c>
      <c r="E11">
        <v>19.614999999999998</v>
      </c>
      <c r="F11">
        <v>239</v>
      </c>
      <c r="H11" s="35" t="s">
        <v>20</v>
      </c>
      <c r="I11" s="35">
        <v>30</v>
      </c>
      <c r="J11" s="35">
        <v>1</v>
      </c>
      <c r="L11" s="35">
        <f t="shared" ca="1" si="0"/>
        <v>657.35599999999999</v>
      </c>
      <c r="M11" s="35">
        <f t="shared" ca="1" si="1"/>
        <v>658.23299999999995</v>
      </c>
      <c r="N11" s="35">
        <f t="shared" ca="1" si="2"/>
        <v>657.35599999999999</v>
      </c>
      <c r="O11" s="35">
        <f t="shared" ca="1" si="3"/>
        <v>657.35599999999999</v>
      </c>
      <c r="P11" s="35">
        <f t="shared" ca="1" si="4"/>
        <v>657.35599999999999</v>
      </c>
      <c r="Q11" s="35">
        <f t="shared" ca="1" si="5"/>
        <v>658.23299999999995</v>
      </c>
      <c r="R11" s="35">
        <f t="shared" ca="1" si="6"/>
        <v>658.23299999999995</v>
      </c>
      <c r="S11" s="35">
        <f t="shared" ca="1" si="7"/>
        <v>657.35599999999999</v>
      </c>
      <c r="T11" s="35">
        <f t="shared" ca="1" si="8"/>
        <v>657.35599999999999</v>
      </c>
      <c r="U11" s="35">
        <f t="shared" ca="1" si="9"/>
        <v>657.32399999999996</v>
      </c>
      <c r="W11" s="35">
        <f t="shared" ca="1" si="10"/>
        <v>657.61590000000001</v>
      </c>
      <c r="Y11" s="35">
        <f ca="1">Total!E11</f>
        <v>655.46500000000003</v>
      </c>
      <c r="AB11" s="35">
        <f t="shared" ca="1" si="11"/>
        <v>2.8849747888902728E-3</v>
      </c>
      <c r="AC11" s="35">
        <f t="shared" ca="1" si="12"/>
        <v>4.2229562219186613E-3</v>
      </c>
      <c r="AD11" s="35">
        <f t="shared" ca="1" si="13"/>
        <v>2.8849747888902728E-3</v>
      </c>
      <c r="AE11" s="35">
        <f t="shared" ca="1" si="14"/>
        <v>2.8849747888902728E-3</v>
      </c>
      <c r="AF11" s="35">
        <f t="shared" ca="1" si="15"/>
        <v>2.8849747888902728E-3</v>
      </c>
      <c r="AG11" s="35">
        <f t="shared" ca="1" si="16"/>
        <v>4.2229562219186613E-3</v>
      </c>
      <c r="AH11" s="35">
        <f t="shared" ca="1" si="17"/>
        <v>4.2229562219186613E-3</v>
      </c>
      <c r="AI11" s="35">
        <f t="shared" ca="1" si="18"/>
        <v>2.8849747888902728E-3</v>
      </c>
      <c r="AJ11" s="35">
        <f t="shared" ca="1" si="19"/>
        <v>2.8849747888902728E-3</v>
      </c>
      <c r="AK11" s="35">
        <f t="shared" ca="1" si="20"/>
        <v>2.8361544857466434E-3</v>
      </c>
      <c r="AM11" s="35">
        <f t="shared" ca="1" si="21"/>
        <v>3.2814871884844263E-2</v>
      </c>
    </row>
    <row r="12" spans="1:39" x14ac:dyDescent="0.3">
      <c r="A12" t="s">
        <v>17</v>
      </c>
      <c r="B12">
        <v>50</v>
      </c>
      <c r="C12">
        <v>1</v>
      </c>
      <c r="D12">
        <v>52.978000000000002</v>
      </c>
      <c r="E12">
        <v>19.591999999999999</v>
      </c>
      <c r="F12">
        <v>231</v>
      </c>
      <c r="H12" s="35" t="s">
        <v>20</v>
      </c>
      <c r="I12" s="35">
        <v>50</v>
      </c>
      <c r="J12" s="35">
        <v>1</v>
      </c>
      <c r="L12" s="35">
        <f t="shared" ca="1" si="0"/>
        <v>994.43499999999995</v>
      </c>
      <c r="M12" s="35">
        <f t="shared" ca="1" si="1"/>
        <v>996.86500000000001</v>
      </c>
      <c r="N12" s="35">
        <f t="shared" ca="1" si="2"/>
        <v>996.36699999999996</v>
      </c>
      <c r="O12" s="35">
        <f t="shared" ca="1" si="3"/>
        <v>996.04300000000001</v>
      </c>
      <c r="P12" s="35">
        <f t="shared" ca="1" si="4"/>
        <v>994.31399999999996</v>
      </c>
      <c r="Q12" s="35">
        <f t="shared" ca="1" si="5"/>
        <v>992.89099999999996</v>
      </c>
      <c r="R12" s="35">
        <f t="shared" ca="1" si="6"/>
        <v>993.58299999999997</v>
      </c>
      <c r="S12" s="35">
        <f t="shared" ca="1" si="7"/>
        <v>993.93799999999999</v>
      </c>
      <c r="T12" s="35">
        <f t="shared" ca="1" si="8"/>
        <v>991.70100000000002</v>
      </c>
      <c r="U12" s="35">
        <f t="shared" ca="1" si="9"/>
        <v>995.19399999999996</v>
      </c>
      <c r="W12" s="35">
        <f t="shared" ca="1" si="10"/>
        <v>994.53309999999988</v>
      </c>
      <c r="Y12" s="35">
        <f ca="1">Total!E12</f>
        <v>990.096</v>
      </c>
      <c r="AB12" s="35">
        <f t="shared" ca="1" si="11"/>
        <v>4.3824033225060418E-3</v>
      </c>
      <c r="AC12" s="35">
        <f t="shared" ca="1" si="12"/>
        <v>6.8367107836007877E-3</v>
      </c>
      <c r="AD12" s="35">
        <f t="shared" ca="1" si="13"/>
        <v>6.3337292545368913E-3</v>
      </c>
      <c r="AE12" s="35">
        <f t="shared" ca="1" si="14"/>
        <v>6.0064882597243123E-3</v>
      </c>
      <c r="AF12" s="35">
        <f t="shared" ca="1" si="15"/>
        <v>4.2601929509865312E-3</v>
      </c>
      <c r="AG12" s="35">
        <f t="shared" ca="1" si="16"/>
        <v>2.8229585817940474E-3</v>
      </c>
      <c r="AH12" s="35">
        <f t="shared" ca="1" si="17"/>
        <v>3.5218807065173136E-3</v>
      </c>
      <c r="AI12" s="35">
        <f t="shared" ca="1" si="18"/>
        <v>3.8804317965126459E-3</v>
      </c>
      <c r="AJ12" s="35">
        <f t="shared" ca="1" si="19"/>
        <v>1.6210549280069996E-3</v>
      </c>
      <c r="AK12" s="35">
        <f t="shared" ca="1" si="20"/>
        <v>5.1489956529467409E-3</v>
      </c>
      <c r="AM12" s="35">
        <f t="shared" ca="1" si="21"/>
        <v>4.4814846237132312E-2</v>
      </c>
    </row>
    <row r="13" spans="1:39" x14ac:dyDescent="0.3">
      <c r="A13" t="s">
        <v>17</v>
      </c>
      <c r="B13">
        <v>50</v>
      </c>
      <c r="C13">
        <v>1</v>
      </c>
      <c r="D13">
        <v>53.017000000000003</v>
      </c>
      <c r="E13">
        <v>19.559000000000001</v>
      </c>
      <c r="F13">
        <v>240</v>
      </c>
      <c r="H13" s="35" t="s">
        <v>20</v>
      </c>
      <c r="I13" s="35">
        <v>100</v>
      </c>
      <c r="J13" s="35">
        <v>1</v>
      </c>
      <c r="L13" s="35">
        <f t="shared" ca="1" si="0"/>
        <v>1759.0219999999999</v>
      </c>
      <c r="M13" s="35">
        <f t="shared" ca="1" si="1"/>
        <v>1763.8820000000001</v>
      </c>
      <c r="N13" s="35">
        <f t="shared" ca="1" si="2"/>
        <v>1764.701</v>
      </c>
      <c r="O13" s="35">
        <f t="shared" ca="1" si="3"/>
        <v>1759.684</v>
      </c>
      <c r="P13" s="35">
        <f t="shared" ca="1" si="4"/>
        <v>1764.335</v>
      </c>
      <c r="Q13" s="35">
        <f t="shared" ca="1" si="5"/>
        <v>1758.73</v>
      </c>
      <c r="R13" s="35">
        <f t="shared" ca="1" si="6"/>
        <v>1759.03</v>
      </c>
      <c r="S13" s="35">
        <f t="shared" ca="1" si="7"/>
        <v>1758.2909999999999</v>
      </c>
      <c r="T13" s="35">
        <f t="shared" ca="1" si="8"/>
        <v>1761.2329999999999</v>
      </c>
      <c r="U13" s="35">
        <f t="shared" ca="1" si="9"/>
        <v>1755.9870000000001</v>
      </c>
      <c r="W13" s="35">
        <f t="shared" ca="1" si="10"/>
        <v>1760.4895000000001</v>
      </c>
      <c r="Y13" s="35">
        <f ca="1">Total!E13</f>
        <v>1753.79</v>
      </c>
      <c r="AB13" s="35">
        <f t="shared" ca="1" si="11"/>
        <v>2.9832534111837628E-3</v>
      </c>
      <c r="AC13" s="35">
        <f t="shared" ca="1" si="12"/>
        <v>5.7543947679027123E-3</v>
      </c>
      <c r="AD13" s="35">
        <f t="shared" ca="1" si="13"/>
        <v>6.2213834039423523E-3</v>
      </c>
      <c r="AE13" s="35">
        <f t="shared" ca="1" si="14"/>
        <v>3.3607216371401398E-3</v>
      </c>
      <c r="AF13" s="35">
        <f t="shared" ca="1" si="15"/>
        <v>6.012692511646248E-3</v>
      </c>
      <c r="AG13" s="35">
        <f t="shared" ca="1" si="16"/>
        <v>2.8167568523027584E-3</v>
      </c>
      <c r="AH13" s="35">
        <f t="shared" ca="1" si="17"/>
        <v>2.9878149607421695E-3</v>
      </c>
      <c r="AI13" s="35">
        <f t="shared" ca="1" si="18"/>
        <v>2.566441820286338E-3</v>
      </c>
      <c r="AJ13" s="35">
        <f t="shared" ca="1" si="19"/>
        <v>4.2439516703824199E-3</v>
      </c>
      <c r="AK13" s="35">
        <f t="shared" ca="1" si="20"/>
        <v>1.2527155474715424E-3</v>
      </c>
      <c r="AM13" s="35">
        <f t="shared" ca="1" si="21"/>
        <v>3.8200126583000441E-2</v>
      </c>
    </row>
    <row r="14" spans="1:39" x14ac:dyDescent="0.3">
      <c r="A14" t="s">
        <v>17</v>
      </c>
      <c r="B14">
        <v>50</v>
      </c>
      <c r="C14">
        <v>1</v>
      </c>
      <c r="D14">
        <v>52.988</v>
      </c>
      <c r="E14">
        <v>19.574000000000002</v>
      </c>
      <c r="F14">
        <v>238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52.957000000000001</v>
      </c>
      <c r="E15">
        <v>19.562000000000001</v>
      </c>
      <c r="F15">
        <v>302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77.108000000000004</v>
      </c>
      <c r="M15" s="35">
        <f t="shared" ca="1" si="1"/>
        <v>76.879000000000005</v>
      </c>
      <c r="N15" s="35">
        <f t="shared" ca="1" si="1"/>
        <v>76.977000000000004</v>
      </c>
      <c r="O15" s="35">
        <f t="shared" ca="1" si="1"/>
        <v>77.069999999999993</v>
      </c>
      <c r="P15" s="35">
        <f t="shared" ca="1" si="1"/>
        <v>76.921999999999997</v>
      </c>
      <c r="Q15" s="35">
        <f t="shared" ca="1" si="1"/>
        <v>76.603999999999999</v>
      </c>
      <c r="R15" s="35">
        <f t="shared" ca="1" si="1"/>
        <v>77.239000000000004</v>
      </c>
      <c r="S15" s="35">
        <f t="shared" ca="1" si="1"/>
        <v>76.802000000000007</v>
      </c>
      <c r="T15" s="35">
        <f t="shared" ca="1" si="1"/>
        <v>76.706000000000003</v>
      </c>
      <c r="U15" s="35">
        <f t="shared" ca="1" si="1"/>
        <v>77.055000000000007</v>
      </c>
      <c r="W15" s="35">
        <f t="shared" ca="1" si="10"/>
        <v>76.936200000000014</v>
      </c>
      <c r="Y15" s="35">
        <f ca="1">Total!E15</f>
        <v>75.998000000000005</v>
      </c>
      <c r="AB15" s="35">
        <f t="shared" ca="1" si="11"/>
        <v>1.4605647517039914E-2</v>
      </c>
      <c r="AC15" s="35">
        <f t="shared" ca="1" si="12"/>
        <v>1.1592410326587544E-2</v>
      </c>
      <c r="AD15" s="35">
        <f t="shared" ca="1" si="13"/>
        <v>1.2881917945209074E-2</v>
      </c>
      <c r="AE15" s="35">
        <f t="shared" ca="1" si="14"/>
        <v>1.4105634358798764E-2</v>
      </c>
      <c r="AF15" s="35">
        <f t="shared" ca="1" si="15"/>
        <v>1.2158214689860159E-2</v>
      </c>
      <c r="AG15" s="35">
        <f t="shared" ca="1" si="16"/>
        <v>7.9738940498433452E-3</v>
      </c>
      <c r="AH15" s="35">
        <f t="shared" ca="1" si="17"/>
        <v>1.6329377088870754E-2</v>
      </c>
      <c r="AI15" s="35">
        <f t="shared" ca="1" si="18"/>
        <v>1.0579225769099213E-2</v>
      </c>
      <c r="AJ15" s="35">
        <f t="shared" ca="1" si="19"/>
        <v>9.3160346324903075E-3</v>
      </c>
      <c r="AK15" s="35">
        <f t="shared" ca="1" si="20"/>
        <v>1.3908260743703809E-2</v>
      </c>
      <c r="AM15" s="35">
        <f t="shared" ca="1" si="21"/>
        <v>0.12345061712150288</v>
      </c>
    </row>
    <row r="16" spans="1:39" x14ac:dyDescent="0.3">
      <c r="A16" t="s">
        <v>17</v>
      </c>
      <c r="B16">
        <v>50</v>
      </c>
      <c r="C16">
        <v>1</v>
      </c>
      <c r="D16">
        <v>52.966999999999999</v>
      </c>
      <c r="E16">
        <v>19.548999999999999</v>
      </c>
      <c r="F16">
        <v>309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119.129</v>
      </c>
      <c r="M16" s="35">
        <f t="shared" ca="1" si="1"/>
        <v>119.514</v>
      </c>
      <c r="N16" s="35">
        <f t="shared" ca="1" si="1"/>
        <v>119.773</v>
      </c>
      <c r="O16" s="35">
        <f t="shared" ca="1" si="1"/>
        <v>119.479</v>
      </c>
      <c r="P16" s="35">
        <f t="shared" ca="1" si="1"/>
        <v>119.864</v>
      </c>
      <c r="Q16" s="35">
        <f t="shared" ca="1" si="1"/>
        <v>119.718</v>
      </c>
      <c r="R16" s="35">
        <f t="shared" ca="1" si="1"/>
        <v>119.38200000000001</v>
      </c>
      <c r="S16" s="35">
        <f t="shared" ca="1" si="1"/>
        <v>119.599</v>
      </c>
      <c r="T16" s="35">
        <f t="shared" ca="1" si="1"/>
        <v>119.684</v>
      </c>
      <c r="U16" s="35">
        <f t="shared" ca="1" si="1"/>
        <v>119.55800000000001</v>
      </c>
      <c r="W16" s="35">
        <f t="shared" ca="1" si="10"/>
        <v>119.57000000000001</v>
      </c>
      <c r="Y16" s="35">
        <f ca="1">Total!E16</f>
        <v>118.01</v>
      </c>
      <c r="AB16" s="35">
        <f t="shared" ca="1" si="11"/>
        <v>9.4822472671807455E-3</v>
      </c>
      <c r="AC16" s="35">
        <f t="shared" ca="1" si="12"/>
        <v>1.2744682654012292E-2</v>
      </c>
      <c r="AD16" s="35">
        <f t="shared" ca="1" si="13"/>
        <v>1.4939411914244478E-2</v>
      </c>
      <c r="AE16" s="35">
        <f t="shared" ca="1" si="14"/>
        <v>1.244809761884581E-2</v>
      </c>
      <c r="AF16" s="35">
        <f t="shared" ca="1" si="15"/>
        <v>1.5710533005677478E-2</v>
      </c>
      <c r="AG16" s="35">
        <f t="shared" ca="1" si="16"/>
        <v>1.4473349716125739E-2</v>
      </c>
      <c r="AH16" s="35">
        <f t="shared" ca="1" si="17"/>
        <v>1.1626133378527243E-2</v>
      </c>
      <c r="AI16" s="35">
        <f t="shared" ca="1" si="18"/>
        <v>1.3464960596559602E-2</v>
      </c>
      <c r="AJ16" s="35">
        <f t="shared" ca="1" si="19"/>
        <v>1.418523853910679E-2</v>
      </c>
      <c r="AK16" s="35">
        <f t="shared" ca="1" si="20"/>
        <v>1.3117532412507429E-2</v>
      </c>
      <c r="AM16" s="35">
        <f t="shared" ca="1" si="21"/>
        <v>0.1321921871027876</v>
      </c>
    </row>
    <row r="17" spans="1:39" x14ac:dyDescent="0.3">
      <c r="A17" t="s">
        <v>17</v>
      </c>
      <c r="B17">
        <v>50</v>
      </c>
      <c r="C17">
        <v>1</v>
      </c>
      <c r="D17">
        <v>52.927</v>
      </c>
      <c r="E17">
        <v>19.591999999999999</v>
      </c>
      <c r="F17">
        <v>320</v>
      </c>
      <c r="H17" s="35" t="s">
        <v>34</v>
      </c>
      <c r="I17" s="35">
        <v>40</v>
      </c>
      <c r="J17" s="35">
        <v>1</v>
      </c>
      <c r="L17" s="35">
        <f t="shared" ca="1" si="22"/>
        <v>16.617999999999999</v>
      </c>
      <c r="M17" s="35">
        <f t="shared" ca="1" si="1"/>
        <v>16.75</v>
      </c>
      <c r="N17" s="35">
        <f t="shared" ca="1" si="1"/>
        <v>16.643000000000001</v>
      </c>
      <c r="O17" s="35">
        <f t="shared" ca="1" si="1"/>
        <v>16.641999999999999</v>
      </c>
      <c r="P17" s="35">
        <f t="shared" ca="1" si="1"/>
        <v>16.548999999999999</v>
      </c>
      <c r="Q17" s="35">
        <f t="shared" ca="1" si="1"/>
        <v>16.78</v>
      </c>
      <c r="R17" s="35">
        <f t="shared" ca="1" si="1"/>
        <v>16.66</v>
      </c>
      <c r="S17" s="35">
        <f t="shared" ca="1" si="1"/>
        <v>16.632999999999999</v>
      </c>
      <c r="T17" s="35">
        <f t="shared" ca="1" si="1"/>
        <v>16.481999999999999</v>
      </c>
      <c r="U17" s="35">
        <f t="shared" ca="1" si="1"/>
        <v>16.515000000000001</v>
      </c>
      <c r="W17" s="35">
        <f t="shared" ca="1" si="10"/>
        <v>16.627199999999998</v>
      </c>
      <c r="Y17" s="35">
        <f ca="1">Total!E17</f>
        <v>16.481999999999999</v>
      </c>
      <c r="AB17" s="35">
        <f t="shared" ca="1" si="11"/>
        <v>8.2514257978400212E-3</v>
      </c>
      <c r="AC17" s="35">
        <f t="shared" ca="1" si="12"/>
        <v>1.626016260162606E-2</v>
      </c>
      <c r="AD17" s="35">
        <f t="shared" ca="1" si="13"/>
        <v>9.7682320106783991E-3</v>
      </c>
      <c r="AE17" s="35">
        <f t="shared" ca="1" si="14"/>
        <v>9.7075597621647941E-3</v>
      </c>
      <c r="AF17" s="35">
        <f t="shared" ca="1" si="15"/>
        <v>4.0650406504065149E-3</v>
      </c>
      <c r="AG17" s="35">
        <f t="shared" ca="1" si="16"/>
        <v>1.8080330057032024E-2</v>
      </c>
      <c r="AH17" s="35">
        <f t="shared" ca="1" si="17"/>
        <v>1.0799660235408374E-2</v>
      </c>
      <c r="AI17" s="35">
        <f t="shared" ca="1" si="18"/>
        <v>9.1615095255430049E-3</v>
      </c>
      <c r="AJ17" s="35">
        <f t="shared" ca="1" si="19"/>
        <v>0</v>
      </c>
      <c r="AK17" s="35">
        <f t="shared" ca="1" si="20"/>
        <v>2.0021842009465629E-3</v>
      </c>
      <c r="AM17" s="35">
        <f t="shared" ca="1" si="21"/>
        <v>8.8096104841645761E-2</v>
      </c>
    </row>
    <row r="18" spans="1:39" x14ac:dyDescent="0.3">
      <c r="A18" t="s">
        <v>17</v>
      </c>
      <c r="B18">
        <v>50</v>
      </c>
      <c r="C18">
        <v>1</v>
      </c>
      <c r="D18">
        <v>53.067999999999998</v>
      </c>
      <c r="E18">
        <v>19.562000000000001</v>
      </c>
      <c r="F18">
        <v>236</v>
      </c>
      <c r="H18" s="35" t="s">
        <v>34</v>
      </c>
      <c r="I18" s="35">
        <v>96</v>
      </c>
      <c r="J18" s="35">
        <v>1</v>
      </c>
      <c r="L18" s="35">
        <f t="shared" ca="1" si="22"/>
        <v>35.142000000000003</v>
      </c>
      <c r="M18" s="35">
        <f t="shared" ca="1" si="22"/>
        <v>35.133000000000003</v>
      </c>
      <c r="N18" s="35">
        <f t="shared" ca="1" si="22"/>
        <v>35.069000000000003</v>
      </c>
      <c r="O18" s="35">
        <f t="shared" ca="1" si="22"/>
        <v>35.124000000000002</v>
      </c>
      <c r="P18" s="35">
        <f t="shared" ca="1" si="22"/>
        <v>35.216000000000001</v>
      </c>
      <c r="Q18" s="35">
        <f t="shared" ca="1" si="22"/>
        <v>35.110999999999997</v>
      </c>
      <c r="R18" s="35">
        <f t="shared" ca="1" si="22"/>
        <v>35.186</v>
      </c>
      <c r="S18" s="35">
        <f t="shared" ca="1" si="22"/>
        <v>35.191000000000003</v>
      </c>
      <c r="T18" s="35">
        <f t="shared" ca="1" si="22"/>
        <v>35.159999999999997</v>
      </c>
      <c r="U18" s="35">
        <f t="shared" ca="1" si="22"/>
        <v>35.195</v>
      </c>
      <c r="W18" s="35">
        <f t="shared" ca="1" si="10"/>
        <v>35.152699999999996</v>
      </c>
      <c r="Y18" s="35">
        <f ca="1">Total!E18</f>
        <v>35.069000000000003</v>
      </c>
      <c r="AB18" s="35">
        <f t="shared" ca="1" si="11"/>
        <v>2.0816105392226867E-3</v>
      </c>
      <c r="AC18" s="35">
        <f t="shared" ca="1" si="12"/>
        <v>1.8249736234281003E-3</v>
      </c>
      <c r="AD18" s="35">
        <f t="shared" ca="1" si="13"/>
        <v>0</v>
      </c>
      <c r="AE18" s="35">
        <f t="shared" ca="1" si="14"/>
        <v>1.5683367076335143E-3</v>
      </c>
      <c r="AF18" s="35">
        <f t="shared" ca="1" si="15"/>
        <v>4.1917362913113706E-3</v>
      </c>
      <c r="AG18" s="35">
        <f t="shared" ca="1" si="16"/>
        <v>1.1976389403745326E-3</v>
      </c>
      <c r="AH18" s="35">
        <f t="shared" ca="1" si="17"/>
        <v>3.3362799053294171E-3</v>
      </c>
      <c r="AI18" s="35">
        <f t="shared" ca="1" si="18"/>
        <v>3.4788559696598098E-3</v>
      </c>
      <c r="AJ18" s="35">
        <f t="shared" ca="1" si="19"/>
        <v>2.5948843708116561E-3</v>
      </c>
      <c r="AK18" s="35">
        <f t="shared" ca="1" si="20"/>
        <v>3.5929168211240028E-3</v>
      </c>
      <c r="AM18" s="35">
        <f t="shared" ca="1" si="21"/>
        <v>2.3867233168895094E-2</v>
      </c>
    </row>
    <row r="19" spans="1:39" x14ac:dyDescent="0.3">
      <c r="A19" t="s">
        <v>17</v>
      </c>
      <c r="B19">
        <v>50</v>
      </c>
      <c r="C19">
        <v>1</v>
      </c>
      <c r="D19">
        <v>53.067</v>
      </c>
      <c r="E19">
        <v>19.559000000000001</v>
      </c>
      <c r="F19">
        <v>235</v>
      </c>
      <c r="H19" s="35" t="s">
        <v>34</v>
      </c>
      <c r="I19" s="35">
        <v>224</v>
      </c>
      <c r="J19" s="35">
        <v>1</v>
      </c>
      <c r="L19" s="35">
        <f t="shared" ca="1" si="22"/>
        <v>71.936000000000007</v>
      </c>
      <c r="M19" s="35">
        <f t="shared" ca="1" si="22"/>
        <v>71.933000000000007</v>
      </c>
      <c r="N19" s="35">
        <f t="shared" ca="1" si="22"/>
        <v>71.97</v>
      </c>
      <c r="O19" s="35">
        <f t="shared" ca="1" si="22"/>
        <v>71.960999999999999</v>
      </c>
      <c r="P19" s="35">
        <f t="shared" ca="1" si="22"/>
        <v>71.927999999999997</v>
      </c>
      <c r="Q19" s="35">
        <f t="shared" ca="1" si="22"/>
        <v>71.936999999999998</v>
      </c>
      <c r="R19" s="35">
        <f t="shared" ca="1" si="22"/>
        <v>72.019000000000005</v>
      </c>
      <c r="S19" s="35">
        <f t="shared" ca="1" si="22"/>
        <v>72.027000000000001</v>
      </c>
      <c r="T19" s="35">
        <f t="shared" ca="1" si="22"/>
        <v>71.929000000000002</v>
      </c>
      <c r="U19" s="35">
        <f t="shared" ca="1" si="22"/>
        <v>71.932000000000002</v>
      </c>
      <c r="W19" s="35">
        <f t="shared" ca="1" si="10"/>
        <v>71.9572</v>
      </c>
      <c r="Y19" s="35">
        <f ca="1">Total!E19</f>
        <v>71.908000000000001</v>
      </c>
      <c r="AB19" s="35">
        <f t="shared" ca="1" si="11"/>
        <v>3.8938643822670354E-4</v>
      </c>
      <c r="AC19" s="35">
        <f t="shared" ca="1" si="12"/>
        <v>3.4766646270242092E-4</v>
      </c>
      <c r="AD19" s="35">
        <f t="shared" ca="1" si="13"/>
        <v>8.6221282750177468E-4</v>
      </c>
      <c r="AE19" s="35">
        <f t="shared" ca="1" si="14"/>
        <v>7.3705290092892682E-4</v>
      </c>
      <c r="AF19" s="35">
        <f t="shared" ca="1" si="15"/>
        <v>2.7813317016181819E-4</v>
      </c>
      <c r="AG19" s="35">
        <f t="shared" ca="1" si="16"/>
        <v>4.03293096734666E-4</v>
      </c>
      <c r="AH19" s="35">
        <f t="shared" ca="1" si="17"/>
        <v>1.5436390943984564E-3</v>
      </c>
      <c r="AI19" s="35">
        <f t="shared" ca="1" si="18"/>
        <v>1.6548923624631442E-3</v>
      </c>
      <c r="AJ19" s="35">
        <f t="shared" ca="1" si="19"/>
        <v>2.9203982866997825E-4</v>
      </c>
      <c r="AK19" s="35">
        <f t="shared" ca="1" si="20"/>
        <v>3.3375980419426087E-4</v>
      </c>
      <c r="AM19" s="35">
        <f t="shared" ca="1" si="21"/>
        <v>6.8420759859821505E-3</v>
      </c>
    </row>
    <row r="20" spans="1:39" x14ac:dyDescent="0.3">
      <c r="A20" t="s">
        <v>17</v>
      </c>
      <c r="B20">
        <v>50</v>
      </c>
      <c r="C20">
        <v>1</v>
      </c>
      <c r="D20">
        <v>52.927999999999997</v>
      </c>
      <c r="E20">
        <v>19.591000000000001</v>
      </c>
      <c r="F20">
        <v>235</v>
      </c>
    </row>
    <row r="21" spans="1:39" x14ac:dyDescent="0.3">
      <c r="A21" t="s">
        <v>17</v>
      </c>
      <c r="B21">
        <v>100</v>
      </c>
      <c r="C21">
        <v>1</v>
      </c>
      <c r="D21">
        <v>103.268</v>
      </c>
      <c r="E21">
        <v>102.05</v>
      </c>
      <c r="F21">
        <v>432</v>
      </c>
    </row>
    <row r="22" spans="1:39" x14ac:dyDescent="0.3">
      <c r="A22" t="s">
        <v>17</v>
      </c>
      <c r="B22">
        <v>100</v>
      </c>
      <c r="C22">
        <v>1</v>
      </c>
      <c r="D22">
        <v>102.992</v>
      </c>
      <c r="E22">
        <v>102.07899999999999</v>
      </c>
      <c r="F22">
        <v>424</v>
      </c>
    </row>
    <row r="23" spans="1:39" x14ac:dyDescent="0.3">
      <c r="A23" t="s">
        <v>17</v>
      </c>
      <c r="B23">
        <v>100</v>
      </c>
      <c r="C23">
        <v>1</v>
      </c>
      <c r="D23">
        <v>103.32599999999999</v>
      </c>
      <c r="E23">
        <v>102.19499999999999</v>
      </c>
      <c r="F23">
        <v>398</v>
      </c>
    </row>
    <row r="24" spans="1:39" x14ac:dyDescent="0.3">
      <c r="A24" t="s">
        <v>17</v>
      </c>
      <c r="B24">
        <v>100</v>
      </c>
      <c r="C24">
        <v>1</v>
      </c>
      <c r="D24">
        <v>103.17700000000001</v>
      </c>
      <c r="E24">
        <v>102.215</v>
      </c>
      <c r="F24">
        <v>375</v>
      </c>
    </row>
    <row r="25" spans="1:39" x14ac:dyDescent="0.3">
      <c r="A25" t="s">
        <v>17</v>
      </c>
      <c r="B25">
        <v>100</v>
      </c>
      <c r="C25">
        <v>1</v>
      </c>
      <c r="D25">
        <v>103.273</v>
      </c>
      <c r="E25">
        <v>102.024</v>
      </c>
      <c r="F25">
        <v>370</v>
      </c>
    </row>
    <row r="26" spans="1:39" x14ac:dyDescent="0.3">
      <c r="A26" t="s">
        <v>17</v>
      </c>
      <c r="B26">
        <v>100</v>
      </c>
      <c r="C26">
        <v>1</v>
      </c>
      <c r="D26">
        <v>103.279</v>
      </c>
      <c r="E26">
        <v>102.001</v>
      </c>
      <c r="F26">
        <v>375</v>
      </c>
    </row>
    <row r="27" spans="1:39" x14ac:dyDescent="0.3">
      <c r="A27" t="s">
        <v>17</v>
      </c>
      <c r="B27">
        <v>100</v>
      </c>
      <c r="C27">
        <v>1</v>
      </c>
      <c r="D27">
        <v>103.294</v>
      </c>
      <c r="E27">
        <v>102.15</v>
      </c>
      <c r="F27">
        <v>375</v>
      </c>
    </row>
    <row r="28" spans="1:39" x14ac:dyDescent="0.3">
      <c r="A28" t="s">
        <v>17</v>
      </c>
      <c r="B28">
        <v>100</v>
      </c>
      <c r="C28">
        <v>1</v>
      </c>
      <c r="D28">
        <v>103.218</v>
      </c>
      <c r="E28">
        <v>102.018</v>
      </c>
      <c r="F28">
        <v>372</v>
      </c>
    </row>
    <row r="29" spans="1:39" x14ac:dyDescent="0.3">
      <c r="A29" t="s">
        <v>17</v>
      </c>
      <c r="B29">
        <v>100</v>
      </c>
      <c r="C29">
        <v>1</v>
      </c>
      <c r="D29">
        <v>103.294</v>
      </c>
      <c r="E29">
        <v>102.15</v>
      </c>
      <c r="F29">
        <v>395</v>
      </c>
    </row>
    <row r="30" spans="1:39" x14ac:dyDescent="0.3">
      <c r="A30" t="s">
        <v>17</v>
      </c>
      <c r="B30">
        <v>100</v>
      </c>
      <c r="C30">
        <v>1</v>
      </c>
      <c r="D30">
        <v>103.279</v>
      </c>
      <c r="E30">
        <v>102.077</v>
      </c>
      <c r="F30">
        <v>425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8.0239999999999991</v>
      </c>
      <c r="F31">
        <v>273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</v>
      </c>
      <c r="F32">
        <v>262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8.0180000000000007</v>
      </c>
      <c r="F33">
        <v>315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8.0090000000000003</v>
      </c>
      <c r="F34">
        <v>256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8.0229999999999997</v>
      </c>
      <c r="F35">
        <v>218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8.0250000000000004</v>
      </c>
      <c r="F36">
        <v>241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8.0109999999999992</v>
      </c>
      <c r="F37">
        <v>224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8.0030000000000001</v>
      </c>
      <c r="F38">
        <v>252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8.02</v>
      </c>
      <c r="F39">
        <v>268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8.0090000000000003</v>
      </c>
      <c r="F40">
        <v>276</v>
      </c>
    </row>
    <row r="41" spans="1:6" x14ac:dyDescent="0.3">
      <c r="A41" t="s">
        <v>18</v>
      </c>
      <c r="B41">
        <v>50</v>
      </c>
      <c r="C41">
        <v>1</v>
      </c>
      <c r="D41">
        <v>179.93799999999999</v>
      </c>
      <c r="E41">
        <v>22.449000000000002</v>
      </c>
      <c r="F41">
        <v>345</v>
      </c>
    </row>
    <row r="42" spans="1:6" x14ac:dyDescent="0.3">
      <c r="A42" t="s">
        <v>18</v>
      </c>
      <c r="B42">
        <v>50</v>
      </c>
      <c r="C42">
        <v>1</v>
      </c>
      <c r="D42">
        <v>180.12</v>
      </c>
      <c r="E42">
        <v>22.440999999999999</v>
      </c>
      <c r="F42">
        <v>335</v>
      </c>
    </row>
    <row r="43" spans="1:6" x14ac:dyDescent="0.3">
      <c r="A43" t="s">
        <v>18</v>
      </c>
      <c r="B43">
        <v>50</v>
      </c>
      <c r="C43">
        <v>1</v>
      </c>
      <c r="D43">
        <v>179.93799999999999</v>
      </c>
      <c r="E43">
        <v>22.420999999999999</v>
      </c>
      <c r="F43">
        <v>352</v>
      </c>
    </row>
    <row r="44" spans="1:6" x14ac:dyDescent="0.3">
      <c r="A44" t="s">
        <v>18</v>
      </c>
      <c r="B44">
        <v>50</v>
      </c>
      <c r="C44">
        <v>1</v>
      </c>
      <c r="D44">
        <v>179.93799999999999</v>
      </c>
      <c r="E44">
        <v>22.417999999999999</v>
      </c>
      <c r="F44">
        <v>278</v>
      </c>
    </row>
    <row r="45" spans="1:6" x14ac:dyDescent="0.3">
      <c r="A45" t="s">
        <v>18</v>
      </c>
      <c r="B45">
        <v>50</v>
      </c>
      <c r="C45">
        <v>1</v>
      </c>
      <c r="D45">
        <v>179.93799999999999</v>
      </c>
      <c r="E45">
        <v>22.445</v>
      </c>
      <c r="F45">
        <v>243</v>
      </c>
    </row>
    <row r="46" spans="1:6" x14ac:dyDescent="0.3">
      <c r="A46" t="s">
        <v>18</v>
      </c>
      <c r="B46">
        <v>50</v>
      </c>
      <c r="C46">
        <v>1</v>
      </c>
      <c r="D46">
        <v>179.93799999999999</v>
      </c>
      <c r="E46">
        <v>22.411000000000001</v>
      </c>
      <c r="F46">
        <v>240</v>
      </c>
    </row>
    <row r="47" spans="1:6" x14ac:dyDescent="0.3">
      <c r="A47" t="s">
        <v>18</v>
      </c>
      <c r="B47">
        <v>50</v>
      </c>
      <c r="C47">
        <v>1</v>
      </c>
      <c r="D47">
        <v>181.40799999999999</v>
      </c>
      <c r="E47">
        <v>22.411999999999999</v>
      </c>
      <c r="F47">
        <v>241</v>
      </c>
    </row>
    <row r="48" spans="1:6" x14ac:dyDescent="0.3">
      <c r="A48" t="s">
        <v>18</v>
      </c>
      <c r="B48">
        <v>50</v>
      </c>
      <c r="C48">
        <v>1</v>
      </c>
      <c r="D48">
        <v>179.673</v>
      </c>
      <c r="E48">
        <v>22.407</v>
      </c>
      <c r="F48">
        <v>242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22.404</v>
      </c>
      <c r="F49">
        <v>242</v>
      </c>
    </row>
    <row r="50" spans="1:6" x14ac:dyDescent="0.3">
      <c r="A50" t="s">
        <v>18</v>
      </c>
      <c r="B50">
        <v>50</v>
      </c>
      <c r="C50">
        <v>1</v>
      </c>
      <c r="D50">
        <v>179.93799999999999</v>
      </c>
      <c r="E50">
        <v>22.436</v>
      </c>
      <c r="F50">
        <v>242</v>
      </c>
    </row>
    <row r="51" spans="1:6" x14ac:dyDescent="0.3">
      <c r="A51" t="s">
        <v>18</v>
      </c>
      <c r="B51">
        <v>100</v>
      </c>
      <c r="C51">
        <v>1</v>
      </c>
      <c r="D51">
        <v>239.56</v>
      </c>
      <c r="E51">
        <v>138.57900000000001</v>
      </c>
      <c r="F51">
        <v>475</v>
      </c>
    </row>
    <row r="52" spans="1:6" x14ac:dyDescent="0.3">
      <c r="A52" t="s">
        <v>18</v>
      </c>
      <c r="B52">
        <v>100</v>
      </c>
      <c r="C52">
        <v>1</v>
      </c>
      <c r="D52">
        <v>239.22</v>
      </c>
      <c r="E52">
        <v>138.477</v>
      </c>
      <c r="F52">
        <v>463</v>
      </c>
    </row>
    <row r="53" spans="1:6" x14ac:dyDescent="0.3">
      <c r="A53" t="s">
        <v>18</v>
      </c>
      <c r="B53">
        <v>100</v>
      </c>
      <c r="C53">
        <v>1</v>
      </c>
      <c r="D53">
        <v>239.077</v>
      </c>
      <c r="E53">
        <v>138.57300000000001</v>
      </c>
      <c r="F53">
        <v>424</v>
      </c>
    </row>
    <row r="54" spans="1:6" x14ac:dyDescent="0.3">
      <c r="A54" t="s">
        <v>18</v>
      </c>
      <c r="B54">
        <v>100</v>
      </c>
      <c r="C54">
        <v>1</v>
      </c>
      <c r="D54">
        <v>239.17</v>
      </c>
      <c r="E54">
        <v>138.69800000000001</v>
      </c>
      <c r="F54">
        <v>428</v>
      </c>
    </row>
    <row r="55" spans="1:6" x14ac:dyDescent="0.3">
      <c r="A55" t="s">
        <v>18</v>
      </c>
      <c r="B55">
        <v>100</v>
      </c>
      <c r="C55">
        <v>1</v>
      </c>
      <c r="D55">
        <v>239.714</v>
      </c>
      <c r="E55">
        <v>138.46299999999999</v>
      </c>
      <c r="F55">
        <v>426</v>
      </c>
    </row>
    <row r="56" spans="1:6" x14ac:dyDescent="0.3">
      <c r="A56" t="s">
        <v>18</v>
      </c>
      <c r="B56">
        <v>100</v>
      </c>
      <c r="C56">
        <v>1</v>
      </c>
      <c r="D56">
        <v>239.17699999999999</v>
      </c>
      <c r="E56">
        <v>138.536</v>
      </c>
      <c r="F56">
        <v>426</v>
      </c>
    </row>
    <row r="57" spans="1:6" x14ac:dyDescent="0.3">
      <c r="A57" t="s">
        <v>18</v>
      </c>
      <c r="B57">
        <v>100</v>
      </c>
      <c r="C57">
        <v>1</v>
      </c>
      <c r="D57">
        <v>239.054</v>
      </c>
      <c r="E57">
        <v>138.56200000000001</v>
      </c>
      <c r="F57">
        <v>464</v>
      </c>
    </row>
    <row r="58" spans="1:6" x14ac:dyDescent="0.3">
      <c r="A58" t="s">
        <v>18</v>
      </c>
      <c r="B58">
        <v>100</v>
      </c>
      <c r="C58">
        <v>1</v>
      </c>
      <c r="D58">
        <v>239.15</v>
      </c>
      <c r="E58">
        <v>138.63800000000001</v>
      </c>
      <c r="F58">
        <v>475</v>
      </c>
    </row>
    <row r="59" spans="1:6" x14ac:dyDescent="0.3">
      <c r="A59" t="s">
        <v>18</v>
      </c>
      <c r="B59">
        <v>100</v>
      </c>
      <c r="C59">
        <v>1</v>
      </c>
      <c r="D59">
        <v>239.173</v>
      </c>
      <c r="E59">
        <v>138.57</v>
      </c>
      <c r="F59">
        <v>435</v>
      </c>
    </row>
    <row r="60" spans="1:6" x14ac:dyDescent="0.3">
      <c r="A60" t="s">
        <v>18</v>
      </c>
      <c r="B60">
        <v>100</v>
      </c>
      <c r="C60">
        <v>1</v>
      </c>
      <c r="D60">
        <v>239.31399999999999</v>
      </c>
      <c r="E60">
        <v>138.54300000000001</v>
      </c>
      <c r="F60">
        <v>426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4.34</v>
      </c>
      <c r="F61">
        <v>175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4.3319999999999999</v>
      </c>
      <c r="F62">
        <v>174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4.3239999999999998</v>
      </c>
      <c r="F63">
        <v>175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4.3159999999999998</v>
      </c>
      <c r="F64">
        <v>163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4.3120000000000003</v>
      </c>
      <c r="F65">
        <v>151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4.3330000000000002</v>
      </c>
      <c r="F66">
        <v>171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4.327</v>
      </c>
      <c r="F67">
        <v>170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4.3570000000000002</v>
      </c>
      <c r="F68">
        <v>152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4.3339999999999996</v>
      </c>
      <c r="F69">
        <v>157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4.319</v>
      </c>
      <c r="F70">
        <v>172</v>
      </c>
    </row>
    <row r="71" spans="1:6" x14ac:dyDescent="0.3">
      <c r="A71" t="s">
        <v>19</v>
      </c>
      <c r="B71">
        <v>47</v>
      </c>
      <c r="C71">
        <v>1</v>
      </c>
      <c r="D71">
        <v>4313.6099999999997</v>
      </c>
      <c r="E71">
        <v>13.206</v>
      </c>
      <c r="F71">
        <v>191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13.192</v>
      </c>
      <c r="F72">
        <v>191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13.226000000000001</v>
      </c>
      <c r="F73">
        <v>195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13.228</v>
      </c>
      <c r="F74">
        <v>193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13.246</v>
      </c>
      <c r="F75">
        <v>190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13.226000000000001</v>
      </c>
      <c r="F76">
        <v>189</v>
      </c>
    </row>
    <row r="77" spans="1:6" x14ac:dyDescent="0.3">
      <c r="A77" t="s">
        <v>19</v>
      </c>
      <c r="B77">
        <v>47</v>
      </c>
      <c r="C77">
        <v>1</v>
      </c>
      <c r="D77">
        <v>4313.6099999999997</v>
      </c>
      <c r="E77">
        <v>13.212999999999999</v>
      </c>
      <c r="F77">
        <v>190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13.214</v>
      </c>
      <c r="F78">
        <v>191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13.233000000000001</v>
      </c>
      <c r="F79">
        <v>196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13.221</v>
      </c>
      <c r="F80">
        <v>188</v>
      </c>
    </row>
    <row r="81" spans="1:6" x14ac:dyDescent="0.3">
      <c r="A81" t="s">
        <v>19</v>
      </c>
      <c r="B81">
        <v>100</v>
      </c>
      <c r="C81">
        <v>1</v>
      </c>
      <c r="D81">
        <v>35273.252</v>
      </c>
      <c r="E81">
        <v>55.009</v>
      </c>
      <c r="F81">
        <v>208</v>
      </c>
    </row>
    <row r="82" spans="1:6" x14ac:dyDescent="0.3">
      <c r="A82" t="s">
        <v>19</v>
      </c>
      <c r="B82">
        <v>100</v>
      </c>
      <c r="C82">
        <v>1</v>
      </c>
      <c r="D82">
        <v>35255.794000000002</v>
      </c>
      <c r="E82">
        <v>54.911999999999999</v>
      </c>
      <c r="F82">
        <v>209</v>
      </c>
    </row>
    <row r="83" spans="1:6" x14ac:dyDescent="0.3">
      <c r="A83" t="s">
        <v>19</v>
      </c>
      <c r="B83">
        <v>100</v>
      </c>
      <c r="C83">
        <v>1</v>
      </c>
      <c r="D83">
        <v>35291.171999999999</v>
      </c>
      <c r="E83">
        <v>55.040999999999997</v>
      </c>
      <c r="F83">
        <v>206</v>
      </c>
    </row>
    <row r="84" spans="1:6" x14ac:dyDescent="0.3">
      <c r="A84" t="s">
        <v>19</v>
      </c>
      <c r="B84">
        <v>100</v>
      </c>
      <c r="C84">
        <v>1</v>
      </c>
      <c r="D84">
        <v>35245.006000000001</v>
      </c>
      <c r="E84">
        <v>54.932000000000002</v>
      </c>
      <c r="F84">
        <v>205</v>
      </c>
    </row>
    <row r="85" spans="1:6" x14ac:dyDescent="0.3">
      <c r="A85" t="s">
        <v>19</v>
      </c>
      <c r="B85">
        <v>100</v>
      </c>
      <c r="C85">
        <v>1</v>
      </c>
      <c r="D85">
        <v>35236.044000000002</v>
      </c>
      <c r="E85">
        <v>54.819000000000003</v>
      </c>
      <c r="F85">
        <v>205</v>
      </c>
    </row>
    <row r="86" spans="1:6" x14ac:dyDescent="0.3">
      <c r="A86" t="s">
        <v>19</v>
      </c>
      <c r="B86">
        <v>100</v>
      </c>
      <c r="C86">
        <v>1</v>
      </c>
      <c r="D86">
        <v>35259.228000000003</v>
      </c>
      <c r="E86">
        <v>54.795999999999999</v>
      </c>
      <c r="F86">
        <v>206</v>
      </c>
    </row>
    <row r="87" spans="1:6" x14ac:dyDescent="0.3">
      <c r="A87" t="s">
        <v>19</v>
      </c>
      <c r="B87">
        <v>100</v>
      </c>
      <c r="C87">
        <v>1</v>
      </c>
      <c r="D87">
        <v>35230.97</v>
      </c>
      <c r="E87">
        <v>54.92</v>
      </c>
      <c r="F87">
        <v>205</v>
      </c>
    </row>
    <row r="88" spans="1:6" x14ac:dyDescent="0.3">
      <c r="A88" t="s">
        <v>19</v>
      </c>
      <c r="B88">
        <v>100</v>
      </c>
      <c r="C88">
        <v>1</v>
      </c>
      <c r="D88">
        <v>35284.807999999997</v>
      </c>
      <c r="E88">
        <v>54.893000000000001</v>
      </c>
      <c r="F88">
        <v>207</v>
      </c>
    </row>
    <row r="89" spans="1:6" x14ac:dyDescent="0.3">
      <c r="A89" t="s">
        <v>19</v>
      </c>
      <c r="B89">
        <v>100</v>
      </c>
      <c r="C89">
        <v>1</v>
      </c>
      <c r="D89">
        <v>35262.487000000001</v>
      </c>
      <c r="E89">
        <v>54.83</v>
      </c>
      <c r="F89">
        <v>206</v>
      </c>
    </row>
    <row r="90" spans="1:6" x14ac:dyDescent="0.3">
      <c r="A90" t="s">
        <v>19</v>
      </c>
      <c r="B90">
        <v>100</v>
      </c>
      <c r="C90">
        <v>1</v>
      </c>
      <c r="D90">
        <v>35246.915000000001</v>
      </c>
      <c r="E90">
        <v>54.973999999999997</v>
      </c>
      <c r="F90">
        <v>208</v>
      </c>
    </row>
    <row r="91" spans="1:6" x14ac:dyDescent="0.3">
      <c r="A91" t="s">
        <v>20</v>
      </c>
      <c r="B91">
        <v>30</v>
      </c>
      <c r="C91">
        <v>1</v>
      </c>
      <c r="D91">
        <v>657.35599999999999</v>
      </c>
      <c r="E91">
        <v>6.4950000000000001</v>
      </c>
      <c r="F91">
        <v>172</v>
      </c>
    </row>
    <row r="92" spans="1:6" x14ac:dyDescent="0.3">
      <c r="A92" t="s">
        <v>20</v>
      </c>
      <c r="B92">
        <v>30</v>
      </c>
      <c r="C92">
        <v>1</v>
      </c>
      <c r="D92">
        <v>658.23299999999995</v>
      </c>
      <c r="E92">
        <v>6.4710000000000001</v>
      </c>
      <c r="F92">
        <v>199</v>
      </c>
    </row>
    <row r="93" spans="1:6" x14ac:dyDescent="0.3">
      <c r="A93" t="s">
        <v>20</v>
      </c>
      <c r="B93">
        <v>30</v>
      </c>
      <c r="C93">
        <v>1</v>
      </c>
      <c r="D93">
        <v>657.35599999999999</v>
      </c>
      <c r="E93">
        <v>6.4790000000000001</v>
      </c>
      <c r="F93">
        <v>186</v>
      </c>
    </row>
    <row r="94" spans="1:6" x14ac:dyDescent="0.3">
      <c r="A94" t="s">
        <v>20</v>
      </c>
      <c r="B94">
        <v>30</v>
      </c>
      <c r="C94">
        <v>1</v>
      </c>
      <c r="D94">
        <v>657.35599999999999</v>
      </c>
      <c r="E94">
        <v>6.4829999999999997</v>
      </c>
      <c r="F94">
        <v>180</v>
      </c>
    </row>
    <row r="95" spans="1:6" x14ac:dyDescent="0.3">
      <c r="A95" t="s">
        <v>20</v>
      </c>
      <c r="B95">
        <v>30</v>
      </c>
      <c r="C95">
        <v>1</v>
      </c>
      <c r="D95">
        <v>657.35599999999999</v>
      </c>
      <c r="E95">
        <v>6.4690000000000003</v>
      </c>
      <c r="F95">
        <v>190</v>
      </c>
    </row>
    <row r="96" spans="1:6" x14ac:dyDescent="0.3">
      <c r="A96" t="s">
        <v>20</v>
      </c>
      <c r="B96">
        <v>30</v>
      </c>
      <c r="C96">
        <v>1</v>
      </c>
      <c r="D96">
        <v>658.23299999999995</v>
      </c>
      <c r="E96">
        <v>6.4749999999999996</v>
      </c>
      <c r="F96">
        <v>192</v>
      </c>
    </row>
    <row r="97" spans="1:6" x14ac:dyDescent="0.3">
      <c r="A97" t="s">
        <v>20</v>
      </c>
      <c r="B97">
        <v>30</v>
      </c>
      <c r="C97">
        <v>1</v>
      </c>
      <c r="D97">
        <v>658.23299999999995</v>
      </c>
      <c r="E97">
        <v>6.4809999999999999</v>
      </c>
      <c r="F97">
        <v>182</v>
      </c>
    </row>
    <row r="98" spans="1:6" x14ac:dyDescent="0.3">
      <c r="A98" t="s">
        <v>20</v>
      </c>
      <c r="B98">
        <v>30</v>
      </c>
      <c r="C98">
        <v>1</v>
      </c>
      <c r="D98">
        <v>657.35599999999999</v>
      </c>
      <c r="E98">
        <v>6.4729999999999999</v>
      </c>
      <c r="F98">
        <v>178</v>
      </c>
    </row>
    <row r="99" spans="1:6" x14ac:dyDescent="0.3">
      <c r="A99" t="s">
        <v>20</v>
      </c>
      <c r="B99">
        <v>30</v>
      </c>
      <c r="C99">
        <v>1</v>
      </c>
      <c r="D99">
        <v>657.35599999999999</v>
      </c>
      <c r="E99">
        <v>6.4770000000000003</v>
      </c>
      <c r="F99">
        <v>173</v>
      </c>
    </row>
    <row r="100" spans="1:6" x14ac:dyDescent="0.3">
      <c r="A100" t="s">
        <v>20</v>
      </c>
      <c r="B100">
        <v>30</v>
      </c>
      <c r="C100">
        <v>1</v>
      </c>
      <c r="D100">
        <v>657.32399999999996</v>
      </c>
      <c r="E100">
        <v>6.47</v>
      </c>
      <c r="F100">
        <v>181</v>
      </c>
    </row>
    <row r="101" spans="1:6" x14ac:dyDescent="0.3">
      <c r="A101" t="s">
        <v>20</v>
      </c>
      <c r="B101">
        <v>50</v>
      </c>
      <c r="C101">
        <v>1</v>
      </c>
      <c r="D101">
        <v>994.43499999999995</v>
      </c>
      <c r="E101">
        <v>14.688000000000001</v>
      </c>
      <c r="F101">
        <v>192</v>
      </c>
    </row>
    <row r="102" spans="1:6" x14ac:dyDescent="0.3">
      <c r="A102" t="s">
        <v>20</v>
      </c>
      <c r="B102">
        <v>50</v>
      </c>
      <c r="C102">
        <v>1</v>
      </c>
      <c r="D102">
        <v>996.86500000000001</v>
      </c>
      <c r="E102">
        <v>14.737</v>
      </c>
      <c r="F102">
        <v>192</v>
      </c>
    </row>
    <row r="103" spans="1:6" x14ac:dyDescent="0.3">
      <c r="A103" t="s">
        <v>20</v>
      </c>
      <c r="B103">
        <v>50</v>
      </c>
      <c r="C103">
        <v>1</v>
      </c>
      <c r="D103">
        <v>996.36699999999996</v>
      </c>
      <c r="E103">
        <v>14.733000000000001</v>
      </c>
      <c r="F103">
        <v>194</v>
      </c>
    </row>
    <row r="104" spans="1:6" x14ac:dyDescent="0.3">
      <c r="A104" t="s">
        <v>20</v>
      </c>
      <c r="B104">
        <v>50</v>
      </c>
      <c r="C104">
        <v>1</v>
      </c>
      <c r="D104">
        <v>996.04300000000001</v>
      </c>
      <c r="E104">
        <v>14.707000000000001</v>
      </c>
      <c r="F104">
        <v>190</v>
      </c>
    </row>
    <row r="105" spans="1:6" x14ac:dyDescent="0.3">
      <c r="A105" t="s">
        <v>20</v>
      </c>
      <c r="B105">
        <v>50</v>
      </c>
      <c r="C105">
        <v>1</v>
      </c>
      <c r="D105">
        <v>994.31399999999996</v>
      </c>
      <c r="E105">
        <v>14.728</v>
      </c>
      <c r="F105">
        <v>192</v>
      </c>
    </row>
    <row r="106" spans="1:6" x14ac:dyDescent="0.3">
      <c r="A106" t="s">
        <v>20</v>
      </c>
      <c r="B106">
        <v>50</v>
      </c>
      <c r="C106">
        <v>1</v>
      </c>
      <c r="D106">
        <v>992.89099999999996</v>
      </c>
      <c r="E106">
        <v>14.685</v>
      </c>
      <c r="F106">
        <v>209</v>
      </c>
    </row>
    <row r="107" spans="1:6" x14ac:dyDescent="0.3">
      <c r="A107" t="s">
        <v>20</v>
      </c>
      <c r="B107">
        <v>50</v>
      </c>
      <c r="C107">
        <v>1</v>
      </c>
      <c r="D107">
        <v>993.58299999999997</v>
      </c>
      <c r="E107">
        <v>14.689</v>
      </c>
      <c r="F107">
        <v>272</v>
      </c>
    </row>
    <row r="108" spans="1:6" x14ac:dyDescent="0.3">
      <c r="A108" t="s">
        <v>20</v>
      </c>
      <c r="B108">
        <v>50</v>
      </c>
      <c r="C108">
        <v>1</v>
      </c>
      <c r="D108">
        <v>993.93799999999999</v>
      </c>
      <c r="E108">
        <v>14.694000000000001</v>
      </c>
      <c r="F108">
        <v>259</v>
      </c>
    </row>
    <row r="109" spans="1:6" x14ac:dyDescent="0.3">
      <c r="A109" t="s">
        <v>20</v>
      </c>
      <c r="B109">
        <v>50</v>
      </c>
      <c r="C109">
        <v>1</v>
      </c>
      <c r="D109">
        <v>991.70100000000002</v>
      </c>
      <c r="E109">
        <v>14.73</v>
      </c>
      <c r="F109">
        <v>282</v>
      </c>
    </row>
    <row r="110" spans="1:6" x14ac:dyDescent="0.3">
      <c r="A110" t="s">
        <v>20</v>
      </c>
      <c r="B110">
        <v>50</v>
      </c>
      <c r="C110">
        <v>1</v>
      </c>
      <c r="D110">
        <v>995.19399999999996</v>
      </c>
      <c r="E110">
        <v>14.686</v>
      </c>
      <c r="F110">
        <v>248</v>
      </c>
    </row>
    <row r="111" spans="1:6" x14ac:dyDescent="0.3">
      <c r="A111" t="s">
        <v>20</v>
      </c>
      <c r="B111">
        <v>100</v>
      </c>
      <c r="C111">
        <v>1</v>
      </c>
      <c r="D111">
        <v>1759.0219999999999</v>
      </c>
      <c r="E111">
        <v>32.503999999999998</v>
      </c>
      <c r="F111">
        <v>161</v>
      </c>
    </row>
    <row r="112" spans="1:6" x14ac:dyDescent="0.3">
      <c r="A112" t="s">
        <v>20</v>
      </c>
      <c r="B112">
        <v>100</v>
      </c>
      <c r="C112">
        <v>1</v>
      </c>
      <c r="D112">
        <v>1763.8820000000001</v>
      </c>
      <c r="E112">
        <v>32.576000000000001</v>
      </c>
      <c r="F112">
        <v>138</v>
      </c>
    </row>
    <row r="113" spans="1:6" x14ac:dyDescent="0.3">
      <c r="A113" t="s">
        <v>20</v>
      </c>
      <c r="B113">
        <v>100</v>
      </c>
      <c r="C113">
        <v>1</v>
      </c>
      <c r="D113">
        <v>1764.701</v>
      </c>
      <c r="E113">
        <v>32.582999999999998</v>
      </c>
      <c r="F113">
        <v>136</v>
      </c>
    </row>
    <row r="114" spans="1:6" x14ac:dyDescent="0.3">
      <c r="A114" t="s">
        <v>20</v>
      </c>
      <c r="B114">
        <v>100</v>
      </c>
      <c r="C114">
        <v>1</v>
      </c>
      <c r="D114">
        <v>1759.684</v>
      </c>
      <c r="E114">
        <v>32.591999999999999</v>
      </c>
      <c r="F114">
        <v>136</v>
      </c>
    </row>
    <row r="115" spans="1:6" x14ac:dyDescent="0.3">
      <c r="A115" t="s">
        <v>20</v>
      </c>
      <c r="B115">
        <v>100</v>
      </c>
      <c r="C115">
        <v>1</v>
      </c>
      <c r="D115">
        <v>1764.335</v>
      </c>
      <c r="E115">
        <v>32.515999999999998</v>
      </c>
      <c r="F115">
        <v>137</v>
      </c>
    </row>
    <row r="116" spans="1:6" x14ac:dyDescent="0.3">
      <c r="A116" t="s">
        <v>20</v>
      </c>
      <c r="B116">
        <v>100</v>
      </c>
      <c r="C116">
        <v>1</v>
      </c>
      <c r="D116">
        <v>1758.73</v>
      </c>
      <c r="E116">
        <v>32.575000000000003</v>
      </c>
      <c r="F116">
        <v>137</v>
      </c>
    </row>
    <row r="117" spans="1:6" x14ac:dyDescent="0.3">
      <c r="A117" t="s">
        <v>20</v>
      </c>
      <c r="B117">
        <v>100</v>
      </c>
      <c r="C117">
        <v>1</v>
      </c>
      <c r="D117">
        <v>1759.03</v>
      </c>
      <c r="E117">
        <v>32.588999999999999</v>
      </c>
      <c r="F117">
        <v>137</v>
      </c>
    </row>
    <row r="118" spans="1:6" x14ac:dyDescent="0.3">
      <c r="A118" t="s">
        <v>20</v>
      </c>
      <c r="B118">
        <v>100</v>
      </c>
      <c r="C118">
        <v>1</v>
      </c>
      <c r="D118">
        <v>1758.2909999999999</v>
      </c>
      <c r="E118">
        <v>32.661999999999999</v>
      </c>
      <c r="F118">
        <v>137</v>
      </c>
    </row>
    <row r="119" spans="1:6" x14ac:dyDescent="0.3">
      <c r="A119" t="s">
        <v>20</v>
      </c>
      <c r="B119">
        <v>100</v>
      </c>
      <c r="C119">
        <v>1</v>
      </c>
      <c r="D119">
        <v>1761.2329999999999</v>
      </c>
      <c r="E119">
        <v>32.603999999999999</v>
      </c>
      <c r="F119">
        <v>136</v>
      </c>
    </row>
    <row r="120" spans="1:6" x14ac:dyDescent="0.3">
      <c r="A120" t="s">
        <v>20</v>
      </c>
      <c r="B120">
        <v>100</v>
      </c>
      <c r="C120">
        <v>1</v>
      </c>
      <c r="D120">
        <v>1755.9870000000001</v>
      </c>
      <c r="E120">
        <v>32.463000000000001</v>
      </c>
      <c r="F120">
        <v>136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1.3640000000000001</v>
      </c>
      <c r="F121">
        <v>286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1.367</v>
      </c>
      <c r="F122">
        <v>283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1.3680000000000001</v>
      </c>
      <c r="F123">
        <v>340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1.3640000000000001</v>
      </c>
      <c r="F124">
        <v>240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1.373</v>
      </c>
      <c r="F125">
        <v>157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1.385</v>
      </c>
      <c r="F126">
        <v>182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1.3839999999999999</v>
      </c>
      <c r="F127">
        <v>292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1.365</v>
      </c>
      <c r="F128">
        <v>235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1.3720000000000001</v>
      </c>
      <c r="F129">
        <v>160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1.381</v>
      </c>
      <c r="F130">
        <v>63</v>
      </c>
    </row>
    <row r="131" spans="1:6" x14ac:dyDescent="0.3">
      <c r="A131" t="s">
        <v>33</v>
      </c>
      <c r="B131">
        <v>209</v>
      </c>
      <c r="C131">
        <v>1</v>
      </c>
      <c r="D131">
        <v>77.108000000000004</v>
      </c>
      <c r="E131">
        <v>181.155</v>
      </c>
      <c r="F131">
        <v>162</v>
      </c>
    </row>
    <row r="132" spans="1:6" x14ac:dyDescent="0.3">
      <c r="A132" t="s">
        <v>33</v>
      </c>
      <c r="B132">
        <v>209</v>
      </c>
      <c r="C132">
        <v>1</v>
      </c>
      <c r="D132">
        <v>76.879000000000005</v>
      </c>
      <c r="E132">
        <v>180.87100000000001</v>
      </c>
      <c r="F132">
        <v>166</v>
      </c>
    </row>
    <row r="133" spans="1:6" x14ac:dyDescent="0.3">
      <c r="A133" t="s">
        <v>33</v>
      </c>
      <c r="B133">
        <v>209</v>
      </c>
      <c r="C133">
        <v>1</v>
      </c>
      <c r="D133">
        <v>76.977000000000004</v>
      </c>
      <c r="E133">
        <v>181.1</v>
      </c>
      <c r="F133">
        <v>165</v>
      </c>
    </row>
    <row r="134" spans="1:6" x14ac:dyDescent="0.3">
      <c r="A134" t="s">
        <v>33</v>
      </c>
      <c r="B134">
        <v>209</v>
      </c>
      <c r="C134">
        <v>1</v>
      </c>
      <c r="D134">
        <v>77.069999999999993</v>
      </c>
      <c r="E134">
        <v>180.75</v>
      </c>
      <c r="F134">
        <v>160</v>
      </c>
    </row>
    <row r="135" spans="1:6" x14ac:dyDescent="0.3">
      <c r="A135" t="s">
        <v>33</v>
      </c>
      <c r="B135">
        <v>209</v>
      </c>
      <c r="C135">
        <v>1</v>
      </c>
      <c r="D135">
        <v>76.921999999999997</v>
      </c>
      <c r="E135">
        <v>181.37100000000001</v>
      </c>
      <c r="F135">
        <v>159</v>
      </c>
    </row>
    <row r="136" spans="1:6" x14ac:dyDescent="0.3">
      <c r="A136" t="s">
        <v>33</v>
      </c>
      <c r="B136">
        <v>209</v>
      </c>
      <c r="C136">
        <v>1</v>
      </c>
      <c r="D136">
        <v>76.603999999999999</v>
      </c>
      <c r="E136">
        <v>180.935</v>
      </c>
      <c r="F136">
        <v>161</v>
      </c>
    </row>
    <row r="137" spans="1:6" x14ac:dyDescent="0.3">
      <c r="A137" t="s">
        <v>33</v>
      </c>
      <c r="B137">
        <v>209</v>
      </c>
      <c r="C137">
        <v>1</v>
      </c>
      <c r="D137">
        <v>77.239000000000004</v>
      </c>
      <c r="E137">
        <v>180.94</v>
      </c>
      <c r="F137">
        <v>160</v>
      </c>
    </row>
    <row r="138" spans="1:6" x14ac:dyDescent="0.3">
      <c r="A138" t="s">
        <v>33</v>
      </c>
      <c r="B138">
        <v>209</v>
      </c>
      <c r="C138">
        <v>1</v>
      </c>
      <c r="D138">
        <v>76.802000000000007</v>
      </c>
      <c r="E138">
        <v>181.45</v>
      </c>
      <c r="F138">
        <v>163</v>
      </c>
    </row>
    <row r="139" spans="1:6" x14ac:dyDescent="0.3">
      <c r="A139" t="s">
        <v>33</v>
      </c>
      <c r="B139">
        <v>209</v>
      </c>
      <c r="C139">
        <v>1</v>
      </c>
      <c r="D139">
        <v>76.706000000000003</v>
      </c>
      <c r="E139">
        <v>181.48099999999999</v>
      </c>
      <c r="F139">
        <v>166</v>
      </c>
    </row>
    <row r="140" spans="1:6" x14ac:dyDescent="0.3">
      <c r="A140" t="s">
        <v>33</v>
      </c>
      <c r="B140">
        <v>209</v>
      </c>
      <c r="C140">
        <v>1</v>
      </c>
      <c r="D140">
        <v>77.055000000000007</v>
      </c>
      <c r="E140">
        <v>180.90700000000001</v>
      </c>
      <c r="F140">
        <v>164</v>
      </c>
    </row>
    <row r="141" spans="1:6" x14ac:dyDescent="0.3">
      <c r="A141" t="s">
        <v>33</v>
      </c>
      <c r="B141">
        <v>324</v>
      </c>
      <c r="C141">
        <v>1</v>
      </c>
      <c r="D141">
        <v>119.129</v>
      </c>
      <c r="E141">
        <v>420.12900000000002</v>
      </c>
      <c r="F141">
        <v>138</v>
      </c>
    </row>
    <row r="142" spans="1:6" x14ac:dyDescent="0.3">
      <c r="A142" t="s">
        <v>33</v>
      </c>
      <c r="B142">
        <v>324</v>
      </c>
      <c r="C142">
        <v>1</v>
      </c>
      <c r="D142">
        <v>119.514</v>
      </c>
      <c r="E142">
        <v>420.101</v>
      </c>
      <c r="F142">
        <v>139</v>
      </c>
    </row>
    <row r="143" spans="1:6" x14ac:dyDescent="0.3">
      <c r="A143" t="s">
        <v>33</v>
      </c>
      <c r="B143">
        <v>324</v>
      </c>
      <c r="C143">
        <v>1</v>
      </c>
      <c r="D143">
        <v>119.773</v>
      </c>
      <c r="E143">
        <v>419.928</v>
      </c>
      <c r="F143">
        <v>138</v>
      </c>
    </row>
    <row r="144" spans="1:6" x14ac:dyDescent="0.3">
      <c r="A144" t="s">
        <v>33</v>
      </c>
      <c r="B144">
        <v>324</v>
      </c>
      <c r="C144">
        <v>1</v>
      </c>
      <c r="D144">
        <v>119.479</v>
      </c>
      <c r="E144">
        <v>420.42399999999998</v>
      </c>
      <c r="F144">
        <v>139</v>
      </c>
    </row>
    <row r="145" spans="1:6" x14ac:dyDescent="0.3">
      <c r="A145" t="s">
        <v>33</v>
      </c>
      <c r="B145">
        <v>324</v>
      </c>
      <c r="C145">
        <v>1</v>
      </c>
      <c r="D145">
        <v>119.864</v>
      </c>
      <c r="E145">
        <v>421.68</v>
      </c>
      <c r="F145">
        <v>139</v>
      </c>
    </row>
    <row r="146" spans="1:6" x14ac:dyDescent="0.3">
      <c r="A146" t="s">
        <v>33</v>
      </c>
      <c r="B146">
        <v>324</v>
      </c>
      <c r="C146">
        <v>1</v>
      </c>
      <c r="D146">
        <v>119.718</v>
      </c>
      <c r="E146">
        <v>421.49400000000003</v>
      </c>
      <c r="F146">
        <v>140</v>
      </c>
    </row>
    <row r="147" spans="1:6" x14ac:dyDescent="0.3">
      <c r="A147" t="s">
        <v>33</v>
      </c>
      <c r="B147">
        <v>324</v>
      </c>
      <c r="C147">
        <v>1</v>
      </c>
      <c r="D147">
        <v>119.38200000000001</v>
      </c>
      <c r="E147">
        <v>420.79599999999999</v>
      </c>
      <c r="F147">
        <v>138</v>
      </c>
    </row>
    <row r="148" spans="1:6" x14ac:dyDescent="0.3">
      <c r="A148" t="s">
        <v>33</v>
      </c>
      <c r="B148">
        <v>324</v>
      </c>
      <c r="C148">
        <v>1</v>
      </c>
      <c r="D148">
        <v>119.599</v>
      </c>
      <c r="E148">
        <v>420.072</v>
      </c>
      <c r="F148">
        <v>139</v>
      </c>
    </row>
    <row r="149" spans="1:6" x14ac:dyDescent="0.3">
      <c r="A149" t="s">
        <v>33</v>
      </c>
      <c r="B149">
        <v>324</v>
      </c>
      <c r="C149">
        <v>1</v>
      </c>
      <c r="D149">
        <v>119.684</v>
      </c>
      <c r="E149">
        <v>419.68700000000001</v>
      </c>
      <c r="F149">
        <v>139</v>
      </c>
    </row>
    <row r="150" spans="1:6" x14ac:dyDescent="0.3">
      <c r="A150" t="s">
        <v>33</v>
      </c>
      <c r="B150">
        <v>324</v>
      </c>
      <c r="C150">
        <v>1</v>
      </c>
      <c r="D150">
        <v>119.55800000000001</v>
      </c>
      <c r="E150">
        <v>420.53699999999998</v>
      </c>
      <c r="F150">
        <v>139</v>
      </c>
    </row>
    <row r="151" spans="1:6" x14ac:dyDescent="0.3">
      <c r="A151" t="s">
        <v>34</v>
      </c>
      <c r="B151">
        <v>40</v>
      </c>
      <c r="C151">
        <v>1</v>
      </c>
      <c r="D151">
        <v>16.617999999999999</v>
      </c>
      <c r="E151">
        <v>11.611000000000001</v>
      </c>
      <c r="F151">
        <v>295</v>
      </c>
    </row>
    <row r="152" spans="1:6" x14ac:dyDescent="0.3">
      <c r="A152" t="s">
        <v>34</v>
      </c>
      <c r="B152">
        <v>40</v>
      </c>
      <c r="C152">
        <v>1</v>
      </c>
      <c r="D152">
        <v>16.75</v>
      </c>
      <c r="E152">
        <v>11.627000000000001</v>
      </c>
      <c r="F152">
        <v>283</v>
      </c>
    </row>
    <row r="153" spans="1:6" x14ac:dyDescent="0.3">
      <c r="A153" t="s">
        <v>34</v>
      </c>
      <c r="B153">
        <v>40</v>
      </c>
      <c r="C153">
        <v>1</v>
      </c>
      <c r="D153">
        <v>16.643000000000001</v>
      </c>
      <c r="E153">
        <v>11.619</v>
      </c>
      <c r="F153">
        <v>285</v>
      </c>
    </row>
    <row r="154" spans="1:6" x14ac:dyDescent="0.3">
      <c r="A154" t="s">
        <v>34</v>
      </c>
      <c r="B154">
        <v>40</v>
      </c>
      <c r="C154">
        <v>1</v>
      </c>
      <c r="D154">
        <v>16.641999999999999</v>
      </c>
      <c r="E154">
        <v>11.635</v>
      </c>
      <c r="F154">
        <v>299</v>
      </c>
    </row>
    <row r="155" spans="1:6" x14ac:dyDescent="0.3">
      <c r="A155" t="s">
        <v>34</v>
      </c>
      <c r="B155">
        <v>40</v>
      </c>
      <c r="C155">
        <v>1</v>
      </c>
      <c r="D155">
        <v>16.548999999999999</v>
      </c>
      <c r="E155">
        <v>11.622</v>
      </c>
      <c r="F155">
        <v>275</v>
      </c>
    </row>
    <row r="156" spans="1:6" x14ac:dyDescent="0.3">
      <c r="A156" t="s">
        <v>34</v>
      </c>
      <c r="B156">
        <v>40</v>
      </c>
      <c r="C156">
        <v>1</v>
      </c>
      <c r="D156">
        <v>16.78</v>
      </c>
      <c r="E156">
        <v>11.622</v>
      </c>
      <c r="F156">
        <v>263</v>
      </c>
    </row>
    <row r="157" spans="1:6" x14ac:dyDescent="0.3">
      <c r="A157" t="s">
        <v>34</v>
      </c>
      <c r="B157">
        <v>40</v>
      </c>
      <c r="C157">
        <v>1</v>
      </c>
      <c r="D157">
        <v>16.66</v>
      </c>
      <c r="E157">
        <v>11.641999999999999</v>
      </c>
      <c r="F157">
        <v>276</v>
      </c>
    </row>
    <row r="158" spans="1:6" x14ac:dyDescent="0.3">
      <c r="A158" t="s">
        <v>34</v>
      </c>
      <c r="B158">
        <v>40</v>
      </c>
      <c r="C158">
        <v>1</v>
      </c>
      <c r="D158">
        <v>16.632999999999999</v>
      </c>
      <c r="E158">
        <v>11.634</v>
      </c>
      <c r="F158">
        <v>277</v>
      </c>
    </row>
    <row r="159" spans="1:6" x14ac:dyDescent="0.3">
      <c r="A159" t="s">
        <v>34</v>
      </c>
      <c r="B159">
        <v>40</v>
      </c>
      <c r="C159">
        <v>1</v>
      </c>
      <c r="D159">
        <v>16.481999999999999</v>
      </c>
      <c r="E159">
        <v>11.656000000000001</v>
      </c>
      <c r="F159">
        <v>277</v>
      </c>
    </row>
    <row r="160" spans="1:6" x14ac:dyDescent="0.3">
      <c r="A160" t="s">
        <v>34</v>
      </c>
      <c r="B160">
        <v>40</v>
      </c>
      <c r="C160">
        <v>1</v>
      </c>
      <c r="D160">
        <v>16.515000000000001</v>
      </c>
      <c r="E160">
        <v>11.637</v>
      </c>
      <c r="F160">
        <v>250</v>
      </c>
    </row>
    <row r="161" spans="1:6" x14ac:dyDescent="0.3">
      <c r="A161" t="s">
        <v>34</v>
      </c>
      <c r="B161">
        <v>96</v>
      </c>
      <c r="C161">
        <v>1</v>
      </c>
      <c r="D161">
        <v>35.142000000000003</v>
      </c>
      <c r="E161">
        <v>51.445</v>
      </c>
      <c r="F161">
        <v>220</v>
      </c>
    </row>
    <row r="162" spans="1:6" x14ac:dyDescent="0.3">
      <c r="A162" t="s">
        <v>34</v>
      </c>
      <c r="B162">
        <v>96</v>
      </c>
      <c r="C162">
        <v>1</v>
      </c>
      <c r="D162">
        <v>35.133000000000003</v>
      </c>
      <c r="E162">
        <v>51.308</v>
      </c>
      <c r="F162">
        <v>243</v>
      </c>
    </row>
    <row r="163" spans="1:6" x14ac:dyDescent="0.3">
      <c r="A163" t="s">
        <v>34</v>
      </c>
      <c r="B163">
        <v>96</v>
      </c>
      <c r="C163">
        <v>1</v>
      </c>
      <c r="D163">
        <v>35.069000000000003</v>
      </c>
      <c r="E163">
        <v>51.311</v>
      </c>
      <c r="F163">
        <v>223</v>
      </c>
    </row>
    <row r="164" spans="1:6" x14ac:dyDescent="0.3">
      <c r="A164" t="s">
        <v>34</v>
      </c>
      <c r="B164">
        <v>96</v>
      </c>
      <c r="C164">
        <v>1</v>
      </c>
      <c r="D164">
        <v>35.124000000000002</v>
      </c>
      <c r="E164">
        <v>51.378</v>
      </c>
      <c r="F164">
        <v>241</v>
      </c>
    </row>
    <row r="165" spans="1:6" x14ac:dyDescent="0.3">
      <c r="A165" t="s">
        <v>34</v>
      </c>
      <c r="B165">
        <v>96</v>
      </c>
      <c r="C165">
        <v>1</v>
      </c>
      <c r="D165">
        <v>35.216000000000001</v>
      </c>
      <c r="E165">
        <v>51.408999999999999</v>
      </c>
      <c r="F165">
        <v>221</v>
      </c>
    </row>
    <row r="166" spans="1:6" x14ac:dyDescent="0.3">
      <c r="A166" t="s">
        <v>34</v>
      </c>
      <c r="B166">
        <v>96</v>
      </c>
      <c r="C166">
        <v>1</v>
      </c>
      <c r="D166">
        <v>35.110999999999997</v>
      </c>
      <c r="E166">
        <v>51.375</v>
      </c>
      <c r="F166">
        <v>239</v>
      </c>
    </row>
    <row r="167" spans="1:6" x14ac:dyDescent="0.3">
      <c r="A167" t="s">
        <v>34</v>
      </c>
      <c r="B167">
        <v>96</v>
      </c>
      <c r="C167">
        <v>1</v>
      </c>
      <c r="D167">
        <v>35.186</v>
      </c>
      <c r="E167">
        <v>51.313000000000002</v>
      </c>
      <c r="F167">
        <v>228</v>
      </c>
    </row>
    <row r="168" spans="1:6" x14ac:dyDescent="0.3">
      <c r="A168" t="s">
        <v>34</v>
      </c>
      <c r="B168">
        <v>96</v>
      </c>
      <c r="C168">
        <v>1</v>
      </c>
      <c r="D168">
        <v>35.191000000000003</v>
      </c>
      <c r="E168">
        <v>51.337000000000003</v>
      </c>
      <c r="F168">
        <v>235</v>
      </c>
    </row>
    <row r="169" spans="1:6" x14ac:dyDescent="0.3">
      <c r="A169" t="s">
        <v>34</v>
      </c>
      <c r="B169">
        <v>96</v>
      </c>
      <c r="C169">
        <v>1</v>
      </c>
      <c r="D169">
        <v>35.159999999999997</v>
      </c>
      <c r="E169">
        <v>51.4</v>
      </c>
      <c r="F169">
        <v>232</v>
      </c>
    </row>
    <row r="170" spans="1:6" x14ac:dyDescent="0.3">
      <c r="A170" t="s">
        <v>34</v>
      </c>
      <c r="B170">
        <v>96</v>
      </c>
      <c r="C170">
        <v>1</v>
      </c>
      <c r="D170">
        <v>35.195</v>
      </c>
      <c r="E170">
        <v>51.335999999999999</v>
      </c>
      <c r="F170">
        <v>227</v>
      </c>
    </row>
    <row r="171" spans="1:6" x14ac:dyDescent="0.3">
      <c r="A171" t="s">
        <v>34</v>
      </c>
      <c r="B171">
        <v>224</v>
      </c>
      <c r="C171">
        <v>1</v>
      </c>
      <c r="D171">
        <v>71.936000000000007</v>
      </c>
      <c r="E171">
        <v>255.559</v>
      </c>
      <c r="F171">
        <v>195</v>
      </c>
    </row>
    <row r="172" spans="1:6" x14ac:dyDescent="0.3">
      <c r="A172" t="s">
        <v>34</v>
      </c>
      <c r="B172">
        <v>224</v>
      </c>
      <c r="C172">
        <v>1</v>
      </c>
      <c r="D172">
        <v>71.933000000000007</v>
      </c>
      <c r="E172">
        <v>255.67</v>
      </c>
      <c r="F172">
        <v>196</v>
      </c>
    </row>
    <row r="173" spans="1:6" x14ac:dyDescent="0.3">
      <c r="A173" t="s">
        <v>34</v>
      </c>
      <c r="B173">
        <v>224</v>
      </c>
      <c r="C173">
        <v>1</v>
      </c>
      <c r="D173">
        <v>71.97</v>
      </c>
      <c r="E173">
        <v>255.65299999999999</v>
      </c>
      <c r="F173">
        <v>193</v>
      </c>
    </row>
    <row r="174" spans="1:6" x14ac:dyDescent="0.3">
      <c r="A174" t="s">
        <v>34</v>
      </c>
      <c r="B174">
        <v>224</v>
      </c>
      <c r="C174">
        <v>1</v>
      </c>
      <c r="D174">
        <v>71.960999999999999</v>
      </c>
      <c r="E174">
        <v>255.631</v>
      </c>
      <c r="F174">
        <v>195</v>
      </c>
    </row>
    <row r="175" spans="1:6" x14ac:dyDescent="0.3">
      <c r="A175" t="s">
        <v>34</v>
      </c>
      <c r="B175">
        <v>224</v>
      </c>
      <c r="C175">
        <v>1</v>
      </c>
      <c r="D175">
        <v>71.927999999999997</v>
      </c>
      <c r="E175">
        <v>255.60300000000001</v>
      </c>
      <c r="F175">
        <v>195</v>
      </c>
    </row>
    <row r="176" spans="1:6" x14ac:dyDescent="0.3">
      <c r="A176" t="s">
        <v>34</v>
      </c>
      <c r="B176">
        <v>224</v>
      </c>
      <c r="C176">
        <v>1</v>
      </c>
      <c r="D176">
        <v>71.936999999999998</v>
      </c>
      <c r="E176">
        <v>255.642</v>
      </c>
      <c r="F176">
        <v>195</v>
      </c>
    </row>
    <row r="177" spans="1:6" x14ac:dyDescent="0.3">
      <c r="A177" t="s">
        <v>34</v>
      </c>
      <c r="B177">
        <v>224</v>
      </c>
      <c r="C177">
        <v>1</v>
      </c>
      <c r="D177">
        <v>72.019000000000005</v>
      </c>
      <c r="E177">
        <v>255.619</v>
      </c>
      <c r="F177">
        <v>194</v>
      </c>
    </row>
    <row r="178" spans="1:6" x14ac:dyDescent="0.3">
      <c r="A178" t="s">
        <v>34</v>
      </c>
      <c r="B178">
        <v>224</v>
      </c>
      <c r="C178">
        <v>1</v>
      </c>
      <c r="D178">
        <v>72.027000000000001</v>
      </c>
      <c r="E178">
        <v>255.572</v>
      </c>
      <c r="F178">
        <v>195</v>
      </c>
    </row>
    <row r="179" spans="1:6" x14ac:dyDescent="0.3">
      <c r="A179" t="s">
        <v>34</v>
      </c>
      <c r="B179">
        <v>224</v>
      </c>
      <c r="C179">
        <v>1</v>
      </c>
      <c r="D179">
        <v>71.929000000000002</v>
      </c>
      <c r="E179">
        <v>256.36900000000003</v>
      </c>
      <c r="F179">
        <v>199</v>
      </c>
    </row>
    <row r="180" spans="1:6" x14ac:dyDescent="0.3">
      <c r="A180" t="s">
        <v>34</v>
      </c>
      <c r="B180">
        <v>224</v>
      </c>
      <c r="C180">
        <v>1</v>
      </c>
      <c r="D180">
        <v>71.932000000000002</v>
      </c>
      <c r="E180">
        <v>256.14299999999997</v>
      </c>
      <c r="F180">
        <v>196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M180"/>
  <sheetViews>
    <sheetView zoomScale="85" zoomScaleNormal="85" workbookViewId="0">
      <selection activeCell="M14" sqref="M14"/>
    </sheetView>
  </sheetViews>
  <sheetFormatPr defaultRowHeight="14" x14ac:dyDescent="0.3"/>
  <cols>
    <col min="1" max="1" width="9.83203125" customWidth="1"/>
    <col min="2" max="2" width="4.25" customWidth="1"/>
    <col min="3" max="3" width="3.75" style="71" bestFit="1" customWidth="1"/>
    <col min="4" max="4" width="10.5" bestFit="1" customWidth="1"/>
    <col min="5" max="5" width="7.25"/>
    <col min="6" max="6" width="5.9140625" customWidth="1"/>
    <col min="7" max="7" width="2.33203125"/>
    <col min="8" max="8" width="10.25"/>
    <col min="9" max="9" width="4.33203125"/>
    <col min="10" max="10" width="3.33203125"/>
    <col min="11" max="11" width="2.33203125"/>
    <col min="12" max="21" width="9.5"/>
    <col min="22" max="22" width="2.25"/>
    <col min="23" max="23" width="9.5"/>
    <col min="24" max="24" width="2.08203125"/>
    <col min="25" max="25" width="9.5"/>
    <col min="26" max="26" width="2.58203125"/>
    <col min="27" max="27" width="2.33203125"/>
    <col min="28" max="37" width="9.5"/>
    <col min="38" max="38" width="5.83203125"/>
    <col min="39" max="1025" width="9.5"/>
  </cols>
  <sheetData>
    <row r="1" spans="1:39" x14ac:dyDescent="0.3">
      <c r="A1" t="s">
        <v>36</v>
      </c>
      <c r="B1">
        <v>25</v>
      </c>
      <c r="C1" s="71">
        <v>1</v>
      </c>
      <c r="D1">
        <v>28.504000000000001</v>
      </c>
      <c r="E1">
        <v>5.2779999999999996</v>
      </c>
      <c r="F1">
        <v>170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 s="71">
        <v>1</v>
      </c>
      <c r="D2">
        <v>28.545999999999999</v>
      </c>
      <c r="E2">
        <v>5.2960000000000003</v>
      </c>
      <c r="F2">
        <v>196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28.504000000000001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28.504000000000001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28.504000000000001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28.504000000000001</v>
      </c>
      <c r="S2" s="35">
        <f t="shared" ref="S2:S13" ca="1" si="7">INDIRECT("D"&amp;1+(ROW(K1)-1)*10+COLUMN(H1)-1)</f>
        <v>28.504000000000001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28.504000000000001</v>
      </c>
      <c r="W2" s="35">
        <f t="shared" ref="W2:W19" ca="1" si="10">AVERAGE(L2:U2)</f>
        <v>28.5166</v>
      </c>
      <c r="Y2" s="35">
        <f ca="1">Total!E2</f>
        <v>28.504000000000001</v>
      </c>
      <c r="AB2" s="35">
        <f t="shared" ref="AB2:AB19" ca="1" si="11">(L2-$Y2)/$Y2</f>
        <v>0</v>
      </c>
      <c r="AC2" s="35">
        <f t="shared" ref="AC2:AC19" ca="1" si="12">(M2-$Y2)/$Y2</f>
        <v>1.4734774066796953E-3</v>
      </c>
      <c r="AD2" s="35">
        <f t="shared" ref="AD2:AD19" ca="1" si="13">(N2-$Y2)/$Y2</f>
        <v>0</v>
      </c>
      <c r="AE2" s="35">
        <f t="shared" ref="AE2:AE19" ca="1" si="14">(O2-$Y2)/$Y2</f>
        <v>1.4734774066796953E-3</v>
      </c>
      <c r="AF2" s="35">
        <f t="shared" ref="AF2:AF19" ca="1" si="15">(P2-$Y2)/$Y2</f>
        <v>0</v>
      </c>
      <c r="AG2" s="35">
        <f t="shared" ref="AG2:AG19" ca="1" si="16">(Q2-$Y2)/$Y2</f>
        <v>0</v>
      </c>
      <c r="AH2" s="35">
        <f t="shared" ref="AH2:AH19" ca="1" si="17">(R2-$Y2)/$Y2</f>
        <v>0</v>
      </c>
      <c r="AI2" s="35">
        <f t="shared" ref="AI2:AI19" ca="1" si="18">(S2-$Y2)/$Y2</f>
        <v>0</v>
      </c>
      <c r="AJ2" s="35">
        <f t="shared" ref="AJ2:AJ19" ca="1" si="19">(T2-$Y2)/$Y2</f>
        <v>1.4734774066796953E-3</v>
      </c>
      <c r="AK2" s="35">
        <f t="shared" ref="AK2:AK19" ca="1" si="20">(U2-$Y2)/$Y2</f>
        <v>0</v>
      </c>
      <c r="AM2" s="35">
        <f t="shared" ref="AM2:AM19" ca="1" si="21">SUM(AB2:AK2)</f>
        <v>4.4204322200390861E-3</v>
      </c>
    </row>
    <row r="3" spans="1:39" x14ac:dyDescent="0.3">
      <c r="A3" t="s">
        <v>17</v>
      </c>
      <c r="B3">
        <v>25</v>
      </c>
      <c r="C3" s="71">
        <v>1</v>
      </c>
      <c r="D3">
        <v>28.504000000000001</v>
      </c>
      <c r="E3">
        <v>5.2939999999999996</v>
      </c>
      <c r="F3">
        <v>158</v>
      </c>
      <c r="H3" s="35" t="s">
        <v>17</v>
      </c>
      <c r="I3" s="35">
        <v>50</v>
      </c>
      <c r="J3" s="35">
        <v>1</v>
      </c>
      <c r="L3" s="35">
        <f t="shared" ca="1" si="0"/>
        <v>52.927</v>
      </c>
      <c r="M3" s="35">
        <f t="shared" ca="1" si="1"/>
        <v>53.067</v>
      </c>
      <c r="N3" s="35">
        <f t="shared" ca="1" si="2"/>
        <v>53.057000000000002</v>
      </c>
      <c r="O3" s="35">
        <f t="shared" ca="1" si="3"/>
        <v>52.957000000000001</v>
      </c>
      <c r="P3" s="35">
        <f t="shared" ca="1" si="4"/>
        <v>52.957000000000001</v>
      </c>
      <c r="Q3" s="35">
        <f t="shared" ca="1" si="5"/>
        <v>52.957000000000001</v>
      </c>
      <c r="R3" s="35">
        <f t="shared" ca="1" si="6"/>
        <v>52.957000000000001</v>
      </c>
      <c r="S3" s="35">
        <f t="shared" ca="1" si="7"/>
        <v>53.017000000000003</v>
      </c>
      <c r="T3" s="35">
        <f t="shared" ca="1" si="8"/>
        <v>52.957999999999998</v>
      </c>
      <c r="U3" s="35">
        <f t="shared" ca="1" si="9"/>
        <v>52.987000000000002</v>
      </c>
      <c r="W3" s="35">
        <f t="shared" ca="1" si="10"/>
        <v>52.984099999999991</v>
      </c>
      <c r="Y3" s="35">
        <f ca="1">Total!E3</f>
        <v>52.927</v>
      </c>
      <c r="AB3" s="35">
        <f t="shared" ca="1" si="11"/>
        <v>0</v>
      </c>
      <c r="AC3" s="35">
        <f t="shared" ca="1" si="12"/>
        <v>2.6451527575717605E-3</v>
      </c>
      <c r="AD3" s="35">
        <f t="shared" ca="1" si="13"/>
        <v>2.4562132748881015E-3</v>
      </c>
      <c r="AE3" s="35">
        <f t="shared" ca="1" si="14"/>
        <v>5.6681844805111072E-4</v>
      </c>
      <c r="AF3" s="35">
        <f t="shared" ca="1" si="15"/>
        <v>5.6681844805111072E-4</v>
      </c>
      <c r="AG3" s="35">
        <f t="shared" ca="1" si="16"/>
        <v>5.6681844805111072E-4</v>
      </c>
      <c r="AH3" s="35">
        <f t="shared" ca="1" si="17"/>
        <v>5.6681844805111072E-4</v>
      </c>
      <c r="AI3" s="35">
        <f t="shared" ca="1" si="18"/>
        <v>1.7004553441533322E-3</v>
      </c>
      <c r="AJ3" s="35">
        <f t="shared" ca="1" si="19"/>
        <v>5.8571239631943631E-4</v>
      </c>
      <c r="AK3" s="35">
        <f t="shared" ca="1" si="20"/>
        <v>1.1336368961022214E-3</v>
      </c>
      <c r="AM3" s="35">
        <f t="shared" ca="1" si="21"/>
        <v>1.0788444461239294E-2</v>
      </c>
    </row>
    <row r="4" spans="1:39" x14ac:dyDescent="0.3">
      <c r="A4" t="s">
        <v>17</v>
      </c>
      <c r="B4">
        <v>25</v>
      </c>
      <c r="C4" s="71">
        <v>1</v>
      </c>
      <c r="D4">
        <v>28.545999999999999</v>
      </c>
      <c r="E4">
        <v>5.28</v>
      </c>
      <c r="F4">
        <v>190</v>
      </c>
      <c r="H4" s="35" t="s">
        <v>17</v>
      </c>
      <c r="I4" s="35">
        <v>100</v>
      </c>
      <c r="J4" s="35">
        <v>1</v>
      </c>
      <c r="L4" s="35">
        <f t="shared" ca="1" si="0"/>
        <v>103.262</v>
      </c>
      <c r="M4" s="35">
        <f t="shared" ca="1" si="1"/>
        <v>103.249</v>
      </c>
      <c r="N4" s="35">
        <f t="shared" ca="1" si="2"/>
        <v>103.217</v>
      </c>
      <c r="O4" s="35">
        <f t="shared" ca="1" si="3"/>
        <v>103.07899999999999</v>
      </c>
      <c r="P4" s="35">
        <f t="shared" ca="1" si="4"/>
        <v>103.258</v>
      </c>
      <c r="Q4" s="35">
        <f t="shared" ca="1" si="5"/>
        <v>103.28700000000001</v>
      </c>
      <c r="R4" s="35">
        <f t="shared" ca="1" si="6"/>
        <v>103.14700000000001</v>
      </c>
      <c r="S4" s="35">
        <f t="shared" ca="1" si="7"/>
        <v>103.318</v>
      </c>
      <c r="T4" s="35">
        <f t="shared" ca="1" si="8"/>
        <v>103.282</v>
      </c>
      <c r="U4" s="35">
        <f t="shared" ca="1" si="9"/>
        <v>103.285</v>
      </c>
      <c r="W4" s="35">
        <f t="shared" ca="1" si="10"/>
        <v>103.23840000000003</v>
      </c>
      <c r="Y4" s="35">
        <f ca="1">Total!E4</f>
        <v>102.80200000000001</v>
      </c>
      <c r="AB4" s="35">
        <f t="shared" ca="1" si="11"/>
        <v>4.4746211163206326E-3</v>
      </c>
      <c r="AC4" s="35">
        <f t="shared" ca="1" si="12"/>
        <v>4.348164432598476E-3</v>
      </c>
      <c r="AD4" s="35">
        <f t="shared" ca="1" si="13"/>
        <v>4.0368864418979401E-3</v>
      </c>
      <c r="AE4" s="35">
        <f t="shared" ca="1" si="14"/>
        <v>2.6945001070016808E-3</v>
      </c>
      <c r="AF4" s="35">
        <f t="shared" ca="1" si="15"/>
        <v>4.4357113674830138E-3</v>
      </c>
      <c r="AG4" s="35">
        <f t="shared" ca="1" si="16"/>
        <v>4.7178070465555087E-3</v>
      </c>
      <c r="AH4" s="35">
        <f t="shared" ca="1" si="17"/>
        <v>3.3559658372405094E-3</v>
      </c>
      <c r="AI4" s="35">
        <f t="shared" ca="1" si="18"/>
        <v>5.0193576000466048E-3</v>
      </c>
      <c r="AJ4" s="35">
        <f t="shared" ca="1" si="19"/>
        <v>4.6691698605084509E-3</v>
      </c>
      <c r="AK4" s="35">
        <f t="shared" ca="1" si="20"/>
        <v>4.6983521721366299E-3</v>
      </c>
      <c r="AM4" s="35">
        <f t="shared" ca="1" si="21"/>
        <v>4.2450535981789439E-2</v>
      </c>
    </row>
    <row r="5" spans="1:39" x14ac:dyDescent="0.3">
      <c r="A5" t="s">
        <v>17</v>
      </c>
      <c r="B5">
        <v>25</v>
      </c>
      <c r="C5" s="71">
        <v>1</v>
      </c>
      <c r="D5">
        <v>28.504000000000001</v>
      </c>
      <c r="E5">
        <v>5.2990000000000004</v>
      </c>
      <c r="F5">
        <v>229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 s="71">
        <v>1</v>
      </c>
      <c r="D6">
        <v>28.504000000000001</v>
      </c>
      <c r="E6">
        <v>5.2919999999999998</v>
      </c>
      <c r="F6">
        <v>213</v>
      </c>
      <c r="H6" s="35" t="s">
        <v>18</v>
      </c>
      <c r="I6" s="35">
        <v>50</v>
      </c>
      <c r="J6" s="35">
        <v>1</v>
      </c>
      <c r="L6" s="35">
        <f t="shared" ca="1" si="0"/>
        <v>179.93799999999999</v>
      </c>
      <c r="M6" s="35">
        <f t="shared" ca="1" si="1"/>
        <v>179.93799999999999</v>
      </c>
      <c r="N6" s="35">
        <f t="shared" ca="1" si="2"/>
        <v>179.93799999999999</v>
      </c>
      <c r="O6" s="35">
        <f t="shared" ca="1" si="3"/>
        <v>179.93799999999999</v>
      </c>
      <c r="P6" s="35">
        <f t="shared" ca="1" si="4"/>
        <v>181.40799999999999</v>
      </c>
      <c r="Q6" s="35">
        <f t="shared" ca="1" si="5"/>
        <v>179.93799999999999</v>
      </c>
      <c r="R6" s="35">
        <f t="shared" ca="1" si="6"/>
        <v>179.673</v>
      </c>
      <c r="S6" s="35">
        <f t="shared" ca="1" si="7"/>
        <v>179.93799999999999</v>
      </c>
      <c r="T6" s="35">
        <f t="shared" ca="1" si="8"/>
        <v>179.93799999999999</v>
      </c>
      <c r="U6" s="35">
        <f t="shared" ca="1" si="9"/>
        <v>179.93799999999999</v>
      </c>
      <c r="W6" s="35">
        <f t="shared" ca="1" si="10"/>
        <v>180.05850000000001</v>
      </c>
      <c r="Y6" s="35">
        <f ca="1">Total!E6</f>
        <v>179.673</v>
      </c>
      <c r="AB6" s="35">
        <f t="shared" ca="1" si="11"/>
        <v>1.4749016268442469E-3</v>
      </c>
      <c r="AC6" s="35">
        <f t="shared" ca="1" si="12"/>
        <v>1.4749016268442469E-3</v>
      </c>
      <c r="AD6" s="35">
        <f t="shared" ca="1" si="13"/>
        <v>1.4749016268442469E-3</v>
      </c>
      <c r="AE6" s="35">
        <f t="shared" ca="1" si="14"/>
        <v>1.4749016268442469E-3</v>
      </c>
      <c r="AF6" s="35">
        <f t="shared" ca="1" si="15"/>
        <v>9.6564314059429356E-3</v>
      </c>
      <c r="AG6" s="35">
        <f t="shared" ca="1" si="16"/>
        <v>1.4749016268442469E-3</v>
      </c>
      <c r="AH6" s="35">
        <f t="shared" ca="1" si="17"/>
        <v>0</v>
      </c>
      <c r="AI6" s="35">
        <f t="shared" ca="1" si="18"/>
        <v>1.4749016268442469E-3</v>
      </c>
      <c r="AJ6" s="35">
        <f t="shared" ca="1" si="19"/>
        <v>1.4749016268442469E-3</v>
      </c>
      <c r="AK6" s="35">
        <f t="shared" ca="1" si="20"/>
        <v>1.4749016268442469E-3</v>
      </c>
      <c r="AM6" s="35">
        <f t="shared" ca="1" si="21"/>
        <v>2.1455644420696911E-2</v>
      </c>
    </row>
    <row r="7" spans="1:39" x14ac:dyDescent="0.3">
      <c r="A7" t="s">
        <v>17</v>
      </c>
      <c r="B7">
        <v>25</v>
      </c>
      <c r="C7" s="71">
        <v>1</v>
      </c>
      <c r="D7">
        <v>28.504000000000001</v>
      </c>
      <c r="E7">
        <v>5.282</v>
      </c>
      <c r="F7">
        <v>178</v>
      </c>
      <c r="H7" s="35" t="s">
        <v>18</v>
      </c>
      <c r="I7" s="35">
        <v>100</v>
      </c>
      <c r="J7" s="35">
        <v>1</v>
      </c>
      <c r="L7" s="35">
        <f t="shared" ca="1" si="0"/>
        <v>239.251</v>
      </c>
      <c r="M7" s="35">
        <f t="shared" ca="1" si="1"/>
        <v>238.99700000000001</v>
      </c>
      <c r="N7" s="35">
        <f t="shared" ca="1" si="2"/>
        <v>239.41300000000001</v>
      </c>
      <c r="O7" s="35">
        <f t="shared" ca="1" si="3"/>
        <v>239.21799999999999</v>
      </c>
      <c r="P7" s="35">
        <f t="shared" ca="1" si="4"/>
        <v>239.34299999999999</v>
      </c>
      <c r="Q7" s="35">
        <f t="shared" ca="1" si="5"/>
        <v>239.108</v>
      </c>
      <c r="R7" s="35">
        <f t="shared" ca="1" si="6"/>
        <v>240.63</v>
      </c>
      <c r="S7" s="35">
        <f t="shared" ca="1" si="7"/>
        <v>239.167</v>
      </c>
      <c r="T7" s="35">
        <f t="shared" ca="1" si="8"/>
        <v>239.21</v>
      </c>
      <c r="U7" s="35">
        <f t="shared" ca="1" si="9"/>
        <v>239.261</v>
      </c>
      <c r="W7" s="35">
        <f t="shared" ca="1" si="10"/>
        <v>239.35980000000001</v>
      </c>
      <c r="Y7" s="35">
        <f ca="1">Total!E7</f>
        <v>238.86699999999999</v>
      </c>
      <c r="AB7" s="35">
        <f t="shared" ca="1" si="11"/>
        <v>1.6075891604952319E-3</v>
      </c>
      <c r="AC7" s="35">
        <f t="shared" ca="1" si="12"/>
        <v>5.4423591370940264E-4</v>
      </c>
      <c r="AD7" s="35">
        <f t="shared" ca="1" si="13"/>
        <v>2.2857908375791577E-3</v>
      </c>
      <c r="AE7" s="35">
        <f t="shared" ca="1" si="14"/>
        <v>1.4694369670151133E-3</v>
      </c>
      <c r="AF7" s="35">
        <f t="shared" ca="1" si="15"/>
        <v>1.9927407301971352E-3</v>
      </c>
      <c r="AG7" s="35">
        <f t="shared" ca="1" si="16"/>
        <v>1.0089296554149961E-3</v>
      </c>
      <c r="AH7" s="35">
        <f t="shared" ca="1" si="17"/>
        <v>7.380676275919258E-3</v>
      </c>
      <c r="AI7" s="35">
        <f t="shared" ca="1" si="18"/>
        <v>1.2559290316368999E-3</v>
      </c>
      <c r="AJ7" s="35">
        <f t="shared" ca="1" si="19"/>
        <v>1.4359455261715422E-3</v>
      </c>
      <c r="AK7" s="35">
        <f t="shared" ca="1" si="20"/>
        <v>1.6494534615497556E-3</v>
      </c>
      <c r="AM7" s="35">
        <f t="shared" ca="1" si="21"/>
        <v>2.0630727559688491E-2</v>
      </c>
    </row>
    <row r="8" spans="1:39" x14ac:dyDescent="0.3">
      <c r="A8" t="s">
        <v>17</v>
      </c>
      <c r="B8">
        <v>25</v>
      </c>
      <c r="C8" s="71">
        <v>1</v>
      </c>
      <c r="D8">
        <v>28.504000000000001</v>
      </c>
      <c r="E8">
        <v>5.2850000000000001</v>
      </c>
      <c r="F8">
        <v>256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 s="71">
        <v>1</v>
      </c>
      <c r="D9">
        <v>28.545999999999999</v>
      </c>
      <c r="E9">
        <v>5.274</v>
      </c>
      <c r="F9">
        <v>200</v>
      </c>
      <c r="H9" s="35" t="s">
        <v>19</v>
      </c>
      <c r="I9" s="35">
        <v>47</v>
      </c>
      <c r="J9" s="35">
        <v>1</v>
      </c>
      <c r="L9" s="35">
        <f t="shared" ca="1" si="0"/>
        <v>4313.6099999999997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4313.6099999999997</v>
      </c>
      <c r="S9" s="35">
        <f t="shared" ca="1" si="7"/>
        <v>4318.4880000000003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4314.0978000000005</v>
      </c>
      <c r="Y9" s="35">
        <f ca="1">Total!E9</f>
        <v>4313.6099999999997</v>
      </c>
      <c r="AB9" s="35">
        <f t="shared" ca="1" si="11"/>
        <v>0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0</v>
      </c>
      <c r="AI9" s="35">
        <f t="shared" ca="1" si="18"/>
        <v>1.130839366563183E-3</v>
      </c>
      <c r="AJ9" s="35">
        <f t="shared" ca="1" si="19"/>
        <v>0</v>
      </c>
      <c r="AK9" s="35">
        <f t="shared" ca="1" si="20"/>
        <v>0</v>
      </c>
      <c r="AM9" s="35">
        <f t="shared" ca="1" si="21"/>
        <v>1.130839366563183E-3</v>
      </c>
    </row>
    <row r="10" spans="1:39" x14ac:dyDescent="0.3">
      <c r="A10" t="s">
        <v>17</v>
      </c>
      <c r="B10">
        <v>25</v>
      </c>
      <c r="C10" s="71">
        <v>1</v>
      </c>
      <c r="D10">
        <v>28.504000000000001</v>
      </c>
      <c r="E10">
        <v>5.274</v>
      </c>
      <c r="F10">
        <v>229</v>
      </c>
      <c r="H10" s="35" t="s">
        <v>19</v>
      </c>
      <c r="I10" s="35">
        <v>100</v>
      </c>
      <c r="J10" s="35">
        <v>1</v>
      </c>
      <c r="L10" s="35">
        <f t="shared" ca="1" si="0"/>
        <v>35259.980000000003</v>
      </c>
      <c r="M10" s="35">
        <f t="shared" ca="1" si="1"/>
        <v>35235.637999999999</v>
      </c>
      <c r="N10" s="35">
        <f t="shared" ca="1" si="2"/>
        <v>35246.65</v>
      </c>
      <c r="O10" s="35">
        <f t="shared" ca="1" si="3"/>
        <v>35276.283000000003</v>
      </c>
      <c r="P10" s="35">
        <f t="shared" ca="1" si="4"/>
        <v>35217.79</v>
      </c>
      <c r="Q10" s="35">
        <f t="shared" ca="1" si="5"/>
        <v>35252.396999999997</v>
      </c>
      <c r="R10" s="35">
        <f t="shared" ca="1" si="6"/>
        <v>35250.197</v>
      </c>
      <c r="S10" s="35">
        <f t="shared" ca="1" si="7"/>
        <v>35300.834000000003</v>
      </c>
      <c r="T10" s="35">
        <f t="shared" ca="1" si="8"/>
        <v>35320.152999999998</v>
      </c>
      <c r="U10" s="35">
        <f t="shared" ca="1" si="9"/>
        <v>35272.953000000001</v>
      </c>
      <c r="W10" s="35">
        <f t="shared" ca="1" si="10"/>
        <v>35263.287499999991</v>
      </c>
      <c r="Y10" s="35">
        <f ca="1">Total!E10</f>
        <v>35210.383000000002</v>
      </c>
      <c r="AB10" s="35">
        <f t="shared" ca="1" si="11"/>
        <v>1.4085901877296128E-3</v>
      </c>
      <c r="AC10" s="35">
        <f t="shared" ca="1" si="12"/>
        <v>7.1726001957994547E-4</v>
      </c>
      <c r="AD10" s="35">
        <f t="shared" ca="1" si="13"/>
        <v>1.0300086767019781E-3</v>
      </c>
      <c r="AE10" s="35">
        <f t="shared" ca="1" si="14"/>
        <v>1.8716070200088836E-3</v>
      </c>
      <c r="AF10" s="35">
        <f t="shared" ca="1" si="15"/>
        <v>2.1036408493481151E-4</v>
      </c>
      <c r="AG10" s="35">
        <f t="shared" ca="1" si="16"/>
        <v>1.1932275772176513E-3</v>
      </c>
      <c r="AH10" s="35">
        <f t="shared" ca="1" si="17"/>
        <v>1.1307460075057542E-3</v>
      </c>
      <c r="AI10" s="35">
        <f t="shared" ca="1" si="18"/>
        <v>2.5688729372810551E-3</v>
      </c>
      <c r="AJ10" s="35">
        <f t="shared" ca="1" si="19"/>
        <v>3.1175463214926347E-3</v>
      </c>
      <c r="AK10" s="35">
        <f t="shared" ca="1" si="20"/>
        <v>1.7770326440357013E-3</v>
      </c>
      <c r="AM10" s="35">
        <f t="shared" ca="1" si="21"/>
        <v>1.5025255476488027E-2</v>
      </c>
    </row>
    <row r="11" spans="1:39" x14ac:dyDescent="0.3">
      <c r="A11" t="s">
        <v>17</v>
      </c>
      <c r="B11">
        <v>50</v>
      </c>
      <c r="C11" s="71">
        <v>1</v>
      </c>
      <c r="D11">
        <v>52.927</v>
      </c>
      <c r="E11">
        <v>19.562000000000001</v>
      </c>
      <c r="F11">
        <v>241</v>
      </c>
      <c r="H11" s="35" t="s">
        <v>20</v>
      </c>
      <c r="I11" s="35">
        <v>30</v>
      </c>
      <c r="J11" s="35">
        <v>1</v>
      </c>
      <c r="L11" s="35">
        <f t="shared" ca="1" si="0"/>
        <v>658.23299999999995</v>
      </c>
      <c r="M11" s="35">
        <f t="shared" ca="1" si="1"/>
        <v>657.35599999999999</v>
      </c>
      <c r="N11" s="35">
        <f t="shared" ca="1" si="2"/>
        <v>657.98</v>
      </c>
      <c r="O11" s="35">
        <f t="shared" ca="1" si="3"/>
        <v>657.35599999999999</v>
      </c>
      <c r="P11" s="35">
        <f t="shared" ca="1" si="4"/>
        <v>657.98</v>
      </c>
      <c r="Q11" s="35">
        <f t="shared" ca="1" si="5"/>
        <v>657.35599999999999</v>
      </c>
      <c r="R11" s="35">
        <f t="shared" ca="1" si="6"/>
        <v>658.23299999999995</v>
      </c>
      <c r="S11" s="35">
        <f t="shared" ca="1" si="7"/>
        <v>658.23299999999995</v>
      </c>
      <c r="T11" s="35">
        <f t="shared" ca="1" si="8"/>
        <v>657.98</v>
      </c>
      <c r="U11" s="35">
        <f t="shared" ca="1" si="9"/>
        <v>657.98</v>
      </c>
      <c r="W11" s="35">
        <f t="shared" ca="1" si="10"/>
        <v>657.86869999999999</v>
      </c>
      <c r="Y11" s="35">
        <f ca="1">Total!E11</f>
        <v>655.46500000000003</v>
      </c>
      <c r="AB11" s="35">
        <f t="shared" ca="1" si="11"/>
        <v>4.2229562219186613E-3</v>
      </c>
      <c r="AC11" s="35">
        <f t="shared" ca="1" si="12"/>
        <v>2.8849747888902728E-3</v>
      </c>
      <c r="AD11" s="35">
        <f t="shared" ca="1" si="13"/>
        <v>3.8369707001899207E-3</v>
      </c>
      <c r="AE11" s="35">
        <f t="shared" ca="1" si="14"/>
        <v>2.8849747888902728E-3</v>
      </c>
      <c r="AF11" s="35">
        <f t="shared" ca="1" si="15"/>
        <v>3.8369707001899207E-3</v>
      </c>
      <c r="AG11" s="35">
        <f t="shared" ca="1" si="16"/>
        <v>2.8849747888902728E-3</v>
      </c>
      <c r="AH11" s="35">
        <f t="shared" ca="1" si="17"/>
        <v>4.2229562219186613E-3</v>
      </c>
      <c r="AI11" s="35">
        <f t="shared" ca="1" si="18"/>
        <v>4.2229562219186613E-3</v>
      </c>
      <c r="AJ11" s="35">
        <f t="shared" ca="1" si="19"/>
        <v>3.8369707001899207E-3</v>
      </c>
      <c r="AK11" s="35">
        <f t="shared" ca="1" si="20"/>
        <v>3.8369707001899207E-3</v>
      </c>
      <c r="AM11" s="35">
        <f t="shared" ca="1" si="21"/>
        <v>3.6671675833186486E-2</v>
      </c>
    </row>
    <row r="12" spans="1:39" x14ac:dyDescent="0.3">
      <c r="A12" t="s">
        <v>17</v>
      </c>
      <c r="B12">
        <v>50</v>
      </c>
      <c r="C12" s="71">
        <v>1</v>
      </c>
      <c r="D12">
        <v>53.067</v>
      </c>
      <c r="E12">
        <v>19.596</v>
      </c>
      <c r="F12">
        <v>239</v>
      </c>
      <c r="H12" s="35" t="s">
        <v>20</v>
      </c>
      <c r="I12" s="35">
        <v>50</v>
      </c>
      <c r="J12" s="35">
        <v>1</v>
      </c>
      <c r="L12" s="35">
        <f t="shared" ca="1" si="0"/>
        <v>994.31500000000005</v>
      </c>
      <c r="M12" s="35">
        <f t="shared" ca="1" si="1"/>
        <v>995.99099999999999</v>
      </c>
      <c r="N12" s="35">
        <f t="shared" ca="1" si="2"/>
        <v>997.101</v>
      </c>
      <c r="O12" s="35">
        <f t="shared" ca="1" si="3"/>
        <v>997.98599999999999</v>
      </c>
      <c r="P12" s="35">
        <f t="shared" ca="1" si="4"/>
        <v>990.68799999999999</v>
      </c>
      <c r="Q12" s="35">
        <f t="shared" ca="1" si="5"/>
        <v>995.779</v>
      </c>
      <c r="R12" s="35">
        <f t="shared" ca="1" si="6"/>
        <v>993.71600000000001</v>
      </c>
      <c r="S12" s="35">
        <f t="shared" ca="1" si="7"/>
        <v>995.63300000000004</v>
      </c>
      <c r="T12" s="35">
        <f t="shared" ca="1" si="8"/>
        <v>991.00300000000004</v>
      </c>
      <c r="U12" s="35">
        <f t="shared" ca="1" si="9"/>
        <v>995.70600000000002</v>
      </c>
      <c r="W12" s="35">
        <f t="shared" ca="1" si="10"/>
        <v>994.79180000000019</v>
      </c>
      <c r="Y12" s="35">
        <f ca="1">Total!E12</f>
        <v>990.096</v>
      </c>
      <c r="AB12" s="35">
        <f t="shared" ca="1" si="11"/>
        <v>4.2612029540570317E-3</v>
      </c>
      <c r="AC12" s="35">
        <f t="shared" ca="1" si="12"/>
        <v>5.9539681000630061E-3</v>
      </c>
      <c r="AD12" s="35">
        <f t="shared" ca="1" si="13"/>
        <v>7.0750715082173801E-3</v>
      </c>
      <c r="AE12" s="35">
        <f t="shared" ca="1" si="14"/>
        <v>7.9689242255296319E-3</v>
      </c>
      <c r="AF12" s="35">
        <f t="shared" ca="1" si="15"/>
        <v>5.9792181768231016E-4</v>
      </c>
      <c r="AG12" s="35">
        <f t="shared" ca="1" si="16"/>
        <v>5.7398474491362379E-3</v>
      </c>
      <c r="AH12" s="35">
        <f t="shared" ca="1" si="17"/>
        <v>3.6562111148817937E-3</v>
      </c>
      <c r="AI12" s="35">
        <f t="shared" ca="1" si="18"/>
        <v>5.5923870008565179E-3</v>
      </c>
      <c r="AJ12" s="35">
        <f t="shared" ca="1" si="19"/>
        <v>9.1607278486130548E-4</v>
      </c>
      <c r="AK12" s="35">
        <f t="shared" ca="1" si="20"/>
        <v>5.6661172249963775E-3</v>
      </c>
      <c r="AM12" s="35">
        <f t="shared" ca="1" si="21"/>
        <v>4.7427724180281586E-2</v>
      </c>
    </row>
    <row r="13" spans="1:39" x14ac:dyDescent="0.3">
      <c r="A13" t="s">
        <v>17</v>
      </c>
      <c r="B13">
        <v>50</v>
      </c>
      <c r="C13" s="71">
        <v>1</v>
      </c>
      <c r="D13">
        <v>53.057000000000002</v>
      </c>
      <c r="E13">
        <v>19.559999999999999</v>
      </c>
      <c r="F13">
        <v>244</v>
      </c>
      <c r="H13" s="35" t="s">
        <v>20</v>
      </c>
      <c r="I13" s="35">
        <v>100</v>
      </c>
      <c r="J13" s="35">
        <v>1</v>
      </c>
      <c r="L13" s="35">
        <f t="shared" ca="1" si="0"/>
        <v>1756.5219999999999</v>
      </c>
      <c r="M13" s="35">
        <f t="shared" ca="1" si="1"/>
        <v>1757.7950000000001</v>
      </c>
      <c r="N13" s="35">
        <f t="shared" ca="1" si="2"/>
        <v>1757.896</v>
      </c>
      <c r="O13" s="35">
        <f t="shared" ca="1" si="3"/>
        <v>1754.9770000000001</v>
      </c>
      <c r="P13" s="35">
        <f t="shared" ca="1" si="4"/>
        <v>1758.3910000000001</v>
      </c>
      <c r="Q13" s="35">
        <f t="shared" ca="1" si="5"/>
        <v>1755.84</v>
      </c>
      <c r="R13" s="35">
        <f t="shared" ca="1" si="6"/>
        <v>1757.201</v>
      </c>
      <c r="S13" s="35">
        <f t="shared" ca="1" si="7"/>
        <v>1755.587</v>
      </c>
      <c r="T13" s="35">
        <f t="shared" ca="1" si="8"/>
        <v>1755.903</v>
      </c>
      <c r="U13" s="35">
        <f t="shared" ca="1" si="9"/>
        <v>1758.45</v>
      </c>
      <c r="W13" s="35">
        <f t="shared" ca="1" si="10"/>
        <v>1756.8561999999997</v>
      </c>
      <c r="Y13" s="35">
        <f ca="1">Total!E13</f>
        <v>1753.79</v>
      </c>
      <c r="AB13" s="35">
        <f t="shared" ca="1" si="11"/>
        <v>1.5577691741884552E-3</v>
      </c>
      <c r="AC13" s="35">
        <f t="shared" ca="1" si="12"/>
        <v>2.2836257476665446E-3</v>
      </c>
      <c r="AD13" s="35">
        <f t="shared" ca="1" si="13"/>
        <v>2.3412153108410896E-3</v>
      </c>
      <c r="AE13" s="35">
        <f t="shared" ca="1" si="14"/>
        <v>6.7681991572544344E-4</v>
      </c>
      <c r="AF13" s="35">
        <f t="shared" ca="1" si="15"/>
        <v>2.623461189766228E-3</v>
      </c>
      <c r="AG13" s="35">
        <f t="shared" ca="1" si="16"/>
        <v>1.1688970743361261E-3</v>
      </c>
      <c r="AH13" s="35">
        <f t="shared" ca="1" si="17"/>
        <v>1.9449306929564306E-3</v>
      </c>
      <c r="AI13" s="35">
        <f t="shared" ca="1" si="18"/>
        <v>1.0246380695522414E-3</v>
      </c>
      <c r="AJ13" s="35">
        <f t="shared" ca="1" si="19"/>
        <v>1.2048192771084659E-3</v>
      </c>
      <c r="AK13" s="35">
        <f t="shared" ca="1" si="20"/>
        <v>2.6571026177592996E-3</v>
      </c>
      <c r="AM13" s="35">
        <f t="shared" ca="1" si="21"/>
        <v>1.7483279069900326E-2</v>
      </c>
    </row>
    <row r="14" spans="1:39" x14ac:dyDescent="0.3">
      <c r="A14" t="s">
        <v>17</v>
      </c>
      <c r="B14">
        <v>50</v>
      </c>
      <c r="C14" s="71">
        <v>1</v>
      </c>
      <c r="D14">
        <v>52.957000000000001</v>
      </c>
      <c r="E14">
        <v>19.550999999999998</v>
      </c>
      <c r="F14">
        <v>253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 s="71">
        <v>1</v>
      </c>
      <c r="D15">
        <v>52.957000000000001</v>
      </c>
      <c r="E15">
        <v>19.576000000000001</v>
      </c>
      <c r="F15">
        <v>319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76.793000000000006</v>
      </c>
      <c r="M15" s="35">
        <f t="shared" ca="1" si="1"/>
        <v>77.084000000000003</v>
      </c>
      <c r="N15" s="35">
        <f t="shared" ca="1" si="1"/>
        <v>76.986999999999995</v>
      </c>
      <c r="O15" s="35">
        <f t="shared" ca="1" si="1"/>
        <v>76.876999999999995</v>
      </c>
      <c r="P15" s="35">
        <f t="shared" ca="1" si="1"/>
        <v>76.427000000000007</v>
      </c>
      <c r="Q15" s="35">
        <f t="shared" ca="1" si="1"/>
        <v>76.569999999999993</v>
      </c>
      <c r="R15" s="35">
        <f t="shared" ca="1" si="1"/>
        <v>76.311999999999998</v>
      </c>
      <c r="S15" s="35">
        <f t="shared" ca="1" si="1"/>
        <v>76.841999999999999</v>
      </c>
      <c r="T15" s="35">
        <f t="shared" ca="1" si="1"/>
        <v>76.320999999999998</v>
      </c>
      <c r="U15" s="35">
        <f t="shared" ca="1" si="1"/>
        <v>76.477999999999994</v>
      </c>
      <c r="W15" s="35">
        <f t="shared" ca="1" si="10"/>
        <v>76.669099999999986</v>
      </c>
      <c r="Y15" s="35">
        <f ca="1">Total!E15</f>
        <v>75.998000000000005</v>
      </c>
      <c r="AB15" s="35">
        <f t="shared" ca="1" si="11"/>
        <v>1.0460801600042128E-2</v>
      </c>
      <c r="AC15" s="35">
        <f t="shared" ca="1" si="12"/>
        <v>1.4289849732887687E-2</v>
      </c>
      <c r="AD15" s="35">
        <f t="shared" ca="1" si="13"/>
        <v>1.3013500355272377E-2</v>
      </c>
      <c r="AE15" s="35">
        <f t="shared" ca="1" si="14"/>
        <v>1.1566093844574734E-2</v>
      </c>
      <c r="AF15" s="35">
        <f t="shared" ca="1" si="15"/>
        <v>5.6448853917208611E-3</v>
      </c>
      <c r="AG15" s="35">
        <f t="shared" ca="1" si="16"/>
        <v>7.5265138556276281E-3</v>
      </c>
      <c r="AH15" s="35">
        <f t="shared" ca="1" si="17"/>
        <v>4.1316876759913803E-3</v>
      </c>
      <c r="AI15" s="35">
        <f t="shared" ca="1" si="18"/>
        <v>1.11055554093528E-2</v>
      </c>
      <c r="AJ15" s="35">
        <f t="shared" ca="1" si="19"/>
        <v>4.2501118450484652E-3</v>
      </c>
      <c r="AK15" s="35">
        <f t="shared" ca="1" si="20"/>
        <v>6.3159556830441558E-3</v>
      </c>
      <c r="AM15" s="35">
        <f t="shared" ca="1" si="21"/>
        <v>8.8304955393562229E-2</v>
      </c>
    </row>
    <row r="16" spans="1:39" x14ac:dyDescent="0.3">
      <c r="A16" t="s">
        <v>17</v>
      </c>
      <c r="B16">
        <v>50</v>
      </c>
      <c r="C16" s="71">
        <v>1</v>
      </c>
      <c r="D16">
        <v>52.957000000000001</v>
      </c>
      <c r="E16">
        <v>19.559000000000001</v>
      </c>
      <c r="F16">
        <v>327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119.077</v>
      </c>
      <c r="M16" s="35">
        <f t="shared" ca="1" si="1"/>
        <v>118.657</v>
      </c>
      <c r="N16" s="35">
        <f t="shared" ca="1" si="1"/>
        <v>119.577</v>
      </c>
      <c r="O16" s="35">
        <f t="shared" ca="1" si="1"/>
        <v>118.77500000000001</v>
      </c>
      <c r="P16" s="35">
        <f t="shared" ca="1" si="1"/>
        <v>119.045</v>
      </c>
      <c r="Q16" s="35">
        <f t="shared" ca="1" si="1"/>
        <v>119.268</v>
      </c>
      <c r="R16" s="35">
        <f t="shared" ca="1" si="1"/>
        <v>118.884</v>
      </c>
      <c r="S16" s="35">
        <f t="shared" ca="1" si="1"/>
        <v>118.985</v>
      </c>
      <c r="T16" s="35">
        <f t="shared" ca="1" si="1"/>
        <v>119.18300000000001</v>
      </c>
      <c r="U16" s="35">
        <f t="shared" ca="1" si="1"/>
        <v>119.352</v>
      </c>
      <c r="W16" s="35">
        <f t="shared" ca="1" si="10"/>
        <v>119.08030000000001</v>
      </c>
      <c r="Y16" s="35">
        <f ca="1">Total!E16</f>
        <v>118.01</v>
      </c>
      <c r="AB16" s="35">
        <f t="shared" ca="1" si="11"/>
        <v>9.0416066435047293E-3</v>
      </c>
      <c r="AC16" s="35">
        <f t="shared" ca="1" si="12"/>
        <v>5.4825862215065789E-3</v>
      </c>
      <c r="AD16" s="35">
        <f t="shared" ca="1" si="13"/>
        <v>1.3278535717312034E-2</v>
      </c>
      <c r="AE16" s="35">
        <f t="shared" ca="1" si="14"/>
        <v>6.4825014829251806E-3</v>
      </c>
      <c r="AF16" s="35">
        <f t="shared" ca="1" si="15"/>
        <v>8.7704431827810916E-3</v>
      </c>
      <c r="AG16" s="35">
        <f t="shared" ca="1" si="16"/>
        <v>1.0660113549699139E-2</v>
      </c>
      <c r="AH16" s="35">
        <f t="shared" ca="1" si="17"/>
        <v>7.4061520210151272E-3</v>
      </c>
      <c r="AI16" s="35">
        <f t="shared" ca="1" si="18"/>
        <v>8.2620116939241955E-3</v>
      </c>
      <c r="AJ16" s="35">
        <f t="shared" ca="1" si="19"/>
        <v>9.9398356071519513E-3</v>
      </c>
      <c r="AK16" s="35">
        <f t="shared" ca="1" si="20"/>
        <v>1.1371917634098795E-2</v>
      </c>
      <c r="AM16" s="35">
        <f t="shared" ca="1" si="21"/>
        <v>9.0695703753918819E-2</v>
      </c>
    </row>
    <row r="17" spans="1:39" x14ac:dyDescent="0.3">
      <c r="A17" t="s">
        <v>17</v>
      </c>
      <c r="B17">
        <v>50</v>
      </c>
      <c r="C17" s="71">
        <v>1</v>
      </c>
      <c r="D17">
        <v>52.957000000000001</v>
      </c>
      <c r="E17">
        <v>19.594999999999999</v>
      </c>
      <c r="F17">
        <v>265</v>
      </c>
      <c r="H17" s="35" t="s">
        <v>34</v>
      </c>
      <c r="I17" s="35">
        <v>40</v>
      </c>
      <c r="J17" s="35">
        <v>1</v>
      </c>
      <c r="L17" s="35">
        <f t="shared" ca="1" si="22"/>
        <v>16.515000000000001</v>
      </c>
      <c r="M17" s="35">
        <f t="shared" ca="1" si="1"/>
        <v>16.530999999999999</v>
      </c>
      <c r="N17" s="35">
        <f t="shared" ca="1" si="1"/>
        <v>16.803999999999998</v>
      </c>
      <c r="O17" s="35">
        <f t="shared" ca="1" si="1"/>
        <v>16.75</v>
      </c>
      <c r="P17" s="35">
        <f t="shared" ca="1" si="1"/>
        <v>16.78</v>
      </c>
      <c r="Q17" s="35">
        <f t="shared" ca="1" si="1"/>
        <v>16.672000000000001</v>
      </c>
      <c r="R17" s="35">
        <f t="shared" ca="1" si="1"/>
        <v>16.766999999999999</v>
      </c>
      <c r="S17" s="35">
        <f t="shared" ca="1" si="1"/>
        <v>16.75</v>
      </c>
      <c r="T17" s="35">
        <f t="shared" ca="1" si="1"/>
        <v>16.548999999999999</v>
      </c>
      <c r="U17" s="35">
        <f t="shared" ca="1" si="1"/>
        <v>16.771999999999998</v>
      </c>
      <c r="W17" s="35">
        <f t="shared" ca="1" si="10"/>
        <v>16.689</v>
      </c>
      <c r="Y17" s="35">
        <f ca="1">Total!E17</f>
        <v>16.481999999999999</v>
      </c>
      <c r="AB17" s="35">
        <f t="shared" ca="1" si="11"/>
        <v>2.0021842009465629E-3</v>
      </c>
      <c r="AC17" s="35">
        <f t="shared" ca="1" si="12"/>
        <v>2.9729401771629348E-3</v>
      </c>
      <c r="AD17" s="35">
        <f t="shared" ca="1" si="13"/>
        <v>1.9536464021356583E-2</v>
      </c>
      <c r="AE17" s="35">
        <f t="shared" ca="1" si="14"/>
        <v>1.626016260162606E-2</v>
      </c>
      <c r="AF17" s="35">
        <f t="shared" ca="1" si="15"/>
        <v>1.8080330057032024E-2</v>
      </c>
      <c r="AG17" s="35">
        <f t="shared" ca="1" si="16"/>
        <v>1.1527727217570762E-2</v>
      </c>
      <c r="AH17" s="35">
        <f t="shared" ca="1" si="17"/>
        <v>1.7291590826356035E-2</v>
      </c>
      <c r="AI17" s="35">
        <f t="shared" ca="1" si="18"/>
        <v>1.626016260162606E-2</v>
      </c>
      <c r="AJ17" s="35">
        <f t="shared" ca="1" si="19"/>
        <v>4.0650406504065149E-3</v>
      </c>
      <c r="AK17" s="35">
        <f t="shared" ca="1" si="20"/>
        <v>1.7594952068923624E-2</v>
      </c>
      <c r="AM17" s="35">
        <f t="shared" ca="1" si="21"/>
        <v>0.12559155442300715</v>
      </c>
    </row>
    <row r="18" spans="1:39" x14ac:dyDescent="0.3">
      <c r="A18" t="s">
        <v>17</v>
      </c>
      <c r="B18">
        <v>50</v>
      </c>
      <c r="C18" s="71">
        <v>1</v>
      </c>
      <c r="D18">
        <v>53.017000000000003</v>
      </c>
      <c r="E18">
        <v>19.596</v>
      </c>
      <c r="F18">
        <v>232</v>
      </c>
      <c r="H18" s="35" t="s">
        <v>34</v>
      </c>
      <c r="I18" s="35">
        <v>96</v>
      </c>
      <c r="J18" s="35">
        <v>1</v>
      </c>
      <c r="L18" s="35">
        <f t="shared" ca="1" si="22"/>
        <v>35.234999999999999</v>
      </c>
      <c r="M18" s="35">
        <f t="shared" ca="1" si="22"/>
        <v>35.220999999999997</v>
      </c>
      <c r="N18" s="35">
        <f t="shared" ca="1" si="22"/>
        <v>35.19</v>
      </c>
      <c r="O18" s="35">
        <f t="shared" ca="1" si="22"/>
        <v>35.22</v>
      </c>
      <c r="P18" s="35">
        <f t="shared" ca="1" si="22"/>
        <v>35.243000000000002</v>
      </c>
      <c r="Q18" s="35">
        <f t="shared" ca="1" si="22"/>
        <v>35.127000000000002</v>
      </c>
      <c r="R18" s="35">
        <f t="shared" ca="1" si="22"/>
        <v>35.228000000000002</v>
      </c>
      <c r="S18" s="35">
        <f t="shared" ca="1" si="22"/>
        <v>35.201000000000001</v>
      </c>
      <c r="T18" s="35">
        <f t="shared" ca="1" si="22"/>
        <v>35.206000000000003</v>
      </c>
      <c r="U18" s="35">
        <f t="shared" ca="1" si="22"/>
        <v>35.182000000000002</v>
      </c>
      <c r="W18" s="35">
        <f t="shared" ca="1" si="10"/>
        <v>35.205300000000008</v>
      </c>
      <c r="Y18" s="35">
        <f ca="1">Total!E18</f>
        <v>35.069000000000003</v>
      </c>
      <c r="AB18" s="35">
        <f t="shared" ca="1" si="11"/>
        <v>4.7335253357665402E-3</v>
      </c>
      <c r="AC18" s="35">
        <f t="shared" ca="1" si="12"/>
        <v>4.3343123556415612E-3</v>
      </c>
      <c r="AD18" s="35">
        <f t="shared" ca="1" si="13"/>
        <v>3.4503407567936096E-3</v>
      </c>
      <c r="AE18" s="35">
        <f t="shared" ca="1" si="14"/>
        <v>4.3057971427755632E-3</v>
      </c>
      <c r="AF18" s="35">
        <f t="shared" ca="1" si="15"/>
        <v>4.9616470386951292E-3</v>
      </c>
      <c r="AG18" s="35">
        <f t="shared" ca="1" si="16"/>
        <v>1.6538823462317097E-3</v>
      </c>
      <c r="AH18" s="35">
        <f t="shared" ca="1" si="17"/>
        <v>4.5339188457041522E-3</v>
      </c>
      <c r="AI18" s="35">
        <f t="shared" ca="1" si="18"/>
        <v>3.7640080983203936E-3</v>
      </c>
      <c r="AJ18" s="35">
        <f t="shared" ca="1" si="19"/>
        <v>3.9065841626507872E-3</v>
      </c>
      <c r="AK18" s="35">
        <f t="shared" ca="1" si="20"/>
        <v>3.222219053865224E-3</v>
      </c>
      <c r="AM18" s="35">
        <f t="shared" ca="1" si="21"/>
        <v>3.8866235136444667E-2</v>
      </c>
    </row>
    <row r="19" spans="1:39" x14ac:dyDescent="0.3">
      <c r="A19" t="s">
        <v>17</v>
      </c>
      <c r="B19">
        <v>50</v>
      </c>
      <c r="C19" s="71">
        <v>1</v>
      </c>
      <c r="D19">
        <v>52.957999999999998</v>
      </c>
      <c r="E19">
        <v>19.571000000000002</v>
      </c>
      <c r="F19">
        <v>238</v>
      </c>
      <c r="H19" s="35" t="s">
        <v>34</v>
      </c>
      <c r="I19" s="35">
        <v>224</v>
      </c>
      <c r="J19" s="35">
        <v>1</v>
      </c>
      <c r="L19" s="35">
        <f t="shared" ca="1" si="22"/>
        <v>71.938999999999993</v>
      </c>
      <c r="M19" s="35">
        <f t="shared" ca="1" si="22"/>
        <v>71.914000000000001</v>
      </c>
      <c r="N19" s="35">
        <f t="shared" ca="1" si="22"/>
        <v>71.950999999999993</v>
      </c>
      <c r="O19" s="35">
        <f t="shared" ca="1" si="22"/>
        <v>71.947000000000003</v>
      </c>
      <c r="P19" s="35">
        <f t="shared" ca="1" si="22"/>
        <v>71.927000000000007</v>
      </c>
      <c r="Q19" s="35">
        <f t="shared" ca="1" si="22"/>
        <v>71.936999999999998</v>
      </c>
      <c r="R19" s="35">
        <f t="shared" ca="1" si="22"/>
        <v>72.006</v>
      </c>
      <c r="S19" s="35">
        <f t="shared" ca="1" si="22"/>
        <v>71.965999999999994</v>
      </c>
      <c r="T19" s="35">
        <f t="shared" ca="1" si="22"/>
        <v>71.92</v>
      </c>
      <c r="U19" s="35">
        <f t="shared" ca="1" si="22"/>
        <v>71.924000000000007</v>
      </c>
      <c r="W19" s="35">
        <f t="shared" ca="1" si="10"/>
        <v>71.943099999999987</v>
      </c>
      <c r="Y19" s="35">
        <f ca="1">Total!E19</f>
        <v>71.908000000000001</v>
      </c>
      <c r="AB19" s="35">
        <f t="shared" ca="1" si="11"/>
        <v>4.3110641375078852E-4</v>
      </c>
      <c r="AC19" s="35">
        <f t="shared" ca="1" si="12"/>
        <v>8.3439951048565217E-5</v>
      </c>
      <c r="AD19" s="35">
        <f t="shared" ca="1" si="13"/>
        <v>5.9798631584791889E-4</v>
      </c>
      <c r="AE19" s="35">
        <f t="shared" ca="1" si="14"/>
        <v>5.4235968181567387E-4</v>
      </c>
      <c r="AF19" s="35">
        <f t="shared" ca="1" si="15"/>
        <v>2.6422651165385573E-4</v>
      </c>
      <c r="AG19" s="35">
        <f t="shared" ca="1" si="16"/>
        <v>4.03293096734666E-4</v>
      </c>
      <c r="AH19" s="35">
        <f t="shared" ca="1" si="17"/>
        <v>1.3628525337931658E-3</v>
      </c>
      <c r="AI19" s="35">
        <f t="shared" ca="1" si="18"/>
        <v>8.06586193469332E-4</v>
      </c>
      <c r="AJ19" s="35">
        <f t="shared" ca="1" si="19"/>
        <v>1.6687990209713043E-4</v>
      </c>
      <c r="AK19" s="35">
        <f t="shared" ca="1" si="20"/>
        <v>2.2250653612957311E-4</v>
      </c>
      <c r="AM19" s="35">
        <f t="shared" ca="1" si="21"/>
        <v>4.8812371363406697E-3</v>
      </c>
    </row>
    <row r="20" spans="1:39" x14ac:dyDescent="0.3">
      <c r="A20" t="s">
        <v>17</v>
      </c>
      <c r="B20">
        <v>50</v>
      </c>
      <c r="C20" s="71">
        <v>1</v>
      </c>
      <c r="D20">
        <v>52.987000000000002</v>
      </c>
      <c r="E20">
        <v>19.556999999999999</v>
      </c>
      <c r="F20">
        <v>235</v>
      </c>
    </row>
    <row r="21" spans="1:39" x14ac:dyDescent="0.3">
      <c r="A21" t="s">
        <v>17</v>
      </c>
      <c r="B21">
        <v>100</v>
      </c>
      <c r="C21" s="71">
        <v>1</v>
      </c>
      <c r="D21">
        <v>103.262</v>
      </c>
      <c r="E21">
        <v>102.042</v>
      </c>
      <c r="F21">
        <v>424</v>
      </c>
    </row>
    <row r="22" spans="1:39" x14ac:dyDescent="0.3">
      <c r="A22" t="s">
        <v>17</v>
      </c>
      <c r="B22">
        <v>100</v>
      </c>
      <c r="C22" s="71">
        <v>1</v>
      </c>
      <c r="D22">
        <v>103.249</v>
      </c>
      <c r="E22">
        <v>102.129</v>
      </c>
      <c r="F22">
        <v>392</v>
      </c>
    </row>
    <row r="23" spans="1:39" x14ac:dyDescent="0.3">
      <c r="A23" t="s">
        <v>17</v>
      </c>
      <c r="B23">
        <v>100</v>
      </c>
      <c r="C23" s="71">
        <v>1</v>
      </c>
      <c r="D23">
        <v>103.217</v>
      </c>
      <c r="E23">
        <v>102.16</v>
      </c>
      <c r="F23">
        <v>374</v>
      </c>
    </row>
    <row r="24" spans="1:39" x14ac:dyDescent="0.3">
      <c r="A24" t="s">
        <v>17</v>
      </c>
      <c r="B24">
        <v>100</v>
      </c>
      <c r="C24" s="71">
        <v>1</v>
      </c>
      <c r="D24">
        <v>103.07899999999999</v>
      </c>
      <c r="E24">
        <v>102.021</v>
      </c>
      <c r="F24">
        <v>365</v>
      </c>
    </row>
    <row r="25" spans="1:39" x14ac:dyDescent="0.3">
      <c r="A25" t="s">
        <v>17</v>
      </c>
      <c r="B25">
        <v>100</v>
      </c>
      <c r="C25" s="71">
        <v>1</v>
      </c>
      <c r="D25">
        <v>103.258</v>
      </c>
      <c r="E25">
        <v>102.155</v>
      </c>
      <c r="F25">
        <v>375</v>
      </c>
    </row>
    <row r="26" spans="1:39" x14ac:dyDescent="0.3">
      <c r="A26" t="s">
        <v>17</v>
      </c>
      <c r="B26">
        <v>100</v>
      </c>
      <c r="C26" s="71">
        <v>1</v>
      </c>
      <c r="D26">
        <v>103.28700000000001</v>
      </c>
      <c r="E26">
        <v>102.167</v>
      </c>
      <c r="F26">
        <v>372</v>
      </c>
    </row>
    <row r="27" spans="1:39" x14ac:dyDescent="0.3">
      <c r="A27" t="s">
        <v>17</v>
      </c>
      <c r="B27">
        <v>100</v>
      </c>
      <c r="C27" s="71">
        <v>1</v>
      </c>
      <c r="D27">
        <v>103.14700000000001</v>
      </c>
      <c r="E27">
        <v>102.179</v>
      </c>
      <c r="F27">
        <v>369</v>
      </c>
    </row>
    <row r="28" spans="1:39" x14ac:dyDescent="0.3">
      <c r="A28" t="s">
        <v>17</v>
      </c>
      <c r="B28">
        <v>100</v>
      </c>
      <c r="C28" s="71">
        <v>1</v>
      </c>
      <c r="D28">
        <v>103.318</v>
      </c>
      <c r="E28">
        <v>102.173</v>
      </c>
      <c r="F28">
        <v>416</v>
      </c>
    </row>
    <row r="29" spans="1:39" x14ac:dyDescent="0.3">
      <c r="A29" t="s">
        <v>17</v>
      </c>
      <c r="B29">
        <v>100</v>
      </c>
      <c r="C29" s="71">
        <v>1</v>
      </c>
      <c r="D29">
        <v>103.282</v>
      </c>
      <c r="E29">
        <v>102.015</v>
      </c>
      <c r="F29">
        <v>421</v>
      </c>
    </row>
    <row r="30" spans="1:39" x14ac:dyDescent="0.3">
      <c r="A30" t="s">
        <v>17</v>
      </c>
      <c r="B30">
        <v>100</v>
      </c>
      <c r="C30" s="71">
        <v>1</v>
      </c>
      <c r="D30">
        <v>103.285</v>
      </c>
      <c r="E30">
        <v>102.07899999999999</v>
      </c>
      <c r="F30">
        <v>423</v>
      </c>
    </row>
    <row r="31" spans="1:39" x14ac:dyDescent="0.3">
      <c r="A31" t="s">
        <v>18</v>
      </c>
      <c r="B31">
        <v>30</v>
      </c>
      <c r="C31" s="71">
        <v>1</v>
      </c>
      <c r="D31">
        <v>156.12700000000001</v>
      </c>
      <c r="E31">
        <v>7.9969999999999999</v>
      </c>
      <c r="F31">
        <v>303</v>
      </c>
    </row>
    <row r="32" spans="1:39" x14ac:dyDescent="0.3">
      <c r="A32" t="s">
        <v>18</v>
      </c>
      <c r="B32">
        <v>30</v>
      </c>
      <c r="C32" s="71">
        <v>1</v>
      </c>
      <c r="D32">
        <v>156.12700000000001</v>
      </c>
      <c r="E32">
        <v>8.0250000000000004</v>
      </c>
      <c r="F32">
        <v>256</v>
      </c>
    </row>
    <row r="33" spans="1:6" x14ac:dyDescent="0.3">
      <c r="A33" t="s">
        <v>18</v>
      </c>
      <c r="B33">
        <v>30</v>
      </c>
      <c r="C33" s="71">
        <v>1</v>
      </c>
      <c r="D33">
        <v>156.12700000000001</v>
      </c>
      <c r="E33">
        <v>8.0150000000000006</v>
      </c>
      <c r="F33">
        <v>251</v>
      </c>
    </row>
    <row r="34" spans="1:6" x14ac:dyDescent="0.3">
      <c r="A34" t="s">
        <v>18</v>
      </c>
      <c r="B34">
        <v>30</v>
      </c>
      <c r="C34" s="71">
        <v>1</v>
      </c>
      <c r="D34">
        <v>156.12700000000001</v>
      </c>
      <c r="E34">
        <v>8.0030000000000001</v>
      </c>
      <c r="F34">
        <v>230</v>
      </c>
    </row>
    <row r="35" spans="1:6" x14ac:dyDescent="0.3">
      <c r="A35" t="s">
        <v>18</v>
      </c>
      <c r="B35">
        <v>30</v>
      </c>
      <c r="C35" s="71">
        <v>1</v>
      </c>
      <c r="D35">
        <v>156.12700000000001</v>
      </c>
      <c r="E35">
        <v>8.0109999999999992</v>
      </c>
      <c r="F35">
        <v>268</v>
      </c>
    </row>
    <row r="36" spans="1:6" x14ac:dyDescent="0.3">
      <c r="A36" t="s">
        <v>18</v>
      </c>
      <c r="B36">
        <v>30</v>
      </c>
      <c r="C36" s="71">
        <v>1</v>
      </c>
      <c r="D36">
        <v>156.12700000000001</v>
      </c>
      <c r="E36">
        <v>8.0269999999999992</v>
      </c>
      <c r="F36">
        <v>217</v>
      </c>
    </row>
    <row r="37" spans="1:6" x14ac:dyDescent="0.3">
      <c r="A37" t="s">
        <v>18</v>
      </c>
      <c r="B37">
        <v>30</v>
      </c>
      <c r="C37" s="71">
        <v>1</v>
      </c>
      <c r="D37">
        <v>156.12700000000001</v>
      </c>
      <c r="E37">
        <v>8.0060000000000002</v>
      </c>
      <c r="F37">
        <v>254</v>
      </c>
    </row>
    <row r="38" spans="1:6" x14ac:dyDescent="0.3">
      <c r="A38" t="s">
        <v>18</v>
      </c>
      <c r="B38">
        <v>30</v>
      </c>
      <c r="C38" s="71">
        <v>1</v>
      </c>
      <c r="D38">
        <v>156.12700000000001</v>
      </c>
      <c r="E38">
        <v>8.0030000000000001</v>
      </c>
      <c r="F38">
        <v>266</v>
      </c>
    </row>
    <row r="39" spans="1:6" x14ac:dyDescent="0.3">
      <c r="A39" t="s">
        <v>18</v>
      </c>
      <c r="B39">
        <v>30</v>
      </c>
      <c r="C39" s="71">
        <v>1</v>
      </c>
      <c r="D39">
        <v>156.12700000000001</v>
      </c>
      <c r="E39">
        <v>8.0069999999999997</v>
      </c>
      <c r="F39">
        <v>210</v>
      </c>
    </row>
    <row r="40" spans="1:6" x14ac:dyDescent="0.3">
      <c r="A40" t="s">
        <v>18</v>
      </c>
      <c r="B40">
        <v>30</v>
      </c>
      <c r="C40" s="71">
        <v>1</v>
      </c>
      <c r="D40">
        <v>156.12700000000001</v>
      </c>
      <c r="E40">
        <v>8.02</v>
      </c>
      <c r="F40">
        <v>214</v>
      </c>
    </row>
    <row r="41" spans="1:6" x14ac:dyDescent="0.3">
      <c r="A41" t="s">
        <v>18</v>
      </c>
      <c r="B41">
        <v>50</v>
      </c>
      <c r="C41" s="71">
        <v>1</v>
      </c>
      <c r="D41">
        <v>179.93799999999999</v>
      </c>
      <c r="E41">
        <v>22.478000000000002</v>
      </c>
      <c r="F41">
        <v>245</v>
      </c>
    </row>
    <row r="42" spans="1:6" x14ac:dyDescent="0.3">
      <c r="A42" t="s">
        <v>18</v>
      </c>
      <c r="B42">
        <v>50</v>
      </c>
      <c r="C42" s="71">
        <v>1</v>
      </c>
      <c r="D42">
        <v>179.93799999999999</v>
      </c>
      <c r="E42">
        <v>22.428000000000001</v>
      </c>
      <c r="F42">
        <v>243</v>
      </c>
    </row>
    <row r="43" spans="1:6" x14ac:dyDescent="0.3">
      <c r="A43" t="s">
        <v>18</v>
      </c>
      <c r="B43">
        <v>50</v>
      </c>
      <c r="C43" s="71">
        <v>1</v>
      </c>
      <c r="D43">
        <v>179.93799999999999</v>
      </c>
      <c r="E43">
        <v>22.454999999999998</v>
      </c>
      <c r="F43">
        <v>244</v>
      </c>
    </row>
    <row r="44" spans="1:6" x14ac:dyDescent="0.3">
      <c r="A44" t="s">
        <v>18</v>
      </c>
      <c r="B44">
        <v>50</v>
      </c>
      <c r="C44" s="71">
        <v>1</v>
      </c>
      <c r="D44">
        <v>179.93799999999999</v>
      </c>
      <c r="E44">
        <v>22.501000000000001</v>
      </c>
      <c r="F44">
        <v>239</v>
      </c>
    </row>
    <row r="45" spans="1:6" x14ac:dyDescent="0.3">
      <c r="A45" t="s">
        <v>18</v>
      </c>
      <c r="B45">
        <v>50</v>
      </c>
      <c r="C45" s="71">
        <v>1</v>
      </c>
      <c r="D45">
        <v>181.40799999999999</v>
      </c>
      <c r="E45">
        <v>22.486000000000001</v>
      </c>
      <c r="F45">
        <v>241</v>
      </c>
    </row>
    <row r="46" spans="1:6" x14ac:dyDescent="0.3">
      <c r="A46" t="s">
        <v>18</v>
      </c>
      <c r="B46">
        <v>50</v>
      </c>
      <c r="C46" s="71">
        <v>1</v>
      </c>
      <c r="D46">
        <v>179.93799999999999</v>
      </c>
      <c r="E46">
        <v>22.457000000000001</v>
      </c>
      <c r="F46">
        <v>244</v>
      </c>
    </row>
    <row r="47" spans="1:6" x14ac:dyDescent="0.3">
      <c r="A47" t="s">
        <v>18</v>
      </c>
      <c r="B47">
        <v>50</v>
      </c>
      <c r="C47" s="71">
        <v>1</v>
      </c>
      <c r="D47">
        <v>179.673</v>
      </c>
      <c r="E47">
        <v>22.404</v>
      </c>
      <c r="F47">
        <v>242</v>
      </c>
    </row>
    <row r="48" spans="1:6" x14ac:dyDescent="0.3">
      <c r="A48" t="s">
        <v>18</v>
      </c>
      <c r="B48">
        <v>50</v>
      </c>
      <c r="C48" s="71">
        <v>1</v>
      </c>
      <c r="D48">
        <v>179.93799999999999</v>
      </c>
      <c r="E48">
        <v>22.442</v>
      </c>
      <c r="F48">
        <v>242</v>
      </c>
    </row>
    <row r="49" spans="1:6" x14ac:dyDescent="0.3">
      <c r="A49" t="s">
        <v>18</v>
      </c>
      <c r="B49">
        <v>50</v>
      </c>
      <c r="C49" s="71">
        <v>1</v>
      </c>
      <c r="D49">
        <v>179.93799999999999</v>
      </c>
      <c r="E49">
        <v>22.471</v>
      </c>
      <c r="F49">
        <v>244</v>
      </c>
    </row>
    <row r="50" spans="1:6" x14ac:dyDescent="0.3">
      <c r="A50" t="s">
        <v>18</v>
      </c>
      <c r="B50">
        <v>50</v>
      </c>
      <c r="C50" s="71">
        <v>1</v>
      </c>
      <c r="D50">
        <v>179.93799999999999</v>
      </c>
      <c r="E50">
        <v>22.491</v>
      </c>
      <c r="F50">
        <v>241</v>
      </c>
    </row>
    <row r="51" spans="1:6" x14ac:dyDescent="0.3">
      <c r="A51" t="s">
        <v>18</v>
      </c>
      <c r="B51">
        <v>100</v>
      </c>
      <c r="C51" s="71">
        <v>1</v>
      </c>
      <c r="D51">
        <v>239.251</v>
      </c>
      <c r="E51">
        <v>138.60900000000001</v>
      </c>
      <c r="F51">
        <v>430</v>
      </c>
    </row>
    <row r="52" spans="1:6" x14ac:dyDescent="0.3">
      <c r="A52" t="s">
        <v>18</v>
      </c>
      <c r="B52">
        <v>100</v>
      </c>
      <c r="C52" s="71">
        <v>1</v>
      </c>
      <c r="D52">
        <v>238.99700000000001</v>
      </c>
      <c r="E52">
        <v>138.59100000000001</v>
      </c>
      <c r="F52">
        <v>429</v>
      </c>
    </row>
    <row r="53" spans="1:6" x14ac:dyDescent="0.3">
      <c r="A53" t="s">
        <v>18</v>
      </c>
      <c r="B53">
        <v>100</v>
      </c>
      <c r="C53" s="71">
        <v>1</v>
      </c>
      <c r="D53">
        <v>239.41300000000001</v>
      </c>
      <c r="E53">
        <v>138.46700000000001</v>
      </c>
      <c r="F53">
        <v>448</v>
      </c>
    </row>
    <row r="54" spans="1:6" x14ac:dyDescent="0.3">
      <c r="A54" t="s">
        <v>18</v>
      </c>
      <c r="B54">
        <v>100</v>
      </c>
      <c r="C54" s="71">
        <v>1</v>
      </c>
      <c r="D54">
        <v>239.21799999999999</v>
      </c>
      <c r="E54">
        <v>138.71700000000001</v>
      </c>
      <c r="F54">
        <v>463</v>
      </c>
    </row>
    <row r="55" spans="1:6" x14ac:dyDescent="0.3">
      <c r="A55" t="s">
        <v>18</v>
      </c>
      <c r="B55">
        <v>100</v>
      </c>
      <c r="C55" s="71">
        <v>1</v>
      </c>
      <c r="D55">
        <v>239.34299999999999</v>
      </c>
      <c r="E55">
        <v>138.70400000000001</v>
      </c>
      <c r="F55">
        <v>455</v>
      </c>
    </row>
    <row r="56" spans="1:6" x14ac:dyDescent="0.3">
      <c r="A56" t="s">
        <v>18</v>
      </c>
      <c r="B56">
        <v>100</v>
      </c>
      <c r="C56" s="71">
        <v>1</v>
      </c>
      <c r="D56">
        <v>239.108</v>
      </c>
      <c r="E56">
        <v>138.63999999999999</v>
      </c>
      <c r="F56">
        <v>430</v>
      </c>
    </row>
    <row r="57" spans="1:6" x14ac:dyDescent="0.3">
      <c r="A57" t="s">
        <v>18</v>
      </c>
      <c r="B57">
        <v>100</v>
      </c>
      <c r="C57" s="71">
        <v>1</v>
      </c>
      <c r="D57">
        <v>240.63</v>
      </c>
      <c r="E57">
        <v>138.53100000000001</v>
      </c>
      <c r="F57">
        <v>424</v>
      </c>
    </row>
    <row r="58" spans="1:6" x14ac:dyDescent="0.3">
      <c r="A58" t="s">
        <v>18</v>
      </c>
      <c r="B58">
        <v>100</v>
      </c>
      <c r="C58" s="71">
        <v>1</v>
      </c>
      <c r="D58">
        <v>239.167</v>
      </c>
      <c r="E58">
        <v>138.643</v>
      </c>
      <c r="F58">
        <v>425</v>
      </c>
    </row>
    <row r="59" spans="1:6" x14ac:dyDescent="0.3">
      <c r="A59" t="s">
        <v>18</v>
      </c>
      <c r="B59">
        <v>100</v>
      </c>
      <c r="C59" s="71">
        <v>1</v>
      </c>
      <c r="D59">
        <v>239.21</v>
      </c>
      <c r="E59">
        <v>138.566</v>
      </c>
      <c r="F59">
        <v>430</v>
      </c>
    </row>
    <row r="60" spans="1:6" x14ac:dyDescent="0.3">
      <c r="A60" t="s">
        <v>18</v>
      </c>
      <c r="B60">
        <v>100</v>
      </c>
      <c r="C60" s="71">
        <v>1</v>
      </c>
      <c r="D60">
        <v>239.261</v>
      </c>
      <c r="E60">
        <v>138.65799999999999</v>
      </c>
      <c r="F60">
        <v>473</v>
      </c>
    </row>
    <row r="61" spans="1:6" x14ac:dyDescent="0.3">
      <c r="A61" t="s">
        <v>19</v>
      </c>
      <c r="B61">
        <v>24</v>
      </c>
      <c r="C61" s="71">
        <v>1</v>
      </c>
      <c r="D61">
        <v>2320.9079999999999</v>
      </c>
      <c r="E61">
        <v>4.3170000000000002</v>
      </c>
      <c r="F61">
        <v>190</v>
      </c>
    </row>
    <row r="62" spans="1:6" x14ac:dyDescent="0.3">
      <c r="A62" t="s">
        <v>19</v>
      </c>
      <c r="B62">
        <v>24</v>
      </c>
      <c r="C62" s="71">
        <v>1</v>
      </c>
      <c r="D62">
        <v>2320.9079999999999</v>
      </c>
      <c r="E62">
        <v>4.3109999999999999</v>
      </c>
      <c r="F62">
        <v>173</v>
      </c>
    </row>
    <row r="63" spans="1:6" x14ac:dyDescent="0.3">
      <c r="A63" t="s">
        <v>19</v>
      </c>
      <c r="B63">
        <v>24</v>
      </c>
      <c r="C63" s="71">
        <v>1</v>
      </c>
      <c r="D63">
        <v>2320.9079999999999</v>
      </c>
      <c r="E63">
        <v>4.3109999999999999</v>
      </c>
      <c r="F63">
        <v>181</v>
      </c>
    </row>
    <row r="64" spans="1:6" x14ac:dyDescent="0.3">
      <c r="A64" t="s">
        <v>19</v>
      </c>
      <c r="B64">
        <v>24</v>
      </c>
      <c r="C64" s="71">
        <v>1</v>
      </c>
      <c r="D64">
        <v>2320.9079999999999</v>
      </c>
      <c r="E64">
        <v>4.3230000000000004</v>
      </c>
      <c r="F64">
        <v>225</v>
      </c>
    </row>
    <row r="65" spans="1:6" x14ac:dyDescent="0.3">
      <c r="A65" t="s">
        <v>19</v>
      </c>
      <c r="B65">
        <v>24</v>
      </c>
      <c r="C65" s="71">
        <v>1</v>
      </c>
      <c r="D65">
        <v>2320.9079999999999</v>
      </c>
      <c r="E65">
        <v>4.32</v>
      </c>
      <c r="F65">
        <v>192</v>
      </c>
    </row>
    <row r="66" spans="1:6" x14ac:dyDescent="0.3">
      <c r="A66" t="s">
        <v>19</v>
      </c>
      <c r="B66">
        <v>24</v>
      </c>
      <c r="C66" s="71">
        <v>1</v>
      </c>
      <c r="D66">
        <v>2320.9079999999999</v>
      </c>
      <c r="E66">
        <v>4.343</v>
      </c>
      <c r="F66">
        <v>173</v>
      </c>
    </row>
    <row r="67" spans="1:6" x14ac:dyDescent="0.3">
      <c r="A67" t="s">
        <v>19</v>
      </c>
      <c r="B67">
        <v>24</v>
      </c>
      <c r="C67" s="71">
        <v>1</v>
      </c>
      <c r="D67">
        <v>2320.9079999999999</v>
      </c>
      <c r="E67">
        <v>4.319</v>
      </c>
      <c r="F67">
        <v>170</v>
      </c>
    </row>
    <row r="68" spans="1:6" x14ac:dyDescent="0.3">
      <c r="A68" t="s">
        <v>19</v>
      </c>
      <c r="B68">
        <v>24</v>
      </c>
      <c r="C68" s="71">
        <v>1</v>
      </c>
      <c r="D68">
        <v>2320.9079999999999</v>
      </c>
      <c r="E68">
        <v>4.3129999999999997</v>
      </c>
      <c r="F68">
        <v>196</v>
      </c>
    </row>
    <row r="69" spans="1:6" x14ac:dyDescent="0.3">
      <c r="A69" t="s">
        <v>19</v>
      </c>
      <c r="B69">
        <v>24</v>
      </c>
      <c r="C69" s="71">
        <v>1</v>
      </c>
      <c r="D69">
        <v>2320.9079999999999</v>
      </c>
      <c r="E69">
        <v>4.3250000000000002</v>
      </c>
      <c r="F69">
        <v>148</v>
      </c>
    </row>
    <row r="70" spans="1:6" x14ac:dyDescent="0.3">
      <c r="A70" t="s">
        <v>19</v>
      </c>
      <c r="B70">
        <v>24</v>
      </c>
      <c r="C70" s="71">
        <v>1</v>
      </c>
      <c r="D70">
        <v>2320.9079999999999</v>
      </c>
      <c r="E70">
        <v>4.319</v>
      </c>
      <c r="F70">
        <v>204</v>
      </c>
    </row>
    <row r="71" spans="1:6" x14ac:dyDescent="0.3">
      <c r="A71" t="s">
        <v>19</v>
      </c>
      <c r="B71">
        <v>47</v>
      </c>
      <c r="C71" s="71">
        <v>1</v>
      </c>
      <c r="D71">
        <v>4313.6099999999997</v>
      </c>
      <c r="E71">
        <v>13.209</v>
      </c>
      <c r="F71">
        <v>196</v>
      </c>
    </row>
    <row r="72" spans="1:6" x14ac:dyDescent="0.3">
      <c r="A72" t="s">
        <v>19</v>
      </c>
      <c r="B72">
        <v>47</v>
      </c>
      <c r="C72" s="71">
        <v>1</v>
      </c>
      <c r="D72">
        <v>4313.6099999999997</v>
      </c>
      <c r="E72">
        <v>13.234999999999999</v>
      </c>
      <c r="F72">
        <v>191</v>
      </c>
    </row>
    <row r="73" spans="1:6" x14ac:dyDescent="0.3">
      <c r="A73" t="s">
        <v>19</v>
      </c>
      <c r="B73">
        <v>47</v>
      </c>
      <c r="C73" s="71">
        <v>1</v>
      </c>
      <c r="D73">
        <v>4313.6099999999997</v>
      </c>
      <c r="E73">
        <v>13.233000000000001</v>
      </c>
      <c r="F73">
        <v>189</v>
      </c>
    </row>
    <row r="74" spans="1:6" x14ac:dyDescent="0.3">
      <c r="A74" t="s">
        <v>19</v>
      </c>
      <c r="B74">
        <v>47</v>
      </c>
      <c r="C74" s="71">
        <v>1</v>
      </c>
      <c r="D74">
        <v>4313.6099999999997</v>
      </c>
      <c r="E74">
        <v>13.243</v>
      </c>
      <c r="F74">
        <v>182</v>
      </c>
    </row>
    <row r="75" spans="1:6" x14ac:dyDescent="0.3">
      <c r="A75" t="s">
        <v>19</v>
      </c>
      <c r="B75">
        <v>47</v>
      </c>
      <c r="C75" s="71">
        <v>1</v>
      </c>
      <c r="D75">
        <v>4313.6099999999997</v>
      </c>
      <c r="E75">
        <v>13.193</v>
      </c>
      <c r="F75">
        <v>188</v>
      </c>
    </row>
    <row r="76" spans="1:6" x14ac:dyDescent="0.3">
      <c r="A76" t="s">
        <v>19</v>
      </c>
      <c r="B76">
        <v>47</v>
      </c>
      <c r="C76" s="71">
        <v>1</v>
      </c>
      <c r="D76">
        <v>4313.6099999999997</v>
      </c>
      <c r="E76">
        <v>13.249000000000001</v>
      </c>
      <c r="F76">
        <v>188</v>
      </c>
    </row>
    <row r="77" spans="1:6" x14ac:dyDescent="0.3">
      <c r="A77" t="s">
        <v>19</v>
      </c>
      <c r="B77">
        <v>47</v>
      </c>
      <c r="C77" s="71">
        <v>1</v>
      </c>
      <c r="D77">
        <v>4313.6099999999997</v>
      </c>
      <c r="E77">
        <v>13.195</v>
      </c>
      <c r="F77">
        <v>192</v>
      </c>
    </row>
    <row r="78" spans="1:6" x14ac:dyDescent="0.3">
      <c r="A78" t="s">
        <v>19</v>
      </c>
      <c r="B78">
        <v>47</v>
      </c>
      <c r="C78" s="71">
        <v>1</v>
      </c>
      <c r="D78">
        <v>4318.4880000000003</v>
      </c>
      <c r="E78">
        <v>13.207000000000001</v>
      </c>
      <c r="F78">
        <v>189</v>
      </c>
    </row>
    <row r="79" spans="1:6" x14ac:dyDescent="0.3">
      <c r="A79" t="s">
        <v>19</v>
      </c>
      <c r="B79">
        <v>47</v>
      </c>
      <c r="C79" s="71">
        <v>1</v>
      </c>
      <c r="D79">
        <v>4313.6099999999997</v>
      </c>
      <c r="E79">
        <v>13.239000000000001</v>
      </c>
      <c r="F79">
        <v>191</v>
      </c>
    </row>
    <row r="80" spans="1:6" x14ac:dyDescent="0.3">
      <c r="A80" t="s">
        <v>19</v>
      </c>
      <c r="B80">
        <v>47</v>
      </c>
      <c r="C80" s="71">
        <v>1</v>
      </c>
      <c r="D80">
        <v>4313.6099999999997</v>
      </c>
      <c r="E80">
        <v>13.215</v>
      </c>
      <c r="F80">
        <v>196</v>
      </c>
    </row>
    <row r="81" spans="1:6" x14ac:dyDescent="0.3">
      <c r="A81" t="s">
        <v>19</v>
      </c>
      <c r="B81">
        <v>100</v>
      </c>
      <c r="C81" s="71">
        <v>1</v>
      </c>
      <c r="D81">
        <v>35259.980000000003</v>
      </c>
      <c r="E81">
        <v>54.898000000000003</v>
      </c>
      <c r="F81">
        <v>225</v>
      </c>
    </row>
    <row r="82" spans="1:6" x14ac:dyDescent="0.3">
      <c r="A82" t="s">
        <v>19</v>
      </c>
      <c r="B82">
        <v>100</v>
      </c>
      <c r="C82" s="71">
        <v>1</v>
      </c>
      <c r="D82">
        <v>35235.637999999999</v>
      </c>
      <c r="E82">
        <v>54.981000000000002</v>
      </c>
      <c r="F82">
        <v>233</v>
      </c>
    </row>
    <row r="83" spans="1:6" x14ac:dyDescent="0.3">
      <c r="A83" t="s">
        <v>19</v>
      </c>
      <c r="B83">
        <v>100</v>
      </c>
      <c r="C83" s="71">
        <v>1</v>
      </c>
      <c r="D83">
        <v>35246.65</v>
      </c>
      <c r="E83">
        <v>54.927999999999997</v>
      </c>
      <c r="F83">
        <v>223</v>
      </c>
    </row>
    <row r="84" spans="1:6" x14ac:dyDescent="0.3">
      <c r="A84" t="s">
        <v>19</v>
      </c>
      <c r="B84">
        <v>100</v>
      </c>
      <c r="C84" s="71">
        <v>1</v>
      </c>
      <c r="D84">
        <v>35276.283000000003</v>
      </c>
      <c r="E84">
        <v>54.923000000000002</v>
      </c>
      <c r="F84">
        <v>232</v>
      </c>
    </row>
    <row r="85" spans="1:6" x14ac:dyDescent="0.3">
      <c r="A85" t="s">
        <v>19</v>
      </c>
      <c r="B85">
        <v>100</v>
      </c>
      <c r="C85" s="71">
        <v>1</v>
      </c>
      <c r="D85">
        <v>35217.79</v>
      </c>
      <c r="E85">
        <v>54.981000000000002</v>
      </c>
      <c r="F85">
        <v>229</v>
      </c>
    </row>
    <row r="86" spans="1:6" x14ac:dyDescent="0.3">
      <c r="A86" t="s">
        <v>19</v>
      </c>
      <c r="B86">
        <v>100</v>
      </c>
      <c r="C86" s="71">
        <v>1</v>
      </c>
      <c r="D86">
        <v>35252.396999999997</v>
      </c>
      <c r="E86">
        <v>54.917000000000002</v>
      </c>
      <c r="F86">
        <v>213</v>
      </c>
    </row>
    <row r="87" spans="1:6" x14ac:dyDescent="0.3">
      <c r="A87" t="s">
        <v>19</v>
      </c>
      <c r="B87">
        <v>100</v>
      </c>
      <c r="C87" s="71">
        <v>1</v>
      </c>
      <c r="D87">
        <v>35250.197</v>
      </c>
      <c r="E87">
        <v>54.954999999999998</v>
      </c>
      <c r="F87">
        <v>205</v>
      </c>
    </row>
    <row r="88" spans="1:6" x14ac:dyDescent="0.3">
      <c r="A88" t="s">
        <v>19</v>
      </c>
      <c r="B88">
        <v>100</v>
      </c>
      <c r="C88" s="71">
        <v>1</v>
      </c>
      <c r="D88">
        <v>35300.834000000003</v>
      </c>
      <c r="E88">
        <v>54.834000000000003</v>
      </c>
      <c r="F88">
        <v>205</v>
      </c>
    </row>
    <row r="89" spans="1:6" x14ac:dyDescent="0.3">
      <c r="A89" t="s">
        <v>19</v>
      </c>
      <c r="B89">
        <v>100</v>
      </c>
      <c r="C89" s="71">
        <v>1</v>
      </c>
      <c r="D89">
        <v>35320.152999999998</v>
      </c>
      <c r="E89">
        <v>54.886000000000003</v>
      </c>
      <c r="F89">
        <v>206</v>
      </c>
    </row>
    <row r="90" spans="1:6" x14ac:dyDescent="0.3">
      <c r="A90" t="s">
        <v>19</v>
      </c>
      <c r="B90">
        <v>100</v>
      </c>
      <c r="C90" s="71">
        <v>1</v>
      </c>
      <c r="D90">
        <v>35272.953000000001</v>
      </c>
      <c r="E90">
        <v>54.83</v>
      </c>
      <c r="F90">
        <v>206</v>
      </c>
    </row>
    <row r="91" spans="1:6" x14ac:dyDescent="0.3">
      <c r="A91" t="s">
        <v>20</v>
      </c>
      <c r="B91">
        <v>30</v>
      </c>
      <c r="C91" s="71">
        <v>1</v>
      </c>
      <c r="D91">
        <v>658.23299999999995</v>
      </c>
      <c r="E91">
        <v>6.4969999999999999</v>
      </c>
      <c r="F91">
        <v>161</v>
      </c>
    </row>
    <row r="92" spans="1:6" x14ac:dyDescent="0.3">
      <c r="A92" t="s">
        <v>20</v>
      </c>
      <c r="B92">
        <v>30</v>
      </c>
      <c r="C92" s="71">
        <v>1</v>
      </c>
      <c r="D92">
        <v>657.35599999999999</v>
      </c>
      <c r="E92">
        <v>6.5039999999999996</v>
      </c>
      <c r="F92">
        <v>193</v>
      </c>
    </row>
    <row r="93" spans="1:6" x14ac:dyDescent="0.3">
      <c r="A93" t="s">
        <v>20</v>
      </c>
      <c r="B93">
        <v>30</v>
      </c>
      <c r="C93" s="71">
        <v>1</v>
      </c>
      <c r="D93">
        <v>657.98</v>
      </c>
      <c r="E93">
        <v>6.4930000000000003</v>
      </c>
      <c r="F93">
        <v>173</v>
      </c>
    </row>
    <row r="94" spans="1:6" x14ac:dyDescent="0.3">
      <c r="A94" t="s">
        <v>20</v>
      </c>
      <c r="B94">
        <v>30</v>
      </c>
      <c r="C94" s="71">
        <v>1</v>
      </c>
      <c r="D94">
        <v>657.35599999999999</v>
      </c>
      <c r="E94">
        <v>6.47</v>
      </c>
      <c r="F94">
        <v>170</v>
      </c>
    </row>
    <row r="95" spans="1:6" x14ac:dyDescent="0.3">
      <c r="A95" t="s">
        <v>20</v>
      </c>
      <c r="B95">
        <v>30</v>
      </c>
      <c r="C95" s="71">
        <v>1</v>
      </c>
      <c r="D95">
        <v>657.98</v>
      </c>
      <c r="E95">
        <v>6.5049999999999999</v>
      </c>
      <c r="F95">
        <v>187</v>
      </c>
    </row>
    <row r="96" spans="1:6" x14ac:dyDescent="0.3">
      <c r="A96" t="s">
        <v>20</v>
      </c>
      <c r="B96">
        <v>30</v>
      </c>
      <c r="C96" s="71">
        <v>1</v>
      </c>
      <c r="D96">
        <v>657.35599999999999</v>
      </c>
      <c r="E96">
        <v>6.4740000000000002</v>
      </c>
      <c r="F96">
        <v>185</v>
      </c>
    </row>
    <row r="97" spans="1:6" x14ac:dyDescent="0.3">
      <c r="A97" t="s">
        <v>20</v>
      </c>
      <c r="B97">
        <v>30</v>
      </c>
      <c r="C97" s="71">
        <v>1</v>
      </c>
      <c r="D97">
        <v>658.23299999999995</v>
      </c>
      <c r="E97">
        <v>6.4740000000000002</v>
      </c>
      <c r="F97">
        <v>193</v>
      </c>
    </row>
    <row r="98" spans="1:6" x14ac:dyDescent="0.3">
      <c r="A98" t="s">
        <v>20</v>
      </c>
      <c r="B98">
        <v>30</v>
      </c>
      <c r="C98" s="71">
        <v>1</v>
      </c>
      <c r="D98">
        <v>658.23299999999995</v>
      </c>
      <c r="E98">
        <v>6.4779999999999998</v>
      </c>
      <c r="F98">
        <v>214</v>
      </c>
    </row>
    <row r="99" spans="1:6" x14ac:dyDescent="0.3">
      <c r="A99" t="s">
        <v>20</v>
      </c>
      <c r="B99">
        <v>30</v>
      </c>
      <c r="C99" s="71">
        <v>1</v>
      </c>
      <c r="D99">
        <v>657.98</v>
      </c>
      <c r="E99">
        <v>6.4889999999999999</v>
      </c>
      <c r="F99">
        <v>175</v>
      </c>
    </row>
    <row r="100" spans="1:6" x14ac:dyDescent="0.3">
      <c r="A100" t="s">
        <v>20</v>
      </c>
      <c r="B100">
        <v>30</v>
      </c>
      <c r="C100" s="71">
        <v>1</v>
      </c>
      <c r="D100">
        <v>657.98</v>
      </c>
      <c r="E100">
        <v>6.4809999999999999</v>
      </c>
      <c r="F100">
        <v>196</v>
      </c>
    </row>
    <row r="101" spans="1:6" x14ac:dyDescent="0.3">
      <c r="A101" t="s">
        <v>20</v>
      </c>
      <c r="B101">
        <v>50</v>
      </c>
      <c r="C101" s="71">
        <v>1</v>
      </c>
      <c r="D101">
        <v>994.31500000000005</v>
      </c>
      <c r="E101">
        <v>14.708</v>
      </c>
      <c r="F101">
        <v>257</v>
      </c>
    </row>
    <row r="102" spans="1:6" x14ac:dyDescent="0.3">
      <c r="A102" t="s">
        <v>20</v>
      </c>
      <c r="B102">
        <v>50</v>
      </c>
      <c r="C102" s="71">
        <v>1</v>
      </c>
      <c r="D102">
        <v>995.99099999999999</v>
      </c>
      <c r="E102">
        <v>14.701000000000001</v>
      </c>
      <c r="F102">
        <v>258</v>
      </c>
    </row>
    <row r="103" spans="1:6" x14ac:dyDescent="0.3">
      <c r="A103" t="s">
        <v>20</v>
      </c>
      <c r="B103">
        <v>50</v>
      </c>
      <c r="C103" s="71">
        <v>1</v>
      </c>
      <c r="D103">
        <v>997.101</v>
      </c>
      <c r="E103">
        <v>14.734999999999999</v>
      </c>
      <c r="F103">
        <v>254</v>
      </c>
    </row>
    <row r="104" spans="1:6" x14ac:dyDescent="0.3">
      <c r="A104" t="s">
        <v>20</v>
      </c>
      <c r="B104">
        <v>50</v>
      </c>
      <c r="C104" s="71">
        <v>1</v>
      </c>
      <c r="D104">
        <v>997.98599999999999</v>
      </c>
      <c r="E104">
        <v>14.698</v>
      </c>
      <c r="F104">
        <v>269</v>
      </c>
    </row>
    <row r="105" spans="1:6" x14ac:dyDescent="0.3">
      <c r="A105" t="s">
        <v>20</v>
      </c>
      <c r="B105">
        <v>50</v>
      </c>
      <c r="C105" s="71">
        <v>1</v>
      </c>
      <c r="D105">
        <v>990.68799999999999</v>
      </c>
      <c r="E105">
        <v>14.734</v>
      </c>
      <c r="F105">
        <v>260</v>
      </c>
    </row>
    <row r="106" spans="1:6" x14ac:dyDescent="0.3">
      <c r="A106" t="s">
        <v>20</v>
      </c>
      <c r="B106">
        <v>50</v>
      </c>
      <c r="C106" s="71">
        <v>1</v>
      </c>
      <c r="D106">
        <v>995.779</v>
      </c>
      <c r="E106">
        <v>14.7</v>
      </c>
      <c r="F106">
        <v>272</v>
      </c>
    </row>
    <row r="107" spans="1:6" x14ac:dyDescent="0.3">
      <c r="A107" t="s">
        <v>20</v>
      </c>
      <c r="B107">
        <v>50</v>
      </c>
      <c r="C107" s="71">
        <v>1</v>
      </c>
      <c r="D107">
        <v>993.71600000000001</v>
      </c>
      <c r="E107">
        <v>14.717000000000001</v>
      </c>
      <c r="F107">
        <v>249</v>
      </c>
    </row>
    <row r="108" spans="1:6" x14ac:dyDescent="0.3">
      <c r="A108" t="s">
        <v>20</v>
      </c>
      <c r="B108">
        <v>50</v>
      </c>
      <c r="C108" s="71">
        <v>1</v>
      </c>
      <c r="D108">
        <v>995.63300000000004</v>
      </c>
      <c r="E108">
        <v>14.704000000000001</v>
      </c>
      <c r="F108">
        <v>244</v>
      </c>
    </row>
    <row r="109" spans="1:6" x14ac:dyDescent="0.3">
      <c r="A109" t="s">
        <v>20</v>
      </c>
      <c r="B109">
        <v>50</v>
      </c>
      <c r="C109" s="71">
        <v>1</v>
      </c>
      <c r="D109">
        <v>991.00300000000004</v>
      </c>
      <c r="E109">
        <v>14.71</v>
      </c>
      <c r="F109">
        <v>266</v>
      </c>
    </row>
    <row r="110" spans="1:6" x14ac:dyDescent="0.3">
      <c r="A110" t="s">
        <v>20</v>
      </c>
      <c r="B110">
        <v>50</v>
      </c>
      <c r="C110" s="71">
        <v>1</v>
      </c>
      <c r="D110">
        <v>995.70600000000002</v>
      </c>
      <c r="E110">
        <v>14.709</v>
      </c>
      <c r="F110">
        <v>271</v>
      </c>
    </row>
    <row r="111" spans="1:6" x14ac:dyDescent="0.3">
      <c r="A111" t="s">
        <v>20</v>
      </c>
      <c r="B111">
        <v>100</v>
      </c>
      <c r="C111" s="71">
        <v>1</v>
      </c>
      <c r="D111">
        <v>1756.5219999999999</v>
      </c>
      <c r="E111">
        <v>32.652000000000001</v>
      </c>
      <c r="F111">
        <v>140</v>
      </c>
    </row>
    <row r="112" spans="1:6" x14ac:dyDescent="0.3">
      <c r="A112" t="s">
        <v>20</v>
      </c>
      <c r="B112">
        <v>100</v>
      </c>
      <c r="C112" s="71">
        <v>1</v>
      </c>
      <c r="D112">
        <v>1757.7950000000001</v>
      </c>
      <c r="E112">
        <v>32.472000000000001</v>
      </c>
      <c r="F112">
        <v>135</v>
      </c>
    </row>
    <row r="113" spans="1:6" x14ac:dyDescent="0.3">
      <c r="A113" t="s">
        <v>20</v>
      </c>
      <c r="B113">
        <v>100</v>
      </c>
      <c r="C113" s="71">
        <v>1</v>
      </c>
      <c r="D113">
        <v>1757.896</v>
      </c>
      <c r="E113">
        <v>32.527000000000001</v>
      </c>
      <c r="F113">
        <v>136</v>
      </c>
    </row>
    <row r="114" spans="1:6" x14ac:dyDescent="0.3">
      <c r="A114" t="s">
        <v>20</v>
      </c>
      <c r="B114">
        <v>100</v>
      </c>
      <c r="C114" s="71">
        <v>1</v>
      </c>
      <c r="D114">
        <v>1754.9770000000001</v>
      </c>
      <c r="E114">
        <v>32.636000000000003</v>
      </c>
      <c r="F114">
        <v>140</v>
      </c>
    </row>
    <row r="115" spans="1:6" x14ac:dyDescent="0.3">
      <c r="A115" t="s">
        <v>20</v>
      </c>
      <c r="B115">
        <v>100</v>
      </c>
      <c r="C115" s="71">
        <v>1</v>
      </c>
      <c r="D115">
        <v>1758.3910000000001</v>
      </c>
      <c r="E115">
        <v>32.582999999999998</v>
      </c>
      <c r="F115">
        <v>139</v>
      </c>
    </row>
    <row r="116" spans="1:6" x14ac:dyDescent="0.3">
      <c r="A116" t="s">
        <v>20</v>
      </c>
      <c r="B116">
        <v>100</v>
      </c>
      <c r="C116" s="71">
        <v>1</v>
      </c>
      <c r="D116">
        <v>1755.84</v>
      </c>
      <c r="E116">
        <v>32.512</v>
      </c>
      <c r="F116">
        <v>136</v>
      </c>
    </row>
    <row r="117" spans="1:6" x14ac:dyDescent="0.3">
      <c r="A117" t="s">
        <v>20</v>
      </c>
      <c r="B117">
        <v>100</v>
      </c>
      <c r="C117" s="71">
        <v>1</v>
      </c>
      <c r="D117">
        <v>1757.201</v>
      </c>
      <c r="E117">
        <v>32.56</v>
      </c>
      <c r="F117">
        <v>136</v>
      </c>
    </row>
    <row r="118" spans="1:6" x14ac:dyDescent="0.3">
      <c r="A118" t="s">
        <v>20</v>
      </c>
      <c r="B118">
        <v>100</v>
      </c>
      <c r="C118" s="71">
        <v>1</v>
      </c>
      <c r="D118">
        <v>1755.587</v>
      </c>
      <c r="E118">
        <v>32.53</v>
      </c>
      <c r="F118">
        <v>139</v>
      </c>
    </row>
    <row r="119" spans="1:6" x14ac:dyDescent="0.3">
      <c r="A119" t="s">
        <v>20</v>
      </c>
      <c r="B119">
        <v>100</v>
      </c>
      <c r="C119" s="71">
        <v>1</v>
      </c>
      <c r="D119">
        <v>1755.903</v>
      </c>
      <c r="E119">
        <v>32.506</v>
      </c>
      <c r="F119">
        <v>137</v>
      </c>
    </row>
    <row r="120" spans="1:6" x14ac:dyDescent="0.3">
      <c r="A120" t="s">
        <v>20</v>
      </c>
      <c r="B120">
        <v>100</v>
      </c>
      <c r="C120" s="71">
        <v>1</v>
      </c>
      <c r="D120">
        <v>1758.45</v>
      </c>
      <c r="E120">
        <v>32.552999999999997</v>
      </c>
      <c r="F120">
        <v>148</v>
      </c>
    </row>
    <row r="121" spans="1:6" x14ac:dyDescent="0.3">
      <c r="A121" t="s">
        <v>33</v>
      </c>
      <c r="B121">
        <v>9</v>
      </c>
      <c r="C121" s="71">
        <v>1</v>
      </c>
      <c r="D121">
        <v>8.5419999999999998</v>
      </c>
      <c r="E121">
        <v>1.3680000000000001</v>
      </c>
      <c r="F121">
        <v>148</v>
      </c>
    </row>
    <row r="122" spans="1:6" x14ac:dyDescent="0.3">
      <c r="A122" t="s">
        <v>33</v>
      </c>
      <c r="B122">
        <v>9</v>
      </c>
      <c r="C122" s="71">
        <v>1</v>
      </c>
      <c r="D122">
        <v>8.5419999999999998</v>
      </c>
      <c r="E122">
        <v>1.37</v>
      </c>
      <c r="F122">
        <v>275</v>
      </c>
    </row>
    <row r="123" spans="1:6" x14ac:dyDescent="0.3">
      <c r="A123" t="s">
        <v>33</v>
      </c>
      <c r="B123">
        <v>9</v>
      </c>
      <c r="C123" s="71">
        <v>1</v>
      </c>
      <c r="D123">
        <v>8.5419999999999998</v>
      </c>
      <c r="E123">
        <v>1.3720000000000001</v>
      </c>
      <c r="F123">
        <v>235</v>
      </c>
    </row>
    <row r="124" spans="1:6" x14ac:dyDescent="0.3">
      <c r="A124" t="s">
        <v>33</v>
      </c>
      <c r="B124">
        <v>9</v>
      </c>
      <c r="C124" s="71">
        <v>1</v>
      </c>
      <c r="D124">
        <v>8.5419999999999998</v>
      </c>
      <c r="E124">
        <v>1.3660000000000001</v>
      </c>
      <c r="F124">
        <v>67</v>
      </c>
    </row>
    <row r="125" spans="1:6" x14ac:dyDescent="0.3">
      <c r="A125" t="s">
        <v>33</v>
      </c>
      <c r="B125">
        <v>9</v>
      </c>
      <c r="C125" s="71">
        <v>1</v>
      </c>
      <c r="D125">
        <v>8.5419999999999998</v>
      </c>
      <c r="E125">
        <v>1.3939999999999999</v>
      </c>
      <c r="F125">
        <v>128</v>
      </c>
    </row>
    <row r="126" spans="1:6" x14ac:dyDescent="0.3">
      <c r="A126" t="s">
        <v>33</v>
      </c>
      <c r="B126">
        <v>9</v>
      </c>
      <c r="C126" s="71">
        <v>1</v>
      </c>
      <c r="D126">
        <v>8.5419999999999998</v>
      </c>
      <c r="E126">
        <v>1.3759999999999999</v>
      </c>
      <c r="F126">
        <v>99</v>
      </c>
    </row>
    <row r="127" spans="1:6" x14ac:dyDescent="0.3">
      <c r="A127" t="s">
        <v>33</v>
      </c>
      <c r="B127">
        <v>9</v>
      </c>
      <c r="C127" s="71">
        <v>1</v>
      </c>
      <c r="D127">
        <v>8.5419999999999998</v>
      </c>
      <c r="E127">
        <v>1.3919999999999999</v>
      </c>
      <c r="F127">
        <v>95</v>
      </c>
    </row>
    <row r="128" spans="1:6" x14ac:dyDescent="0.3">
      <c r="A128" t="s">
        <v>33</v>
      </c>
      <c r="B128">
        <v>9</v>
      </c>
      <c r="C128" s="71">
        <v>1</v>
      </c>
      <c r="D128">
        <v>8.5419999999999998</v>
      </c>
      <c r="E128">
        <v>1.37</v>
      </c>
      <c r="F128">
        <v>172</v>
      </c>
    </row>
    <row r="129" spans="1:6" x14ac:dyDescent="0.3">
      <c r="A129" t="s">
        <v>33</v>
      </c>
      <c r="B129">
        <v>9</v>
      </c>
      <c r="C129" s="71">
        <v>1</v>
      </c>
      <c r="D129">
        <v>8.5419999999999998</v>
      </c>
      <c r="E129">
        <v>1.3660000000000001</v>
      </c>
      <c r="F129">
        <v>266</v>
      </c>
    </row>
    <row r="130" spans="1:6" x14ac:dyDescent="0.3">
      <c r="A130" t="s">
        <v>33</v>
      </c>
      <c r="B130">
        <v>9</v>
      </c>
      <c r="C130" s="71">
        <v>1</v>
      </c>
      <c r="D130">
        <v>8.5419999999999998</v>
      </c>
      <c r="E130">
        <v>1.365</v>
      </c>
      <c r="F130">
        <v>328</v>
      </c>
    </row>
    <row r="131" spans="1:6" x14ac:dyDescent="0.3">
      <c r="A131" t="s">
        <v>33</v>
      </c>
      <c r="B131">
        <v>209</v>
      </c>
      <c r="C131" s="71">
        <v>1</v>
      </c>
      <c r="D131">
        <v>76.793000000000006</v>
      </c>
      <c r="E131">
        <v>181.376</v>
      </c>
      <c r="F131">
        <v>161</v>
      </c>
    </row>
    <row r="132" spans="1:6" x14ac:dyDescent="0.3">
      <c r="A132" t="s">
        <v>33</v>
      </c>
      <c r="B132">
        <v>209</v>
      </c>
      <c r="C132" s="71">
        <v>1</v>
      </c>
      <c r="D132">
        <v>77.084000000000003</v>
      </c>
      <c r="E132">
        <v>181.37799999999999</v>
      </c>
      <c r="F132">
        <v>163</v>
      </c>
    </row>
    <row r="133" spans="1:6" x14ac:dyDescent="0.3">
      <c r="A133" t="s">
        <v>33</v>
      </c>
      <c r="B133">
        <v>209</v>
      </c>
      <c r="C133" s="71">
        <v>1</v>
      </c>
      <c r="D133">
        <v>76.986999999999995</v>
      </c>
      <c r="E133">
        <v>181.03</v>
      </c>
      <c r="F133">
        <v>161</v>
      </c>
    </row>
    <row r="134" spans="1:6" x14ac:dyDescent="0.3">
      <c r="A134" t="s">
        <v>33</v>
      </c>
      <c r="B134">
        <v>209</v>
      </c>
      <c r="C134" s="71">
        <v>1</v>
      </c>
      <c r="D134">
        <v>76.876999999999995</v>
      </c>
      <c r="E134">
        <v>180.733</v>
      </c>
      <c r="F134">
        <v>164</v>
      </c>
    </row>
    <row r="135" spans="1:6" x14ac:dyDescent="0.3">
      <c r="A135" t="s">
        <v>33</v>
      </c>
      <c r="B135">
        <v>209</v>
      </c>
      <c r="C135" s="71">
        <v>1</v>
      </c>
      <c r="D135">
        <v>76.427000000000007</v>
      </c>
      <c r="E135">
        <v>181.465</v>
      </c>
      <c r="F135">
        <v>165</v>
      </c>
    </row>
    <row r="136" spans="1:6" x14ac:dyDescent="0.3">
      <c r="A136" t="s">
        <v>33</v>
      </c>
      <c r="B136">
        <v>209</v>
      </c>
      <c r="C136" s="71">
        <v>1</v>
      </c>
      <c r="D136">
        <v>76.569999999999993</v>
      </c>
      <c r="E136">
        <v>180.898</v>
      </c>
      <c r="F136">
        <v>167</v>
      </c>
    </row>
    <row r="137" spans="1:6" x14ac:dyDescent="0.3">
      <c r="A137" t="s">
        <v>33</v>
      </c>
      <c r="B137">
        <v>209</v>
      </c>
      <c r="C137" s="71">
        <v>1</v>
      </c>
      <c r="D137">
        <v>76.311999999999998</v>
      </c>
      <c r="E137">
        <v>180.83500000000001</v>
      </c>
      <c r="F137">
        <v>164</v>
      </c>
    </row>
    <row r="138" spans="1:6" x14ac:dyDescent="0.3">
      <c r="A138" t="s">
        <v>33</v>
      </c>
      <c r="B138">
        <v>209</v>
      </c>
      <c r="C138" s="71">
        <v>1</v>
      </c>
      <c r="D138">
        <v>76.841999999999999</v>
      </c>
      <c r="E138">
        <v>180.98599999999999</v>
      </c>
      <c r="F138">
        <v>162</v>
      </c>
    </row>
    <row r="139" spans="1:6" x14ac:dyDescent="0.3">
      <c r="A139" t="s">
        <v>33</v>
      </c>
      <c r="B139">
        <v>209</v>
      </c>
      <c r="C139" s="71">
        <v>1</v>
      </c>
      <c r="D139">
        <v>76.320999999999998</v>
      </c>
      <c r="E139">
        <v>181.28200000000001</v>
      </c>
      <c r="F139">
        <v>160</v>
      </c>
    </row>
    <row r="140" spans="1:6" x14ac:dyDescent="0.3">
      <c r="A140" t="s">
        <v>33</v>
      </c>
      <c r="B140">
        <v>209</v>
      </c>
      <c r="C140" s="71">
        <v>1</v>
      </c>
      <c r="D140">
        <v>76.477999999999994</v>
      </c>
      <c r="E140">
        <v>181.27600000000001</v>
      </c>
      <c r="F140">
        <v>160</v>
      </c>
    </row>
    <row r="141" spans="1:6" x14ac:dyDescent="0.3">
      <c r="A141" t="s">
        <v>33</v>
      </c>
      <c r="B141">
        <v>324</v>
      </c>
      <c r="C141" s="71">
        <v>1</v>
      </c>
      <c r="D141">
        <v>119.077</v>
      </c>
      <c r="E141">
        <v>420.96499999999997</v>
      </c>
      <c r="F141">
        <v>140</v>
      </c>
    </row>
    <row r="142" spans="1:6" x14ac:dyDescent="0.3">
      <c r="A142" t="s">
        <v>33</v>
      </c>
      <c r="B142">
        <v>324</v>
      </c>
      <c r="C142" s="71">
        <v>1</v>
      </c>
      <c r="D142">
        <v>118.657</v>
      </c>
      <c r="E142">
        <v>420.91399999999999</v>
      </c>
      <c r="F142">
        <v>141</v>
      </c>
    </row>
    <row r="143" spans="1:6" x14ac:dyDescent="0.3">
      <c r="A143" t="s">
        <v>33</v>
      </c>
      <c r="B143">
        <v>324</v>
      </c>
      <c r="C143" s="71">
        <v>1</v>
      </c>
      <c r="D143">
        <v>119.577</v>
      </c>
      <c r="E143">
        <v>421.017</v>
      </c>
      <c r="F143">
        <v>140</v>
      </c>
    </row>
    <row r="144" spans="1:6" x14ac:dyDescent="0.3">
      <c r="A144" t="s">
        <v>33</v>
      </c>
      <c r="B144">
        <v>324</v>
      </c>
      <c r="C144" s="71">
        <v>1</v>
      </c>
      <c r="D144">
        <v>118.77500000000001</v>
      </c>
      <c r="E144">
        <v>421.08600000000001</v>
      </c>
      <c r="F144">
        <v>139</v>
      </c>
    </row>
    <row r="145" spans="1:6" x14ac:dyDescent="0.3">
      <c r="A145" t="s">
        <v>33</v>
      </c>
      <c r="B145">
        <v>324</v>
      </c>
      <c r="C145" s="71">
        <v>1</v>
      </c>
      <c r="D145">
        <v>119.045</v>
      </c>
      <c r="E145">
        <v>420.92700000000002</v>
      </c>
      <c r="F145">
        <v>142</v>
      </c>
    </row>
    <row r="146" spans="1:6" x14ac:dyDescent="0.3">
      <c r="A146" t="s">
        <v>33</v>
      </c>
      <c r="B146">
        <v>324</v>
      </c>
      <c r="C146" s="71">
        <v>1</v>
      </c>
      <c r="D146">
        <v>119.268</v>
      </c>
      <c r="E146">
        <v>420.05900000000003</v>
      </c>
      <c r="F146">
        <v>137</v>
      </c>
    </row>
    <row r="147" spans="1:6" x14ac:dyDescent="0.3">
      <c r="A147" t="s">
        <v>33</v>
      </c>
      <c r="B147">
        <v>324</v>
      </c>
      <c r="C147" s="71">
        <v>1</v>
      </c>
      <c r="D147">
        <v>118.884</v>
      </c>
      <c r="E147">
        <v>421.142</v>
      </c>
      <c r="F147">
        <v>140</v>
      </c>
    </row>
    <row r="148" spans="1:6" x14ac:dyDescent="0.3">
      <c r="A148" t="s">
        <v>33</v>
      </c>
      <c r="B148">
        <v>324</v>
      </c>
      <c r="C148" s="71">
        <v>1</v>
      </c>
      <c r="D148">
        <v>118.985</v>
      </c>
      <c r="E148">
        <v>421.423</v>
      </c>
      <c r="F148">
        <v>141</v>
      </c>
    </row>
    <row r="149" spans="1:6" x14ac:dyDescent="0.3">
      <c r="A149" t="s">
        <v>33</v>
      </c>
      <c r="B149">
        <v>324</v>
      </c>
      <c r="C149" s="71">
        <v>1</v>
      </c>
      <c r="D149">
        <v>119.18300000000001</v>
      </c>
      <c r="E149">
        <v>421.125</v>
      </c>
      <c r="F149">
        <v>139</v>
      </c>
    </row>
    <row r="150" spans="1:6" x14ac:dyDescent="0.3">
      <c r="A150" t="s">
        <v>33</v>
      </c>
      <c r="B150">
        <v>324</v>
      </c>
      <c r="C150" s="71">
        <v>1</v>
      </c>
      <c r="D150">
        <v>119.352</v>
      </c>
      <c r="E150">
        <v>419.65300000000002</v>
      </c>
      <c r="F150">
        <v>136</v>
      </c>
    </row>
    <row r="151" spans="1:6" x14ac:dyDescent="0.3">
      <c r="A151" t="s">
        <v>34</v>
      </c>
      <c r="B151">
        <v>40</v>
      </c>
      <c r="C151" s="71">
        <v>1</v>
      </c>
      <c r="D151">
        <v>16.515000000000001</v>
      </c>
      <c r="E151">
        <v>11.635999999999999</v>
      </c>
      <c r="F151">
        <v>278</v>
      </c>
    </row>
    <row r="152" spans="1:6" x14ac:dyDescent="0.3">
      <c r="A152" t="s">
        <v>34</v>
      </c>
      <c r="B152">
        <v>40</v>
      </c>
      <c r="C152" s="71">
        <v>1</v>
      </c>
      <c r="D152">
        <v>16.530999999999999</v>
      </c>
      <c r="E152">
        <v>11.63</v>
      </c>
      <c r="F152">
        <v>260</v>
      </c>
    </row>
    <row r="153" spans="1:6" x14ac:dyDescent="0.3">
      <c r="A153" t="s">
        <v>34</v>
      </c>
      <c r="B153">
        <v>40</v>
      </c>
      <c r="C153" s="71">
        <v>1</v>
      </c>
      <c r="D153">
        <v>16.803999999999998</v>
      </c>
      <c r="E153">
        <v>11.64</v>
      </c>
      <c r="F153">
        <v>286</v>
      </c>
    </row>
    <row r="154" spans="1:6" x14ac:dyDescent="0.3">
      <c r="A154" t="s">
        <v>34</v>
      </c>
      <c r="B154">
        <v>40</v>
      </c>
      <c r="C154" s="71">
        <v>1</v>
      </c>
      <c r="D154">
        <v>16.75</v>
      </c>
      <c r="E154">
        <v>11.627000000000001</v>
      </c>
      <c r="F154">
        <v>259</v>
      </c>
    </row>
    <row r="155" spans="1:6" x14ac:dyDescent="0.3">
      <c r="A155" t="s">
        <v>34</v>
      </c>
      <c r="B155">
        <v>40</v>
      </c>
      <c r="C155" s="71">
        <v>1</v>
      </c>
      <c r="D155">
        <v>16.78</v>
      </c>
      <c r="E155">
        <v>11.638999999999999</v>
      </c>
      <c r="F155">
        <v>294</v>
      </c>
    </row>
    <row r="156" spans="1:6" x14ac:dyDescent="0.3">
      <c r="A156" t="s">
        <v>34</v>
      </c>
      <c r="B156">
        <v>40</v>
      </c>
      <c r="C156" s="71">
        <v>1</v>
      </c>
      <c r="D156">
        <v>16.672000000000001</v>
      </c>
      <c r="E156">
        <v>11.627000000000001</v>
      </c>
      <c r="F156">
        <v>289</v>
      </c>
    </row>
    <row r="157" spans="1:6" x14ac:dyDescent="0.3">
      <c r="A157" t="s">
        <v>34</v>
      </c>
      <c r="B157">
        <v>40</v>
      </c>
      <c r="C157" s="71">
        <v>1</v>
      </c>
      <c r="D157">
        <v>16.766999999999999</v>
      </c>
      <c r="E157">
        <v>11.63</v>
      </c>
      <c r="F157">
        <v>269</v>
      </c>
    </row>
    <row r="158" spans="1:6" x14ac:dyDescent="0.3">
      <c r="A158" t="s">
        <v>34</v>
      </c>
      <c r="B158">
        <v>40</v>
      </c>
      <c r="C158" s="71">
        <v>1</v>
      </c>
      <c r="D158">
        <v>16.75</v>
      </c>
      <c r="E158">
        <v>11.611000000000001</v>
      </c>
      <c r="F158">
        <v>282</v>
      </c>
    </row>
    <row r="159" spans="1:6" x14ac:dyDescent="0.3">
      <c r="A159" t="s">
        <v>34</v>
      </c>
      <c r="B159">
        <v>40</v>
      </c>
      <c r="C159" s="71">
        <v>1</v>
      </c>
      <c r="D159">
        <v>16.548999999999999</v>
      </c>
      <c r="E159">
        <v>11.627000000000001</v>
      </c>
      <c r="F159">
        <v>270</v>
      </c>
    </row>
    <row r="160" spans="1:6" x14ac:dyDescent="0.3">
      <c r="A160" t="s">
        <v>34</v>
      </c>
      <c r="B160">
        <v>40</v>
      </c>
      <c r="C160" s="71">
        <v>1</v>
      </c>
      <c r="D160">
        <v>16.771999999999998</v>
      </c>
      <c r="E160">
        <v>11.624000000000001</v>
      </c>
      <c r="F160">
        <v>271</v>
      </c>
    </row>
    <row r="161" spans="1:6" x14ac:dyDescent="0.3">
      <c r="A161" t="s">
        <v>34</v>
      </c>
      <c r="B161">
        <v>96</v>
      </c>
      <c r="C161" s="71">
        <v>1</v>
      </c>
      <c r="D161">
        <v>35.234999999999999</v>
      </c>
      <c r="E161">
        <v>51.457999999999998</v>
      </c>
      <c r="F161">
        <v>245</v>
      </c>
    </row>
    <row r="162" spans="1:6" x14ac:dyDescent="0.3">
      <c r="A162" t="s">
        <v>34</v>
      </c>
      <c r="B162">
        <v>96</v>
      </c>
      <c r="C162" s="71">
        <v>1</v>
      </c>
      <c r="D162">
        <v>35.220999999999997</v>
      </c>
      <c r="E162">
        <v>51.439</v>
      </c>
      <c r="F162">
        <v>225</v>
      </c>
    </row>
    <row r="163" spans="1:6" x14ac:dyDescent="0.3">
      <c r="A163" t="s">
        <v>34</v>
      </c>
      <c r="B163">
        <v>96</v>
      </c>
      <c r="C163" s="71">
        <v>1</v>
      </c>
      <c r="D163">
        <v>35.19</v>
      </c>
      <c r="E163">
        <v>51.268000000000001</v>
      </c>
      <c r="F163">
        <v>240</v>
      </c>
    </row>
    <row r="164" spans="1:6" x14ac:dyDescent="0.3">
      <c r="A164" t="s">
        <v>34</v>
      </c>
      <c r="B164">
        <v>96</v>
      </c>
      <c r="C164" s="71">
        <v>1</v>
      </c>
      <c r="D164">
        <v>35.22</v>
      </c>
      <c r="E164">
        <v>51.284999999999997</v>
      </c>
      <c r="F164">
        <v>228</v>
      </c>
    </row>
    <row r="165" spans="1:6" x14ac:dyDescent="0.3">
      <c r="A165" t="s">
        <v>34</v>
      </c>
      <c r="B165">
        <v>96</v>
      </c>
      <c r="C165" s="71">
        <v>1</v>
      </c>
      <c r="D165">
        <v>35.243000000000002</v>
      </c>
      <c r="E165">
        <v>51.265999999999998</v>
      </c>
      <c r="F165">
        <v>248</v>
      </c>
    </row>
    <row r="166" spans="1:6" x14ac:dyDescent="0.3">
      <c r="A166" t="s">
        <v>34</v>
      </c>
      <c r="B166">
        <v>96</v>
      </c>
      <c r="C166" s="71">
        <v>1</v>
      </c>
      <c r="D166">
        <v>35.127000000000002</v>
      </c>
      <c r="E166">
        <v>51.298999999999999</v>
      </c>
      <c r="F166">
        <v>222</v>
      </c>
    </row>
    <row r="167" spans="1:6" x14ac:dyDescent="0.3">
      <c r="A167" t="s">
        <v>34</v>
      </c>
      <c r="B167">
        <v>96</v>
      </c>
      <c r="C167" s="71">
        <v>1</v>
      </c>
      <c r="D167">
        <v>35.228000000000002</v>
      </c>
      <c r="E167">
        <v>51.281999999999996</v>
      </c>
      <c r="F167">
        <v>240</v>
      </c>
    </row>
    <row r="168" spans="1:6" x14ac:dyDescent="0.3">
      <c r="A168" t="s">
        <v>34</v>
      </c>
      <c r="B168">
        <v>96</v>
      </c>
      <c r="C168" s="71">
        <v>1</v>
      </c>
      <c r="D168">
        <v>35.201000000000001</v>
      </c>
      <c r="E168">
        <v>51.438000000000002</v>
      </c>
      <c r="F168">
        <v>232</v>
      </c>
    </row>
    <row r="169" spans="1:6" x14ac:dyDescent="0.3">
      <c r="A169" t="s">
        <v>34</v>
      </c>
      <c r="B169">
        <v>96</v>
      </c>
      <c r="C169" s="71">
        <v>1</v>
      </c>
      <c r="D169">
        <v>35.206000000000003</v>
      </c>
      <c r="E169">
        <v>51.28</v>
      </c>
      <c r="F169">
        <v>230</v>
      </c>
    </row>
    <row r="170" spans="1:6" x14ac:dyDescent="0.3">
      <c r="A170" t="s">
        <v>34</v>
      </c>
      <c r="B170">
        <v>96</v>
      </c>
      <c r="C170" s="71">
        <v>1</v>
      </c>
      <c r="D170">
        <v>35.182000000000002</v>
      </c>
      <c r="E170">
        <v>51.466999999999999</v>
      </c>
      <c r="F170">
        <v>242</v>
      </c>
    </row>
    <row r="171" spans="1:6" x14ac:dyDescent="0.3">
      <c r="A171" t="s">
        <v>34</v>
      </c>
      <c r="B171">
        <v>224</v>
      </c>
      <c r="C171" s="71">
        <v>1</v>
      </c>
      <c r="D171">
        <v>71.938999999999993</v>
      </c>
      <c r="E171">
        <v>256.541</v>
      </c>
      <c r="F171">
        <v>200</v>
      </c>
    </row>
    <row r="172" spans="1:6" x14ac:dyDescent="0.3">
      <c r="A172" t="s">
        <v>34</v>
      </c>
      <c r="B172">
        <v>224</v>
      </c>
      <c r="C172" s="71">
        <v>1</v>
      </c>
      <c r="D172">
        <v>71.914000000000001</v>
      </c>
      <c r="E172">
        <v>255.465</v>
      </c>
      <c r="F172">
        <v>196</v>
      </c>
    </row>
    <row r="173" spans="1:6" x14ac:dyDescent="0.3">
      <c r="A173" t="s">
        <v>34</v>
      </c>
      <c r="B173">
        <v>224</v>
      </c>
      <c r="C173" s="71">
        <v>1</v>
      </c>
      <c r="D173">
        <v>71.950999999999993</v>
      </c>
      <c r="E173">
        <v>255.96700000000001</v>
      </c>
      <c r="F173">
        <v>195</v>
      </c>
    </row>
    <row r="174" spans="1:6" x14ac:dyDescent="0.3">
      <c r="A174" t="s">
        <v>34</v>
      </c>
      <c r="B174">
        <v>224</v>
      </c>
      <c r="C174" s="71">
        <v>1</v>
      </c>
      <c r="D174">
        <v>71.947000000000003</v>
      </c>
      <c r="E174">
        <v>255.892</v>
      </c>
      <c r="F174">
        <v>197</v>
      </c>
    </row>
    <row r="175" spans="1:6" x14ac:dyDescent="0.3">
      <c r="A175" t="s">
        <v>34</v>
      </c>
      <c r="B175">
        <v>224</v>
      </c>
      <c r="C175" s="71">
        <v>1</v>
      </c>
      <c r="D175">
        <v>71.927000000000007</v>
      </c>
      <c r="E175">
        <v>255.49</v>
      </c>
      <c r="F175">
        <v>198</v>
      </c>
    </row>
    <row r="176" spans="1:6" x14ac:dyDescent="0.3">
      <c r="A176" t="s">
        <v>34</v>
      </c>
      <c r="B176">
        <v>224</v>
      </c>
      <c r="C176" s="71">
        <v>1</v>
      </c>
      <c r="D176">
        <v>71.936999999999998</v>
      </c>
      <c r="E176">
        <v>256.012</v>
      </c>
      <c r="F176">
        <v>196</v>
      </c>
    </row>
    <row r="177" spans="1:6" x14ac:dyDescent="0.3">
      <c r="A177" t="s">
        <v>34</v>
      </c>
      <c r="B177">
        <v>224</v>
      </c>
      <c r="C177" s="71">
        <v>1</v>
      </c>
      <c r="D177">
        <v>72.006</v>
      </c>
      <c r="E177">
        <v>255.499</v>
      </c>
      <c r="F177">
        <v>193</v>
      </c>
    </row>
    <row r="178" spans="1:6" x14ac:dyDescent="0.3">
      <c r="A178" t="s">
        <v>34</v>
      </c>
      <c r="B178">
        <v>224</v>
      </c>
      <c r="C178" s="71">
        <v>1</v>
      </c>
      <c r="D178">
        <v>71.965999999999994</v>
      </c>
      <c r="E178">
        <v>256.09899999999999</v>
      </c>
      <c r="F178">
        <v>196</v>
      </c>
    </row>
    <row r="179" spans="1:6" x14ac:dyDescent="0.3">
      <c r="A179" t="s">
        <v>34</v>
      </c>
      <c r="B179">
        <v>224</v>
      </c>
      <c r="C179" s="71">
        <v>1</v>
      </c>
      <c r="D179">
        <v>71.92</v>
      </c>
      <c r="E179">
        <v>256.30599999999998</v>
      </c>
      <c r="F179">
        <v>198</v>
      </c>
    </row>
    <row r="180" spans="1:6" x14ac:dyDescent="0.3">
      <c r="A180" t="s">
        <v>34</v>
      </c>
      <c r="B180">
        <v>224</v>
      </c>
      <c r="C180" s="71">
        <v>1</v>
      </c>
      <c r="D180">
        <v>71.924000000000007</v>
      </c>
      <c r="E180">
        <v>255.71700000000001</v>
      </c>
      <c r="F180">
        <v>191</v>
      </c>
    </row>
  </sheetData>
  <phoneticPr fontId="9" type="noConversion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M180"/>
  <sheetViews>
    <sheetView zoomScaleNormal="100" workbookViewId="0">
      <selection activeCell="K18" sqref="K18"/>
    </sheetView>
  </sheetViews>
  <sheetFormatPr defaultRowHeight="14" x14ac:dyDescent="0.3"/>
  <cols>
    <col min="1" max="1" width="9.83203125" customWidth="1"/>
    <col min="2" max="2" width="4" customWidth="1"/>
    <col min="3" max="3" width="3" customWidth="1"/>
    <col min="4" max="4" width="10" customWidth="1"/>
    <col min="5" max="5" width="7.33203125" bestFit="1" customWidth="1"/>
    <col min="6" max="6" width="4.75" customWidth="1"/>
    <col min="7" max="7" width="3"/>
    <col min="8" max="8" width="10.33203125"/>
    <col min="9" max="9" width="5.25" bestFit="1" customWidth="1"/>
    <col min="10" max="10" width="3.5" bestFit="1" customWidth="1"/>
    <col min="11" max="11" width="2.33203125"/>
    <col min="12" max="21" width="9.58203125" bestFit="1" customWidth="1"/>
    <col min="22" max="22" width="2.58203125"/>
    <col min="23" max="23" width="9.5"/>
    <col min="24" max="24" width="2.33203125"/>
    <col min="25" max="25" width="9.5"/>
    <col min="26" max="26" width="2.58203125"/>
    <col min="27" max="27" width="2.5"/>
    <col min="28" max="37" width="9.5"/>
    <col min="38" max="38" width="5.83203125"/>
    <col min="39" max="1025" width="9.5"/>
  </cols>
  <sheetData>
    <row r="1" spans="1:39" x14ac:dyDescent="0.3">
      <c r="A1" t="s">
        <v>17</v>
      </c>
      <c r="B1">
        <v>25</v>
      </c>
      <c r="C1">
        <v>1</v>
      </c>
      <c r="D1">
        <v>28.545999999999999</v>
      </c>
      <c r="E1">
        <v>5.2750000000000004</v>
      </c>
      <c r="F1">
        <v>221</v>
      </c>
      <c r="H1" s="43" t="s">
        <v>12</v>
      </c>
      <c r="I1" s="43" t="s">
        <v>13</v>
      </c>
      <c r="J1" s="43" t="s">
        <v>14</v>
      </c>
      <c r="K1" s="44"/>
      <c r="L1" s="44">
        <v>1</v>
      </c>
      <c r="M1" s="44">
        <v>2</v>
      </c>
      <c r="N1" s="44">
        <v>3</v>
      </c>
      <c r="O1" s="44">
        <v>4</v>
      </c>
      <c r="P1" s="44">
        <v>5</v>
      </c>
      <c r="Q1" s="44">
        <v>6</v>
      </c>
      <c r="R1" s="44">
        <v>7</v>
      </c>
      <c r="S1" s="44">
        <v>8</v>
      </c>
      <c r="T1" s="44">
        <v>9</v>
      </c>
      <c r="U1" s="44">
        <v>10</v>
      </c>
      <c r="W1" s="45" t="s">
        <v>22</v>
      </c>
      <c r="X1" s="44"/>
      <c r="Y1" s="45" t="s">
        <v>15</v>
      </c>
      <c r="Z1" s="44"/>
      <c r="AM1" s="43" t="s">
        <v>23</v>
      </c>
    </row>
    <row r="2" spans="1:39" x14ac:dyDescent="0.3">
      <c r="A2" t="s">
        <v>17</v>
      </c>
      <c r="B2">
        <v>25</v>
      </c>
      <c r="C2">
        <v>1</v>
      </c>
      <c r="D2">
        <v>28.545999999999999</v>
      </c>
      <c r="E2">
        <v>5.2960000000000003</v>
      </c>
      <c r="F2">
        <v>191</v>
      </c>
      <c r="H2" s="35" t="s">
        <v>17</v>
      </c>
      <c r="I2" s="35">
        <v>25</v>
      </c>
      <c r="J2" s="35">
        <v>1</v>
      </c>
      <c r="L2" s="35">
        <f t="shared" ref="L2:L13" ca="1" si="0">INDIRECT("D"&amp;1+(ROW(D1)-1)*10+COLUMN(A1)-1)</f>
        <v>28.545999999999999</v>
      </c>
      <c r="M2" s="35">
        <f t="shared" ref="M2:U17" ca="1" si="1">INDIRECT("D"&amp;1+(ROW(E1)-1)*10+COLUMN(B1)-1)</f>
        <v>28.545999999999999</v>
      </c>
      <c r="N2" s="35">
        <f t="shared" ref="N2:N13" ca="1" si="2">INDIRECT("D"&amp;1+(ROW(F1)-1)*10+COLUMN(C1)-1)</f>
        <v>28.587</v>
      </c>
      <c r="O2" s="35">
        <f t="shared" ref="O2:O13" ca="1" si="3">INDIRECT("D"&amp;1+(ROW(G1)-1)*10+COLUMN(D1)-1)</f>
        <v>28.545999999999999</v>
      </c>
      <c r="P2" s="35">
        <f t="shared" ref="P2:P13" ca="1" si="4">INDIRECT("D"&amp;1+(ROW(H1)-1)*10+COLUMN(E1)-1)</f>
        <v>28.545999999999999</v>
      </c>
      <c r="Q2" s="35">
        <f t="shared" ref="Q2:Q13" ca="1" si="5">INDIRECT("D"&amp;1+(ROW(I1)-1)*10+COLUMN(F1)-1)</f>
        <v>28.504000000000001</v>
      </c>
      <c r="R2" s="35">
        <f t="shared" ref="R2:R13" ca="1" si="6">INDIRECT("D"&amp;1+(ROW(J1)-1)*10+COLUMN(G1)-1)</f>
        <v>28.504000000000001</v>
      </c>
      <c r="S2" s="35">
        <f t="shared" ref="S2:S13" ca="1" si="7">INDIRECT("D"&amp;1+(ROW(K1)-1)*10+COLUMN(H1)-1)</f>
        <v>28.591999999999999</v>
      </c>
      <c r="T2" s="35">
        <f t="shared" ref="T2:T13" ca="1" si="8">INDIRECT("D"&amp;1+(ROW(L1)-1)*10+COLUMN(I1)-1)</f>
        <v>28.545999999999999</v>
      </c>
      <c r="U2" s="35">
        <f t="shared" ref="U2:U13" ca="1" si="9">INDIRECT("D"&amp;1+(ROW(M1)-1)*10+COLUMN(J1)-1)</f>
        <v>28.545999999999999</v>
      </c>
      <c r="W2" s="35">
        <f t="shared" ref="W2:W19" ca="1" si="10">AVERAGE(L2:U2)</f>
        <v>28.546299999999995</v>
      </c>
      <c r="Y2" s="35">
        <f ca="1">Total!E2</f>
        <v>28.504000000000001</v>
      </c>
      <c r="AB2" s="35">
        <f t="shared" ref="AB2:AB19" ca="1" si="11">(L2-$Y2)/$Y2</f>
        <v>1.4734774066796953E-3</v>
      </c>
      <c r="AC2" s="35">
        <f t="shared" ref="AC2:AC19" ca="1" si="12">(M2-$Y2)/$Y2</f>
        <v>1.4734774066796953E-3</v>
      </c>
      <c r="AD2" s="35">
        <f t="shared" ref="AD2:AD19" ca="1" si="13">(N2-$Y2)/$Y2</f>
        <v>2.9118720179623354E-3</v>
      </c>
      <c r="AE2" s="35">
        <f t="shared" ref="AE2:AE19" ca="1" si="14">(O2-$Y2)/$Y2</f>
        <v>1.4734774066796953E-3</v>
      </c>
      <c r="AF2" s="35">
        <f t="shared" ref="AF2:AF19" ca="1" si="15">(P2-$Y2)/$Y2</f>
        <v>1.4734774066796953E-3</v>
      </c>
      <c r="AG2" s="35">
        <f t="shared" ref="AG2:AG19" ca="1" si="16">(Q2-$Y2)/$Y2</f>
        <v>0</v>
      </c>
      <c r="AH2" s="35">
        <f t="shared" ref="AH2:AH19" ca="1" si="17">(R2-$Y2)/$Y2</f>
        <v>0</v>
      </c>
      <c r="AI2" s="35">
        <f t="shared" ref="AI2:AI19" ca="1" si="18">(S2-$Y2)/$Y2</f>
        <v>3.0872859949479868E-3</v>
      </c>
      <c r="AJ2" s="35">
        <f t="shared" ref="AJ2:AJ19" ca="1" si="19">(T2-$Y2)/$Y2</f>
        <v>1.4734774066796953E-3</v>
      </c>
      <c r="AK2" s="35">
        <f t="shared" ref="AK2:AK19" ca="1" si="20">(U2-$Y2)/$Y2</f>
        <v>1.4734774066796953E-3</v>
      </c>
      <c r="AM2" s="35">
        <f t="shared" ref="AM2:AM19" ca="1" si="21">SUM(AB2:AK2)</f>
        <v>1.4840022452988495E-2</v>
      </c>
    </row>
    <row r="3" spans="1:39" x14ac:dyDescent="0.3">
      <c r="A3" t="s">
        <v>17</v>
      </c>
      <c r="B3">
        <v>25</v>
      </c>
      <c r="C3">
        <v>1</v>
      </c>
      <c r="D3">
        <v>28.587</v>
      </c>
      <c r="E3">
        <v>5.3029999999999999</v>
      </c>
      <c r="F3">
        <v>194</v>
      </c>
      <c r="H3" s="35" t="s">
        <v>17</v>
      </c>
      <c r="I3" s="35">
        <v>50</v>
      </c>
      <c r="J3" s="35">
        <v>1</v>
      </c>
      <c r="L3" s="35">
        <f t="shared" ca="1" si="0"/>
        <v>52.987000000000002</v>
      </c>
      <c r="M3" s="35">
        <f t="shared" ca="1" si="1"/>
        <v>52.942</v>
      </c>
      <c r="N3" s="35">
        <f t="shared" ca="1" si="2"/>
        <v>53.067</v>
      </c>
      <c r="O3" s="35">
        <f t="shared" ca="1" si="3"/>
        <v>53.067999999999998</v>
      </c>
      <c r="P3" s="35">
        <f t="shared" ca="1" si="4"/>
        <v>53.084000000000003</v>
      </c>
      <c r="Q3" s="35">
        <f t="shared" ca="1" si="5"/>
        <v>53.121000000000002</v>
      </c>
      <c r="R3" s="35">
        <f t="shared" ca="1" si="6"/>
        <v>53.017000000000003</v>
      </c>
      <c r="S3" s="35">
        <f t="shared" ca="1" si="7"/>
        <v>53.076999999999998</v>
      </c>
      <c r="T3" s="35">
        <f t="shared" ca="1" si="8"/>
        <v>53.067</v>
      </c>
      <c r="U3" s="35">
        <f t="shared" ca="1" si="9"/>
        <v>53.017000000000003</v>
      </c>
      <c r="W3" s="35">
        <f t="shared" ca="1" si="10"/>
        <v>53.044699999999999</v>
      </c>
      <c r="Y3" s="35">
        <f ca="1">Total!E3</f>
        <v>52.927</v>
      </c>
      <c r="AB3" s="35">
        <f t="shared" ca="1" si="11"/>
        <v>1.1336368961022214E-3</v>
      </c>
      <c r="AC3" s="35">
        <f t="shared" ca="1" si="12"/>
        <v>2.8340922402555536E-4</v>
      </c>
      <c r="AD3" s="35">
        <f t="shared" ca="1" si="13"/>
        <v>2.6451527575717605E-3</v>
      </c>
      <c r="AE3" s="35">
        <f t="shared" ca="1" si="14"/>
        <v>2.6640467058400862E-3</v>
      </c>
      <c r="AF3" s="35">
        <f t="shared" ca="1" si="15"/>
        <v>2.9663498781341015E-3</v>
      </c>
      <c r="AG3" s="35">
        <f t="shared" ca="1" si="16"/>
        <v>3.6654259640637597E-3</v>
      </c>
      <c r="AH3" s="35">
        <f t="shared" ca="1" si="17"/>
        <v>1.7004553441533322E-3</v>
      </c>
      <c r="AI3" s="35">
        <f t="shared" ca="1" si="18"/>
        <v>2.8340922402554192E-3</v>
      </c>
      <c r="AJ3" s="35">
        <f t="shared" ca="1" si="19"/>
        <v>2.6451527575717605E-3</v>
      </c>
      <c r="AK3" s="35">
        <f t="shared" ca="1" si="20"/>
        <v>1.7004553441533322E-3</v>
      </c>
      <c r="AM3" s="35">
        <f t="shared" ca="1" si="21"/>
        <v>2.2238177111871326E-2</v>
      </c>
    </row>
    <row r="4" spans="1:39" x14ac:dyDescent="0.3">
      <c r="A4" t="s">
        <v>17</v>
      </c>
      <c r="B4">
        <v>25</v>
      </c>
      <c r="C4">
        <v>1</v>
      </c>
      <c r="D4">
        <v>28.545999999999999</v>
      </c>
      <c r="E4">
        <v>5.29</v>
      </c>
      <c r="F4">
        <v>193</v>
      </c>
      <c r="H4" s="35" t="s">
        <v>17</v>
      </c>
      <c r="I4" s="35">
        <v>100</v>
      </c>
      <c r="J4" s="35">
        <v>1</v>
      </c>
      <c r="L4" s="35">
        <f t="shared" ca="1" si="0"/>
        <v>103.26900000000001</v>
      </c>
      <c r="M4" s="35">
        <f t="shared" ca="1" si="1"/>
        <v>103.60299999999999</v>
      </c>
      <c r="N4" s="35">
        <f t="shared" ca="1" si="2"/>
        <v>103.303</v>
      </c>
      <c r="O4" s="35">
        <f t="shared" ca="1" si="3"/>
        <v>103.208</v>
      </c>
      <c r="P4" s="35">
        <f t="shared" ca="1" si="4"/>
        <v>103.26600000000001</v>
      </c>
      <c r="Q4" s="35">
        <f t="shared" ca="1" si="5"/>
        <v>103.262</v>
      </c>
      <c r="R4" s="35">
        <f t="shared" ca="1" si="6"/>
        <v>103.252</v>
      </c>
      <c r="S4" s="35">
        <f t="shared" ca="1" si="7"/>
        <v>103.322</v>
      </c>
      <c r="T4" s="35">
        <f t="shared" ca="1" si="8"/>
        <v>103.27800000000001</v>
      </c>
      <c r="U4" s="35">
        <f t="shared" ca="1" si="9"/>
        <v>103.27</v>
      </c>
      <c r="W4" s="35">
        <f t="shared" ca="1" si="10"/>
        <v>103.30330000000001</v>
      </c>
      <c r="Y4" s="35">
        <f ca="1">Total!E4</f>
        <v>102.80200000000001</v>
      </c>
      <c r="AB4" s="35">
        <f t="shared" ca="1" si="11"/>
        <v>4.5427131767864313E-3</v>
      </c>
      <c r="AC4" s="35">
        <f t="shared" ca="1" si="12"/>
        <v>7.7916772047235232E-3</v>
      </c>
      <c r="AD4" s="35">
        <f t="shared" ca="1" si="13"/>
        <v>4.8734460419057072E-3</v>
      </c>
      <c r="AE4" s="35">
        <f t="shared" ca="1" si="14"/>
        <v>3.9493395070134014E-3</v>
      </c>
      <c r="AF4" s="35">
        <f t="shared" ca="1" si="15"/>
        <v>4.5135308651582514E-3</v>
      </c>
      <c r="AG4" s="35">
        <f t="shared" ca="1" si="16"/>
        <v>4.4746211163206326E-3</v>
      </c>
      <c r="AH4" s="35">
        <f t="shared" ca="1" si="17"/>
        <v>4.377346744226655E-3</v>
      </c>
      <c r="AI4" s="35">
        <f t="shared" ca="1" si="18"/>
        <v>5.0582673488842236E-3</v>
      </c>
      <c r="AJ4" s="35">
        <f t="shared" ca="1" si="19"/>
        <v>4.63026011167097E-3</v>
      </c>
      <c r="AK4" s="35">
        <f t="shared" ca="1" si="20"/>
        <v>4.5524406139957323E-3</v>
      </c>
      <c r="AM4" s="35">
        <f t="shared" ca="1" si="21"/>
        <v>4.8763642730685529E-2</v>
      </c>
    </row>
    <row r="5" spans="1:39" x14ac:dyDescent="0.3">
      <c r="A5" t="s">
        <v>17</v>
      </c>
      <c r="B5">
        <v>25</v>
      </c>
      <c r="C5">
        <v>1</v>
      </c>
      <c r="D5">
        <v>28.545999999999999</v>
      </c>
      <c r="E5">
        <v>5.306</v>
      </c>
      <c r="F5">
        <v>206</v>
      </c>
      <c r="H5" s="35" t="s">
        <v>18</v>
      </c>
      <c r="I5" s="35">
        <v>30</v>
      </c>
      <c r="J5" s="35">
        <v>1</v>
      </c>
      <c r="L5" s="35">
        <f t="shared" ca="1" si="0"/>
        <v>156.12700000000001</v>
      </c>
      <c r="M5" s="35">
        <f t="shared" ca="1" si="1"/>
        <v>156.12700000000001</v>
      </c>
      <c r="N5" s="35">
        <f t="shared" ca="1" si="2"/>
        <v>156.12700000000001</v>
      </c>
      <c r="O5" s="35">
        <f t="shared" ca="1" si="3"/>
        <v>156.12700000000001</v>
      </c>
      <c r="P5" s="35">
        <f t="shared" ca="1" si="4"/>
        <v>156.12700000000001</v>
      </c>
      <c r="Q5" s="35">
        <f t="shared" ca="1" si="5"/>
        <v>156.12700000000001</v>
      </c>
      <c r="R5" s="35">
        <f t="shared" ca="1" si="6"/>
        <v>156.12700000000001</v>
      </c>
      <c r="S5" s="35">
        <f t="shared" ca="1" si="7"/>
        <v>156.12700000000001</v>
      </c>
      <c r="T5" s="35">
        <f t="shared" ca="1" si="8"/>
        <v>156.12700000000001</v>
      </c>
      <c r="U5" s="35">
        <f t="shared" ca="1" si="9"/>
        <v>156.12700000000001</v>
      </c>
      <c r="W5" s="35">
        <f t="shared" ca="1" si="10"/>
        <v>156.12699999999998</v>
      </c>
      <c r="Y5" s="35">
        <f ca="1">Total!E5</f>
        <v>156.12700000000001</v>
      </c>
      <c r="AB5" s="35">
        <f t="shared" ca="1" si="11"/>
        <v>0</v>
      </c>
      <c r="AC5" s="35">
        <f t="shared" ca="1" si="12"/>
        <v>0</v>
      </c>
      <c r="AD5" s="35">
        <f t="shared" ca="1" si="13"/>
        <v>0</v>
      </c>
      <c r="AE5" s="35">
        <f t="shared" ca="1" si="14"/>
        <v>0</v>
      </c>
      <c r="AF5" s="35">
        <f t="shared" ca="1" si="15"/>
        <v>0</v>
      </c>
      <c r="AG5" s="35">
        <f t="shared" ca="1" si="16"/>
        <v>0</v>
      </c>
      <c r="AH5" s="35">
        <f t="shared" ca="1" si="17"/>
        <v>0</v>
      </c>
      <c r="AI5" s="35">
        <f t="shared" ca="1" si="18"/>
        <v>0</v>
      </c>
      <c r="AJ5" s="35">
        <f t="shared" ca="1" si="19"/>
        <v>0</v>
      </c>
      <c r="AK5" s="35">
        <f t="shared" ca="1" si="20"/>
        <v>0</v>
      </c>
      <c r="AM5" s="35">
        <f t="shared" ca="1" si="21"/>
        <v>0</v>
      </c>
    </row>
    <row r="6" spans="1:39" x14ac:dyDescent="0.3">
      <c r="A6" t="s">
        <v>17</v>
      </c>
      <c r="B6">
        <v>25</v>
      </c>
      <c r="C6">
        <v>1</v>
      </c>
      <c r="D6">
        <v>28.504000000000001</v>
      </c>
      <c r="E6">
        <v>5.2770000000000001</v>
      </c>
      <c r="F6">
        <v>200</v>
      </c>
      <c r="H6" s="35" t="s">
        <v>18</v>
      </c>
      <c r="I6" s="35">
        <v>50</v>
      </c>
      <c r="J6" s="35">
        <v>1</v>
      </c>
      <c r="L6" s="35">
        <f t="shared" ca="1" si="0"/>
        <v>181.40799999999999</v>
      </c>
      <c r="M6" s="35">
        <f t="shared" ca="1" si="1"/>
        <v>181.89</v>
      </c>
      <c r="N6" s="35">
        <f t="shared" ca="1" si="2"/>
        <v>181.59700000000001</v>
      </c>
      <c r="O6" s="35">
        <f t="shared" ca="1" si="3"/>
        <v>180.77099999999999</v>
      </c>
      <c r="P6" s="35">
        <f t="shared" ca="1" si="4"/>
        <v>180.685</v>
      </c>
      <c r="Q6" s="35">
        <f t="shared" ca="1" si="5"/>
        <v>180.45500000000001</v>
      </c>
      <c r="R6" s="35">
        <f t="shared" ca="1" si="6"/>
        <v>180.62100000000001</v>
      </c>
      <c r="S6" s="35">
        <f t="shared" ca="1" si="7"/>
        <v>181.71299999999999</v>
      </c>
      <c r="T6" s="35">
        <f t="shared" ca="1" si="8"/>
        <v>179.93799999999999</v>
      </c>
      <c r="U6" s="35">
        <f t="shared" ca="1" si="9"/>
        <v>181.59700000000001</v>
      </c>
      <c r="W6" s="35">
        <f t="shared" ca="1" si="10"/>
        <v>181.0675</v>
      </c>
      <c r="Y6" s="35">
        <f ca="1">Total!E6</f>
        <v>179.673</v>
      </c>
      <c r="AB6" s="35">
        <f t="shared" ca="1" si="11"/>
        <v>9.6564314059429356E-3</v>
      </c>
      <c r="AC6" s="35">
        <f t="shared" ca="1" si="12"/>
        <v>1.2339082666844681E-2</v>
      </c>
      <c r="AD6" s="35">
        <f t="shared" ca="1" si="13"/>
        <v>1.0708342377541459E-2</v>
      </c>
      <c r="AE6" s="35">
        <f t="shared" ca="1" si="14"/>
        <v>6.1111018350001652E-3</v>
      </c>
      <c r="AF6" s="35">
        <f t="shared" ca="1" si="15"/>
        <v>5.6324545145903975E-3</v>
      </c>
      <c r="AG6" s="35">
        <f t="shared" ca="1" si="16"/>
        <v>4.3523512158199096E-3</v>
      </c>
      <c r="AH6" s="35">
        <f t="shared" ca="1" si="17"/>
        <v>5.2762518575412412E-3</v>
      </c>
      <c r="AI6" s="35">
        <f t="shared" ca="1" si="18"/>
        <v>1.1353959693443045E-2</v>
      </c>
      <c r="AJ6" s="35">
        <f t="shared" ca="1" si="19"/>
        <v>1.4749016268442469E-3</v>
      </c>
      <c r="AK6" s="35">
        <f t="shared" ca="1" si="20"/>
        <v>1.0708342377541459E-2</v>
      </c>
      <c r="AM6" s="35">
        <f t="shared" ca="1" si="21"/>
        <v>7.7613219571109532E-2</v>
      </c>
    </row>
    <row r="7" spans="1:39" x14ac:dyDescent="0.3">
      <c r="A7" t="s">
        <v>17</v>
      </c>
      <c r="B7">
        <v>25</v>
      </c>
      <c r="C7">
        <v>1</v>
      </c>
      <c r="D7">
        <v>28.504000000000001</v>
      </c>
      <c r="E7">
        <v>5.2869999999999999</v>
      </c>
      <c r="F7">
        <v>214</v>
      </c>
      <c r="H7" s="35" t="s">
        <v>18</v>
      </c>
      <c r="I7" s="35">
        <v>100</v>
      </c>
      <c r="J7" s="35">
        <v>1</v>
      </c>
      <c r="L7" s="35">
        <f t="shared" ca="1" si="0"/>
        <v>239.25399999999999</v>
      </c>
      <c r="M7" s="35">
        <f t="shared" ca="1" si="1"/>
        <v>239.58</v>
      </c>
      <c r="N7" s="35">
        <f t="shared" ca="1" si="2"/>
        <v>239.24700000000001</v>
      </c>
      <c r="O7" s="35">
        <f t="shared" ca="1" si="3"/>
        <v>239.22</v>
      </c>
      <c r="P7" s="35">
        <f t="shared" ca="1" si="4"/>
        <v>239.29400000000001</v>
      </c>
      <c r="Q7" s="35">
        <f t="shared" ca="1" si="5"/>
        <v>240.58199999999999</v>
      </c>
      <c r="R7" s="35">
        <f t="shared" ca="1" si="6"/>
        <v>240.68</v>
      </c>
      <c r="S7" s="35">
        <f t="shared" ca="1" si="7"/>
        <v>239.62100000000001</v>
      </c>
      <c r="T7" s="35">
        <f t="shared" ca="1" si="8"/>
        <v>239.18</v>
      </c>
      <c r="U7" s="35">
        <f t="shared" ca="1" si="9"/>
        <v>239.10300000000001</v>
      </c>
      <c r="W7" s="35">
        <f t="shared" ca="1" si="10"/>
        <v>239.57610000000005</v>
      </c>
      <c r="Y7" s="35">
        <f ca="1">Total!E7</f>
        <v>238.86699999999999</v>
      </c>
      <c r="AB7" s="35">
        <f t="shared" ca="1" si="11"/>
        <v>1.6201484508115414E-3</v>
      </c>
      <c r="AC7" s="35">
        <f t="shared" ca="1" si="12"/>
        <v>2.9849246651903459E-3</v>
      </c>
      <c r="AD7" s="35">
        <f t="shared" ca="1" si="13"/>
        <v>1.5908434400734462E-3</v>
      </c>
      <c r="AE7" s="35">
        <f t="shared" ca="1" si="14"/>
        <v>1.4778098272260657E-3</v>
      </c>
      <c r="AF7" s="35">
        <f t="shared" ca="1" si="15"/>
        <v>1.7876056550298741E-3</v>
      </c>
      <c r="AG7" s="35">
        <f t="shared" ca="1" si="16"/>
        <v>7.1797276308573537E-3</v>
      </c>
      <c r="AH7" s="35">
        <f t="shared" ca="1" si="17"/>
        <v>7.5899977811921138E-3</v>
      </c>
      <c r="AI7" s="35">
        <f t="shared" ca="1" si="18"/>
        <v>3.1565682995140358E-3</v>
      </c>
      <c r="AJ7" s="35">
        <f t="shared" ca="1" si="19"/>
        <v>1.3103526230078522E-3</v>
      </c>
      <c r="AK7" s="35">
        <f t="shared" ca="1" si="20"/>
        <v>9.8799750488773428E-4</v>
      </c>
      <c r="AM7" s="35">
        <f t="shared" ca="1" si="21"/>
        <v>2.9685975877790361E-2</v>
      </c>
    </row>
    <row r="8" spans="1:39" x14ac:dyDescent="0.3">
      <c r="A8" t="s">
        <v>17</v>
      </c>
      <c r="B8">
        <v>25</v>
      </c>
      <c r="C8">
        <v>1</v>
      </c>
      <c r="D8">
        <v>28.591999999999999</v>
      </c>
      <c r="E8">
        <v>5.2869999999999999</v>
      </c>
      <c r="F8">
        <v>192</v>
      </c>
      <c r="H8" s="35" t="s">
        <v>19</v>
      </c>
      <c r="I8" s="35">
        <v>24</v>
      </c>
      <c r="J8" s="35">
        <v>1</v>
      </c>
      <c r="L8" s="35">
        <f t="shared" ca="1" si="0"/>
        <v>2320.9079999999999</v>
      </c>
      <c r="M8" s="35">
        <f t="shared" ca="1" si="1"/>
        <v>2320.9079999999999</v>
      </c>
      <c r="N8" s="35">
        <f t="shared" ca="1" si="2"/>
        <v>2320.9079999999999</v>
      </c>
      <c r="O8" s="35">
        <f t="shared" ca="1" si="3"/>
        <v>2320.9079999999999</v>
      </c>
      <c r="P8" s="35">
        <f t="shared" ca="1" si="4"/>
        <v>2320.9079999999999</v>
      </c>
      <c r="Q8" s="35">
        <f t="shared" ca="1" si="5"/>
        <v>2320.9079999999999</v>
      </c>
      <c r="R8" s="35">
        <f t="shared" ca="1" si="6"/>
        <v>2320.9079999999999</v>
      </c>
      <c r="S8" s="35">
        <f t="shared" ca="1" si="7"/>
        <v>2320.9079999999999</v>
      </c>
      <c r="T8" s="35">
        <f t="shared" ca="1" si="8"/>
        <v>2320.9079999999999</v>
      </c>
      <c r="U8" s="35">
        <f t="shared" ca="1" si="9"/>
        <v>2320.9079999999999</v>
      </c>
      <c r="W8" s="35">
        <f t="shared" ca="1" si="10"/>
        <v>2320.9079999999999</v>
      </c>
      <c r="Y8" s="35">
        <f ca="1">Total!E8</f>
        <v>2320.9079999999999</v>
      </c>
      <c r="AB8" s="35">
        <f t="shared" ca="1" si="11"/>
        <v>0</v>
      </c>
      <c r="AC8" s="35">
        <f t="shared" ca="1" si="12"/>
        <v>0</v>
      </c>
      <c r="AD8" s="35">
        <f t="shared" ca="1" si="13"/>
        <v>0</v>
      </c>
      <c r="AE8" s="35">
        <f t="shared" ca="1" si="14"/>
        <v>0</v>
      </c>
      <c r="AF8" s="35">
        <f t="shared" ca="1" si="15"/>
        <v>0</v>
      </c>
      <c r="AG8" s="35">
        <f t="shared" ca="1" si="16"/>
        <v>0</v>
      </c>
      <c r="AH8" s="35">
        <f t="shared" ca="1" si="17"/>
        <v>0</v>
      </c>
      <c r="AI8" s="35">
        <f t="shared" ca="1" si="18"/>
        <v>0</v>
      </c>
      <c r="AJ8" s="35">
        <f t="shared" ca="1" si="19"/>
        <v>0</v>
      </c>
      <c r="AK8" s="35">
        <f t="shared" ca="1" si="20"/>
        <v>0</v>
      </c>
      <c r="AM8" s="35">
        <f t="shared" ca="1" si="21"/>
        <v>0</v>
      </c>
    </row>
    <row r="9" spans="1:39" x14ac:dyDescent="0.3">
      <c r="A9" t="s">
        <v>17</v>
      </c>
      <c r="B9">
        <v>25</v>
      </c>
      <c r="C9">
        <v>1</v>
      </c>
      <c r="D9">
        <v>28.545999999999999</v>
      </c>
      <c r="E9">
        <v>5.2779999999999996</v>
      </c>
      <c r="F9">
        <v>221</v>
      </c>
      <c r="H9" s="35" t="s">
        <v>19</v>
      </c>
      <c r="I9" s="35">
        <v>47</v>
      </c>
      <c r="J9" s="35">
        <v>1</v>
      </c>
      <c r="L9" s="35">
        <f t="shared" ca="1" si="0"/>
        <v>4318.4880000000003</v>
      </c>
      <c r="M9" s="35">
        <f t="shared" ca="1" si="1"/>
        <v>4313.6099999999997</v>
      </c>
      <c r="N9" s="35">
        <f t="shared" ca="1" si="2"/>
        <v>4313.6099999999997</v>
      </c>
      <c r="O9" s="35">
        <f t="shared" ca="1" si="3"/>
        <v>4313.6099999999997</v>
      </c>
      <c r="P9" s="35">
        <f t="shared" ca="1" si="4"/>
        <v>4313.6099999999997</v>
      </c>
      <c r="Q9" s="35">
        <f t="shared" ca="1" si="5"/>
        <v>4313.6099999999997</v>
      </c>
      <c r="R9" s="35">
        <f t="shared" ca="1" si="6"/>
        <v>4318.4880000000003</v>
      </c>
      <c r="S9" s="35">
        <f t="shared" ca="1" si="7"/>
        <v>4313.6099999999997</v>
      </c>
      <c r="T9" s="35">
        <f t="shared" ca="1" si="8"/>
        <v>4313.6099999999997</v>
      </c>
      <c r="U9" s="35">
        <f t="shared" ca="1" si="9"/>
        <v>4313.6099999999997</v>
      </c>
      <c r="W9" s="35">
        <f t="shared" ca="1" si="10"/>
        <v>4314.5856000000003</v>
      </c>
      <c r="Y9" s="35">
        <f ca="1">Total!E9</f>
        <v>4313.6099999999997</v>
      </c>
      <c r="AB9" s="35">
        <f t="shared" ca="1" si="11"/>
        <v>1.130839366563183E-3</v>
      </c>
      <c r="AC9" s="35">
        <f t="shared" ca="1" si="12"/>
        <v>0</v>
      </c>
      <c r="AD9" s="35">
        <f t="shared" ca="1" si="13"/>
        <v>0</v>
      </c>
      <c r="AE9" s="35">
        <f t="shared" ca="1" si="14"/>
        <v>0</v>
      </c>
      <c r="AF9" s="35">
        <f t="shared" ca="1" si="15"/>
        <v>0</v>
      </c>
      <c r="AG9" s="35">
        <f t="shared" ca="1" si="16"/>
        <v>0</v>
      </c>
      <c r="AH9" s="35">
        <f t="shared" ca="1" si="17"/>
        <v>1.130839366563183E-3</v>
      </c>
      <c r="AI9" s="35">
        <f t="shared" ca="1" si="18"/>
        <v>0</v>
      </c>
      <c r="AJ9" s="35">
        <f t="shared" ca="1" si="19"/>
        <v>0</v>
      </c>
      <c r="AK9" s="35">
        <f t="shared" ca="1" si="20"/>
        <v>0</v>
      </c>
      <c r="AM9" s="35">
        <f t="shared" ca="1" si="21"/>
        <v>2.2616787331263661E-3</v>
      </c>
    </row>
    <row r="10" spans="1:39" x14ac:dyDescent="0.3">
      <c r="A10" t="s">
        <v>17</v>
      </c>
      <c r="B10">
        <v>25</v>
      </c>
      <c r="C10">
        <v>1</v>
      </c>
      <c r="D10">
        <v>28.545999999999999</v>
      </c>
      <c r="E10">
        <v>5.3040000000000003</v>
      </c>
      <c r="F10">
        <v>179</v>
      </c>
      <c r="H10" s="35" t="s">
        <v>19</v>
      </c>
      <c r="I10" s="35">
        <v>100</v>
      </c>
      <c r="J10" s="35">
        <v>1</v>
      </c>
      <c r="L10" s="35">
        <f t="shared" ca="1" si="0"/>
        <v>35217.982000000004</v>
      </c>
      <c r="M10" s="35">
        <f t="shared" ca="1" si="1"/>
        <v>35245.222999999998</v>
      </c>
      <c r="N10" s="35">
        <f t="shared" ca="1" si="2"/>
        <v>35272.735999999997</v>
      </c>
      <c r="O10" s="35">
        <f t="shared" ca="1" si="3"/>
        <v>35217.79</v>
      </c>
      <c r="P10" s="35">
        <f t="shared" ca="1" si="4"/>
        <v>35272.953000000001</v>
      </c>
      <c r="Q10" s="35">
        <f t="shared" ca="1" si="5"/>
        <v>35229.069000000003</v>
      </c>
      <c r="R10" s="35">
        <f t="shared" ca="1" si="6"/>
        <v>35227.9</v>
      </c>
      <c r="S10" s="35">
        <f t="shared" ca="1" si="7"/>
        <v>35253.523000000001</v>
      </c>
      <c r="T10" s="35">
        <f t="shared" ca="1" si="8"/>
        <v>35272.862000000001</v>
      </c>
      <c r="U10" s="35">
        <f t="shared" ca="1" si="9"/>
        <v>35253.728000000003</v>
      </c>
      <c r="W10" s="35">
        <f t="shared" ca="1" si="10"/>
        <v>35246.376600000003</v>
      </c>
      <c r="Y10" s="35">
        <f ca="1">Total!E10</f>
        <v>35210.383000000002</v>
      </c>
      <c r="AB10" s="35">
        <f t="shared" ca="1" si="11"/>
        <v>2.1581702192793468E-4</v>
      </c>
      <c r="AC10" s="35">
        <f t="shared" ca="1" si="12"/>
        <v>9.8948085852961333E-4</v>
      </c>
      <c r="AD10" s="35">
        <f t="shared" ca="1" si="13"/>
        <v>1.7708696892049006E-3</v>
      </c>
      <c r="AE10" s="35">
        <f t="shared" ca="1" si="14"/>
        <v>2.1036408493481151E-4</v>
      </c>
      <c r="AF10" s="35">
        <f t="shared" ca="1" si="15"/>
        <v>1.7770326440357013E-3</v>
      </c>
      <c r="AG10" s="35">
        <f t="shared" ca="1" si="16"/>
        <v>5.3069573256279295E-4</v>
      </c>
      <c r="AH10" s="35">
        <f t="shared" ca="1" si="17"/>
        <v>4.974952984748795E-4</v>
      </c>
      <c r="AI10" s="35">
        <f t="shared" ca="1" si="18"/>
        <v>1.2252067806248917E-3</v>
      </c>
      <c r="AJ10" s="35">
        <f t="shared" ca="1" si="19"/>
        <v>1.7744481791066957E-3</v>
      </c>
      <c r="AK10" s="35">
        <f t="shared" ca="1" si="20"/>
        <v>1.2310289268935575E-3</v>
      </c>
      <c r="AM10" s="35">
        <f t="shared" ca="1" si="21"/>
        <v>1.0222439216295778E-2</v>
      </c>
    </row>
    <row r="11" spans="1:39" x14ac:dyDescent="0.3">
      <c r="A11" t="s">
        <v>17</v>
      </c>
      <c r="B11">
        <v>50</v>
      </c>
      <c r="C11">
        <v>1</v>
      </c>
      <c r="D11">
        <v>52.987000000000002</v>
      </c>
      <c r="E11">
        <v>19.565999999999999</v>
      </c>
      <c r="F11">
        <v>242</v>
      </c>
      <c r="H11" s="35" t="s">
        <v>20</v>
      </c>
      <c r="I11" s="35">
        <v>30</v>
      </c>
      <c r="J11" s="35">
        <v>1</v>
      </c>
      <c r="L11" s="35">
        <f t="shared" ca="1" si="0"/>
        <v>657.32399999999996</v>
      </c>
      <c r="M11" s="35">
        <f t="shared" ca="1" si="1"/>
        <v>659.84500000000003</v>
      </c>
      <c r="N11" s="35">
        <f t="shared" ca="1" si="2"/>
        <v>658.23299999999995</v>
      </c>
      <c r="O11" s="35">
        <f t="shared" ca="1" si="3"/>
        <v>659.84500000000003</v>
      </c>
      <c r="P11" s="35">
        <f t="shared" ca="1" si="4"/>
        <v>658.23299999999995</v>
      </c>
      <c r="Q11" s="35">
        <f t="shared" ca="1" si="5"/>
        <v>658.23299999999995</v>
      </c>
      <c r="R11" s="35">
        <f t="shared" ca="1" si="6"/>
        <v>658.23299999999995</v>
      </c>
      <c r="S11" s="35">
        <f t="shared" ca="1" si="7"/>
        <v>658.23299999999995</v>
      </c>
      <c r="T11" s="35">
        <f t="shared" ca="1" si="8"/>
        <v>658.23299999999995</v>
      </c>
      <c r="U11" s="35">
        <f t="shared" ca="1" si="9"/>
        <v>658.23299999999995</v>
      </c>
      <c r="W11" s="35">
        <f t="shared" ca="1" si="10"/>
        <v>658.46450000000004</v>
      </c>
      <c r="Y11" s="35">
        <f ca="1">Total!E11</f>
        <v>655.46500000000003</v>
      </c>
      <c r="AB11" s="35">
        <f t="shared" ca="1" si="11"/>
        <v>2.8361544857466434E-3</v>
      </c>
      <c r="AC11" s="35">
        <f t="shared" ca="1" si="12"/>
        <v>6.6822789927761138E-3</v>
      </c>
      <c r="AD11" s="35">
        <f t="shared" ca="1" si="13"/>
        <v>4.2229562219186613E-3</v>
      </c>
      <c r="AE11" s="35">
        <f t="shared" ca="1" si="14"/>
        <v>6.6822789927761138E-3</v>
      </c>
      <c r="AF11" s="35">
        <f t="shared" ca="1" si="15"/>
        <v>4.2229562219186613E-3</v>
      </c>
      <c r="AG11" s="35">
        <f t="shared" ca="1" si="16"/>
        <v>4.2229562219186613E-3</v>
      </c>
      <c r="AH11" s="35">
        <f t="shared" ca="1" si="17"/>
        <v>4.2229562219186613E-3</v>
      </c>
      <c r="AI11" s="35">
        <f t="shared" ca="1" si="18"/>
        <v>4.2229562219186613E-3</v>
      </c>
      <c r="AJ11" s="35">
        <f t="shared" ca="1" si="19"/>
        <v>4.2229562219186613E-3</v>
      </c>
      <c r="AK11" s="35">
        <f t="shared" ca="1" si="20"/>
        <v>4.2229562219186613E-3</v>
      </c>
      <c r="AM11" s="35">
        <f t="shared" ca="1" si="21"/>
        <v>4.5761406024729508E-2</v>
      </c>
    </row>
    <row r="12" spans="1:39" x14ac:dyDescent="0.3">
      <c r="A12" t="s">
        <v>17</v>
      </c>
      <c r="B12">
        <v>50</v>
      </c>
      <c r="C12">
        <v>1</v>
      </c>
      <c r="D12">
        <v>52.942</v>
      </c>
      <c r="E12">
        <v>19.571000000000002</v>
      </c>
      <c r="F12">
        <v>249</v>
      </c>
      <c r="H12" s="35" t="s">
        <v>20</v>
      </c>
      <c r="I12" s="35">
        <v>50</v>
      </c>
      <c r="J12" s="35">
        <v>1</v>
      </c>
      <c r="L12" s="35">
        <f t="shared" ca="1" si="0"/>
        <v>995.85699999999997</v>
      </c>
      <c r="M12" s="35">
        <f t="shared" ca="1" si="1"/>
        <v>993.98500000000001</v>
      </c>
      <c r="N12" s="35">
        <f t="shared" ca="1" si="2"/>
        <v>996.86500000000001</v>
      </c>
      <c r="O12" s="35">
        <f t="shared" ca="1" si="3"/>
        <v>993.46</v>
      </c>
      <c r="P12" s="35">
        <f t="shared" ca="1" si="4"/>
        <v>997.46299999999997</v>
      </c>
      <c r="Q12" s="35">
        <f t="shared" ca="1" si="5"/>
        <v>994.44600000000003</v>
      </c>
      <c r="R12" s="35">
        <f t="shared" ca="1" si="6"/>
        <v>991.57100000000003</v>
      </c>
      <c r="S12" s="35">
        <f t="shared" ca="1" si="7"/>
        <v>996.21199999999999</v>
      </c>
      <c r="T12" s="35">
        <f t="shared" ca="1" si="8"/>
        <v>996.85599999999999</v>
      </c>
      <c r="U12" s="35">
        <f t="shared" ca="1" si="9"/>
        <v>996.38</v>
      </c>
      <c r="W12" s="35">
        <f t="shared" ca="1" si="10"/>
        <v>995.30949999999996</v>
      </c>
      <c r="Y12" s="35">
        <f ca="1">Total!E12</f>
        <v>990.096</v>
      </c>
      <c r="AB12" s="35">
        <f t="shared" ca="1" si="11"/>
        <v>5.8186276886281404E-3</v>
      </c>
      <c r="AC12" s="35">
        <f t="shared" ca="1" si="12"/>
        <v>3.9279019408219101E-3</v>
      </c>
      <c r="AD12" s="35">
        <f t="shared" ca="1" si="13"/>
        <v>6.8367107836007877E-3</v>
      </c>
      <c r="AE12" s="35">
        <f t="shared" ca="1" si="14"/>
        <v>3.3976503288570326E-3</v>
      </c>
      <c r="AF12" s="35">
        <f t="shared" ca="1" si="15"/>
        <v>7.4406926197055252E-3</v>
      </c>
      <c r="AG12" s="35">
        <f t="shared" ca="1" si="16"/>
        <v>4.3935133562806265E-3</v>
      </c>
      <c r="AH12" s="35">
        <f t="shared" ca="1" si="17"/>
        <v>1.4897545288537907E-3</v>
      </c>
      <c r="AI12" s="35">
        <f t="shared" ca="1" si="18"/>
        <v>6.1771787786234723E-3</v>
      </c>
      <c r="AJ12" s="35">
        <f t="shared" ca="1" si="19"/>
        <v>6.8276207559670888E-3</v>
      </c>
      <c r="AK12" s="35">
        <f t="shared" ca="1" si="20"/>
        <v>6.3468592944522471E-3</v>
      </c>
      <c r="AM12" s="35">
        <f t="shared" ca="1" si="21"/>
        <v>5.2656510075790613E-2</v>
      </c>
    </row>
    <row r="13" spans="1:39" x14ac:dyDescent="0.3">
      <c r="A13" t="s">
        <v>17</v>
      </c>
      <c r="B13">
        <v>50</v>
      </c>
      <c r="C13">
        <v>1</v>
      </c>
      <c r="D13">
        <v>53.067</v>
      </c>
      <c r="E13">
        <v>19.591999999999999</v>
      </c>
      <c r="F13">
        <v>246</v>
      </c>
      <c r="H13" s="35" t="s">
        <v>20</v>
      </c>
      <c r="I13" s="35">
        <v>100</v>
      </c>
      <c r="J13" s="35">
        <v>1</v>
      </c>
      <c r="L13" s="35">
        <f t="shared" ca="1" si="0"/>
        <v>1755.5329999999999</v>
      </c>
      <c r="M13" s="35">
        <f t="shared" ca="1" si="1"/>
        <v>1756.2560000000001</v>
      </c>
      <c r="N13" s="35">
        <f t="shared" ca="1" si="2"/>
        <v>1754.942</v>
      </c>
      <c r="O13" s="35">
        <f t="shared" ca="1" si="3"/>
        <v>1755.9469999999999</v>
      </c>
      <c r="P13" s="35">
        <f t="shared" ca="1" si="4"/>
        <v>1756.5350000000001</v>
      </c>
      <c r="Q13" s="35">
        <f t="shared" ca="1" si="5"/>
        <v>1756.527</v>
      </c>
      <c r="R13" s="35">
        <f t="shared" ca="1" si="6"/>
        <v>1755.6220000000001</v>
      </c>
      <c r="S13" s="35">
        <f t="shared" ca="1" si="7"/>
        <v>1754.8330000000001</v>
      </c>
      <c r="T13" s="35">
        <f t="shared" ca="1" si="8"/>
        <v>1754.31</v>
      </c>
      <c r="U13" s="35">
        <f t="shared" ca="1" si="9"/>
        <v>1757.8330000000001</v>
      </c>
      <c r="W13" s="35">
        <f t="shared" ca="1" si="10"/>
        <v>1755.8337999999999</v>
      </c>
      <c r="Y13" s="35">
        <f ca="1">Total!E13</f>
        <v>1753.79</v>
      </c>
      <c r="AB13" s="35">
        <f t="shared" ca="1" si="11"/>
        <v>9.9384761003309301E-4</v>
      </c>
      <c r="AC13" s="35">
        <f t="shared" ca="1" si="12"/>
        <v>1.4060976513722407E-3</v>
      </c>
      <c r="AD13" s="35">
        <f t="shared" ca="1" si="13"/>
        <v>6.5686313640746252E-4</v>
      </c>
      <c r="AE13" s="35">
        <f t="shared" ca="1" si="14"/>
        <v>1.2299077996795087E-3</v>
      </c>
      <c r="AF13" s="35">
        <f t="shared" ca="1" si="15"/>
        <v>1.5651816922209148E-3</v>
      </c>
      <c r="AG13" s="35">
        <f t="shared" ca="1" si="16"/>
        <v>1.5606201426625081E-3</v>
      </c>
      <c r="AH13" s="35">
        <f t="shared" ca="1" si="17"/>
        <v>1.0445948488702224E-3</v>
      </c>
      <c r="AI13" s="35">
        <f t="shared" ca="1" si="18"/>
        <v>5.9471202367451066E-4</v>
      </c>
      <c r="AJ13" s="35">
        <f t="shared" ca="1" si="19"/>
        <v>2.9650072129501357E-4</v>
      </c>
      <c r="AK13" s="35">
        <f t="shared" ca="1" si="20"/>
        <v>2.3052931080688793E-3</v>
      </c>
      <c r="AM13" s="35">
        <f t="shared" ca="1" si="21"/>
        <v>1.1653618734284353E-2</v>
      </c>
    </row>
    <row r="14" spans="1:39" x14ac:dyDescent="0.3">
      <c r="A14" t="s">
        <v>17</v>
      </c>
      <c r="B14">
        <v>50</v>
      </c>
      <c r="C14">
        <v>1</v>
      </c>
      <c r="D14">
        <v>53.067999999999998</v>
      </c>
      <c r="E14">
        <v>19.579000000000001</v>
      </c>
      <c r="F14">
        <v>294</v>
      </c>
      <c r="H14" s="35" t="s">
        <v>33</v>
      </c>
      <c r="I14" s="35">
        <v>9</v>
      </c>
      <c r="J14" s="35">
        <v>1</v>
      </c>
      <c r="L14" s="35">
        <f ca="1">INDIRECT("D"&amp;1+(ROW(D13)-1)*10+COLUMN(A13)-1)</f>
        <v>8.5419999999999998</v>
      </c>
      <c r="M14" s="35">
        <f t="shared" ca="1" si="1"/>
        <v>8.5419999999999998</v>
      </c>
      <c r="N14" s="35">
        <f t="shared" ca="1" si="1"/>
        <v>8.5419999999999998</v>
      </c>
      <c r="O14" s="35">
        <f t="shared" ca="1" si="1"/>
        <v>8.5419999999999998</v>
      </c>
      <c r="P14" s="35">
        <f t="shared" ca="1" si="1"/>
        <v>8.5419999999999998</v>
      </c>
      <c r="Q14" s="35">
        <f t="shared" ca="1" si="1"/>
        <v>8.5419999999999998</v>
      </c>
      <c r="R14" s="35">
        <f t="shared" ca="1" si="1"/>
        <v>8.5419999999999998</v>
      </c>
      <c r="S14" s="35">
        <f t="shared" ca="1" si="1"/>
        <v>8.5419999999999998</v>
      </c>
      <c r="T14" s="35">
        <f t="shared" ca="1" si="1"/>
        <v>8.5419999999999998</v>
      </c>
      <c r="U14" s="35">
        <f t="shared" ca="1" si="1"/>
        <v>8.5419999999999998</v>
      </c>
      <c r="W14" s="35">
        <f t="shared" ca="1" si="10"/>
        <v>8.5419999999999998</v>
      </c>
      <c r="Y14" s="35">
        <f ca="1">Total!E14</f>
        <v>8.5419999999999998</v>
      </c>
      <c r="AB14" s="35">
        <f t="shared" ca="1" si="11"/>
        <v>0</v>
      </c>
      <c r="AC14" s="35">
        <f t="shared" ca="1" si="12"/>
        <v>0</v>
      </c>
      <c r="AD14" s="35">
        <f t="shared" ca="1" si="13"/>
        <v>0</v>
      </c>
      <c r="AE14" s="35">
        <f t="shared" ca="1" si="14"/>
        <v>0</v>
      </c>
      <c r="AF14" s="35">
        <f t="shared" ca="1" si="15"/>
        <v>0</v>
      </c>
      <c r="AG14" s="35">
        <f t="shared" ca="1" si="16"/>
        <v>0</v>
      </c>
      <c r="AH14" s="35">
        <f t="shared" ca="1" si="17"/>
        <v>0</v>
      </c>
      <c r="AI14" s="35">
        <f t="shared" ca="1" si="18"/>
        <v>0</v>
      </c>
      <c r="AJ14" s="35">
        <f t="shared" ca="1" si="19"/>
        <v>0</v>
      </c>
      <c r="AK14" s="35">
        <f t="shared" ca="1" si="20"/>
        <v>0</v>
      </c>
      <c r="AM14" s="35">
        <f t="shared" ca="1" si="21"/>
        <v>0</v>
      </c>
    </row>
    <row r="15" spans="1:39" x14ac:dyDescent="0.3">
      <c r="A15" t="s">
        <v>17</v>
      </c>
      <c r="B15">
        <v>50</v>
      </c>
      <c r="C15">
        <v>1</v>
      </c>
      <c r="D15">
        <v>53.084000000000003</v>
      </c>
      <c r="E15">
        <v>19.565999999999999</v>
      </c>
      <c r="F15">
        <v>336</v>
      </c>
      <c r="H15" s="35" t="s">
        <v>33</v>
      </c>
      <c r="I15" s="35">
        <v>209</v>
      </c>
      <c r="J15" s="35">
        <v>1</v>
      </c>
      <c r="L15" s="35">
        <f ca="1">INDIRECT("D"&amp;1+(ROW(D14)-1)*10+COLUMN(A14)-1)</f>
        <v>76.600999999999999</v>
      </c>
      <c r="M15" s="35">
        <f t="shared" ca="1" si="1"/>
        <v>76.831000000000003</v>
      </c>
      <c r="N15" s="35">
        <f t="shared" ca="1" si="1"/>
        <v>76.274000000000001</v>
      </c>
      <c r="O15" s="35">
        <f t="shared" ca="1" si="1"/>
        <v>76.415000000000006</v>
      </c>
      <c r="P15" s="35">
        <f t="shared" ca="1" si="1"/>
        <v>76.36</v>
      </c>
      <c r="Q15" s="35">
        <f t="shared" ca="1" si="1"/>
        <v>76.408000000000001</v>
      </c>
      <c r="R15" s="35">
        <f t="shared" ca="1" si="1"/>
        <v>76.801000000000002</v>
      </c>
      <c r="S15" s="35">
        <f t="shared" ca="1" si="1"/>
        <v>76.962000000000003</v>
      </c>
      <c r="T15" s="35">
        <f t="shared" ca="1" si="1"/>
        <v>76.896000000000001</v>
      </c>
      <c r="U15" s="35">
        <f t="shared" ca="1" si="1"/>
        <v>76.394999999999996</v>
      </c>
      <c r="W15" s="35">
        <f t="shared" ca="1" si="10"/>
        <v>76.594300000000004</v>
      </c>
      <c r="Y15" s="35">
        <f ca="1">Total!E15</f>
        <v>75.998000000000005</v>
      </c>
      <c r="AB15" s="35">
        <f t="shared" ca="1" si="11"/>
        <v>7.9344193268243157E-3</v>
      </c>
      <c r="AC15" s="35">
        <f t="shared" ca="1" si="12"/>
        <v>1.0960814758283092E-2</v>
      </c>
      <c r="AD15" s="35">
        <f t="shared" ca="1" si="13"/>
        <v>3.6316745177504177E-3</v>
      </c>
      <c r="AE15" s="35">
        <f t="shared" ca="1" si="14"/>
        <v>5.4869864996447484E-3</v>
      </c>
      <c r="AF15" s="35">
        <f t="shared" ca="1" si="15"/>
        <v>4.7632832442958337E-3</v>
      </c>
      <c r="AG15" s="35">
        <f t="shared" ca="1" si="16"/>
        <v>5.3948788126002862E-3</v>
      </c>
      <c r="AH15" s="35">
        <f t="shared" ca="1" si="17"/>
        <v>1.0566067528092807E-2</v>
      </c>
      <c r="AI15" s="35">
        <f t="shared" ca="1" si="18"/>
        <v>1.2684544330113932E-2</v>
      </c>
      <c r="AJ15" s="35">
        <f t="shared" ca="1" si="19"/>
        <v>1.1816100423695309E-2</v>
      </c>
      <c r="AK15" s="35">
        <f t="shared" ca="1" si="20"/>
        <v>5.2238216795177685E-3</v>
      </c>
      <c r="AM15" s="35">
        <f t="shared" ca="1" si="21"/>
        <v>7.8462591120818506E-2</v>
      </c>
    </row>
    <row r="16" spans="1:39" x14ac:dyDescent="0.3">
      <c r="A16" t="s">
        <v>17</v>
      </c>
      <c r="B16">
        <v>50</v>
      </c>
      <c r="C16">
        <v>1</v>
      </c>
      <c r="D16">
        <v>53.121000000000002</v>
      </c>
      <c r="E16">
        <v>19.577999999999999</v>
      </c>
      <c r="F16">
        <v>348</v>
      </c>
      <c r="H16" s="35" t="s">
        <v>33</v>
      </c>
      <c r="I16" s="35">
        <v>324</v>
      </c>
      <c r="J16" s="35">
        <v>1</v>
      </c>
      <c r="L16" s="35">
        <f t="shared" ref="L16:U19" ca="1" si="22">INDIRECT("D"&amp;1+(ROW(D15)-1)*10+COLUMN(A15)-1)</f>
        <v>118.84</v>
      </c>
      <c r="M16" s="35">
        <f t="shared" ca="1" si="1"/>
        <v>118.877</v>
      </c>
      <c r="N16" s="35">
        <f t="shared" ca="1" si="1"/>
        <v>118.913</v>
      </c>
      <c r="O16" s="35">
        <f t="shared" ca="1" si="1"/>
        <v>118.845</v>
      </c>
      <c r="P16" s="35">
        <f t="shared" ca="1" si="1"/>
        <v>118.742</v>
      </c>
      <c r="Q16" s="35">
        <f t="shared" ca="1" si="1"/>
        <v>118.798</v>
      </c>
      <c r="R16" s="35">
        <f t="shared" ca="1" si="1"/>
        <v>119.169</v>
      </c>
      <c r="S16" s="35">
        <f t="shared" ca="1" si="1"/>
        <v>119.04</v>
      </c>
      <c r="T16" s="35">
        <f t="shared" ca="1" si="1"/>
        <v>119.16500000000001</v>
      </c>
      <c r="U16" s="35">
        <f t="shared" ca="1" si="1"/>
        <v>118.69499999999999</v>
      </c>
      <c r="W16" s="35">
        <f t="shared" ca="1" si="10"/>
        <v>118.90839999999999</v>
      </c>
      <c r="Y16" s="35">
        <f ca="1">Total!E16</f>
        <v>118.01</v>
      </c>
      <c r="AB16" s="35">
        <f t="shared" ca="1" si="11"/>
        <v>7.0333022625201106E-3</v>
      </c>
      <c r="AC16" s="35">
        <f t="shared" ca="1" si="12"/>
        <v>7.3468350139817831E-3</v>
      </c>
      <c r="AD16" s="35">
        <f t="shared" ca="1" si="13"/>
        <v>7.6518939072959206E-3</v>
      </c>
      <c r="AE16" s="35">
        <f t="shared" ca="1" si="14"/>
        <v>7.0756715532581454E-3</v>
      </c>
      <c r="AF16" s="35">
        <f t="shared" ca="1" si="15"/>
        <v>6.2028641640538874E-3</v>
      </c>
      <c r="AG16" s="35">
        <f t="shared" ca="1" si="16"/>
        <v>6.6774002203202837E-3</v>
      </c>
      <c r="AH16" s="35">
        <f t="shared" ca="1" si="17"/>
        <v>9.8212015930852613E-3</v>
      </c>
      <c r="AI16" s="35">
        <f t="shared" ca="1" si="18"/>
        <v>8.7280738920430569E-3</v>
      </c>
      <c r="AJ16" s="35">
        <f t="shared" ca="1" si="19"/>
        <v>9.7873061604948821E-3</v>
      </c>
      <c r="AK16" s="35">
        <f t="shared" ca="1" si="20"/>
        <v>5.804592831115906E-3</v>
      </c>
      <c r="AM16" s="35">
        <f t="shared" ca="1" si="21"/>
        <v>7.6129141598169234E-2</v>
      </c>
    </row>
    <row r="17" spans="1:39" x14ac:dyDescent="0.3">
      <c r="A17" t="s">
        <v>17</v>
      </c>
      <c r="B17">
        <v>50</v>
      </c>
      <c r="C17">
        <v>1</v>
      </c>
      <c r="D17">
        <v>53.017000000000003</v>
      </c>
      <c r="E17">
        <v>19.577000000000002</v>
      </c>
      <c r="F17">
        <v>271</v>
      </c>
      <c r="H17" s="35" t="s">
        <v>34</v>
      </c>
      <c r="I17" s="35">
        <v>40</v>
      </c>
      <c r="J17" s="35">
        <v>1</v>
      </c>
      <c r="L17" s="35">
        <f t="shared" ca="1" si="22"/>
        <v>16.774999999999999</v>
      </c>
      <c r="M17" s="35">
        <f t="shared" ca="1" si="1"/>
        <v>16.792999999999999</v>
      </c>
      <c r="N17" s="35">
        <f t="shared" ca="1" si="1"/>
        <v>16.667999999999999</v>
      </c>
      <c r="O17" s="35">
        <f t="shared" ca="1" si="1"/>
        <v>16.596</v>
      </c>
      <c r="P17" s="35">
        <f t="shared" ca="1" si="1"/>
        <v>16.748000000000001</v>
      </c>
      <c r="Q17" s="35">
        <f t="shared" ca="1" si="1"/>
        <v>16.757000000000001</v>
      </c>
      <c r="R17" s="35">
        <f t="shared" ca="1" si="1"/>
        <v>16.693999999999999</v>
      </c>
      <c r="S17" s="35">
        <f t="shared" ca="1" si="1"/>
        <v>16.704999999999998</v>
      </c>
      <c r="T17" s="35">
        <f t="shared" ca="1" si="1"/>
        <v>16.596</v>
      </c>
      <c r="U17" s="35">
        <f t="shared" ca="1" si="1"/>
        <v>17.024999999999999</v>
      </c>
      <c r="W17" s="35">
        <f t="shared" ca="1" si="10"/>
        <v>16.735700000000001</v>
      </c>
      <c r="Y17" s="35">
        <f ca="1">Total!E17</f>
        <v>16.481999999999999</v>
      </c>
      <c r="AB17" s="35">
        <f t="shared" ca="1" si="11"/>
        <v>1.7776968814464219E-2</v>
      </c>
      <c r="AC17" s="35">
        <f t="shared" ca="1" si="12"/>
        <v>1.8869069287707801E-2</v>
      </c>
      <c r="AD17" s="35">
        <f t="shared" ca="1" si="13"/>
        <v>1.128503822351656E-2</v>
      </c>
      <c r="AE17" s="35">
        <f t="shared" ca="1" si="14"/>
        <v>6.9166363305424566E-3</v>
      </c>
      <c r="AF17" s="35">
        <f t="shared" ca="1" si="15"/>
        <v>1.6138818104599065E-2</v>
      </c>
      <c r="AG17" s="35">
        <f t="shared" ca="1" si="16"/>
        <v>1.6684868341220856E-2</v>
      </c>
      <c r="AH17" s="35">
        <f t="shared" ca="1" si="17"/>
        <v>1.2862516684868326E-2</v>
      </c>
      <c r="AI17" s="35">
        <f t="shared" ca="1" si="18"/>
        <v>1.3529911418517108E-2</v>
      </c>
      <c r="AJ17" s="35">
        <f t="shared" ca="1" si="19"/>
        <v>6.9166363305424566E-3</v>
      </c>
      <c r="AK17" s="35">
        <f t="shared" ca="1" si="20"/>
        <v>3.2945030942846697E-2</v>
      </c>
      <c r="AM17" s="35">
        <f t="shared" ca="1" si="21"/>
        <v>0.15392549447882556</v>
      </c>
    </row>
    <row r="18" spans="1:39" x14ac:dyDescent="0.3">
      <c r="A18" t="s">
        <v>17</v>
      </c>
      <c r="B18">
        <v>50</v>
      </c>
      <c r="C18">
        <v>1</v>
      </c>
      <c r="D18">
        <v>53.076999999999998</v>
      </c>
      <c r="E18">
        <v>19.629000000000001</v>
      </c>
      <c r="F18">
        <v>245</v>
      </c>
      <c r="H18" s="35" t="s">
        <v>34</v>
      </c>
      <c r="I18" s="35">
        <v>96</v>
      </c>
      <c r="J18" s="35">
        <v>1</v>
      </c>
      <c r="L18" s="35">
        <f t="shared" ca="1" si="22"/>
        <v>35.14</v>
      </c>
      <c r="M18" s="35">
        <f t="shared" ca="1" si="22"/>
        <v>35.134999999999998</v>
      </c>
      <c r="N18" s="35">
        <f t="shared" ca="1" si="22"/>
        <v>35.210999999999999</v>
      </c>
      <c r="O18" s="35">
        <f t="shared" ca="1" si="22"/>
        <v>35.268999999999998</v>
      </c>
      <c r="P18" s="35">
        <f t="shared" ca="1" si="22"/>
        <v>35.168999999999997</v>
      </c>
      <c r="Q18" s="35">
        <f t="shared" ca="1" si="22"/>
        <v>35.167000000000002</v>
      </c>
      <c r="R18" s="35">
        <f t="shared" ca="1" si="22"/>
        <v>35.118000000000002</v>
      </c>
      <c r="S18" s="35">
        <f t="shared" ca="1" si="22"/>
        <v>35.167999999999999</v>
      </c>
      <c r="T18" s="35">
        <f t="shared" ca="1" si="22"/>
        <v>35.155999999999999</v>
      </c>
      <c r="U18" s="35">
        <f t="shared" ca="1" si="22"/>
        <v>35.194000000000003</v>
      </c>
      <c r="W18" s="35">
        <f t="shared" ca="1" si="10"/>
        <v>35.172699999999999</v>
      </c>
      <c r="Y18" s="35">
        <f ca="1">Total!E18</f>
        <v>35.069000000000003</v>
      </c>
      <c r="AB18" s="35">
        <f t="shared" ca="1" si="11"/>
        <v>2.0245801134904885E-3</v>
      </c>
      <c r="AC18" s="35">
        <f t="shared" ca="1" si="12"/>
        <v>1.8820040491600955E-3</v>
      </c>
      <c r="AD18" s="35">
        <f t="shared" ca="1" si="13"/>
        <v>4.049160226980977E-3</v>
      </c>
      <c r="AE18" s="35">
        <f t="shared" ca="1" si="14"/>
        <v>5.7030425732126867E-3</v>
      </c>
      <c r="AF18" s="35">
        <f t="shared" ca="1" si="15"/>
        <v>2.8515212866062423E-3</v>
      </c>
      <c r="AG18" s="35">
        <f t="shared" ca="1" si="16"/>
        <v>2.7944908608742471E-3</v>
      </c>
      <c r="AH18" s="35">
        <f t="shared" ca="1" si="17"/>
        <v>1.3972454304371235E-3</v>
      </c>
      <c r="AI18" s="35">
        <f t="shared" ca="1" si="18"/>
        <v>2.8230060737402447E-3</v>
      </c>
      <c r="AJ18" s="35">
        <f t="shared" ca="1" si="19"/>
        <v>2.4808235193474631E-3</v>
      </c>
      <c r="AK18" s="35">
        <f t="shared" ca="1" si="20"/>
        <v>3.5644016082580052E-3</v>
      </c>
      <c r="AM18" s="35">
        <f t="shared" ca="1" si="21"/>
        <v>2.9570275742107577E-2</v>
      </c>
    </row>
    <row r="19" spans="1:39" x14ac:dyDescent="0.3">
      <c r="A19" t="s">
        <v>17</v>
      </c>
      <c r="B19">
        <v>50</v>
      </c>
      <c r="C19">
        <v>1</v>
      </c>
      <c r="D19">
        <v>53.067</v>
      </c>
      <c r="E19">
        <v>19.562000000000001</v>
      </c>
      <c r="F19">
        <v>250</v>
      </c>
      <c r="H19" s="35" t="s">
        <v>34</v>
      </c>
      <c r="I19" s="35">
        <v>224</v>
      </c>
      <c r="J19" s="35">
        <v>1</v>
      </c>
      <c r="L19" s="35">
        <f t="shared" ca="1" si="22"/>
        <v>71.912000000000006</v>
      </c>
      <c r="M19" s="35">
        <f t="shared" ca="1" si="22"/>
        <v>71.930000000000007</v>
      </c>
      <c r="N19" s="35">
        <f t="shared" ca="1" si="22"/>
        <v>71.933000000000007</v>
      </c>
      <c r="O19" s="35">
        <f t="shared" ca="1" si="22"/>
        <v>71.912999999999997</v>
      </c>
      <c r="P19" s="35">
        <f t="shared" ca="1" si="22"/>
        <v>71.91</v>
      </c>
      <c r="Q19" s="35">
        <f t="shared" ca="1" si="22"/>
        <v>71.924000000000007</v>
      </c>
      <c r="R19" s="35">
        <f t="shared" ca="1" si="22"/>
        <v>71.915000000000006</v>
      </c>
      <c r="S19" s="35">
        <f t="shared" ca="1" si="22"/>
        <v>71.91</v>
      </c>
      <c r="T19" s="35">
        <f t="shared" ca="1" si="22"/>
        <v>71.951999999999998</v>
      </c>
      <c r="U19" s="35">
        <f t="shared" ca="1" si="22"/>
        <v>71.912000000000006</v>
      </c>
      <c r="W19" s="35">
        <f t="shared" ca="1" si="10"/>
        <v>71.92110000000001</v>
      </c>
      <c r="Y19" s="35">
        <f ca="1">Total!E19</f>
        <v>71.908000000000001</v>
      </c>
      <c r="AB19" s="35">
        <f t="shared" ca="1" si="11"/>
        <v>5.5626634032442683E-5</v>
      </c>
      <c r="AC19" s="35">
        <f t="shared" ca="1" si="12"/>
        <v>3.059464871781383E-4</v>
      </c>
      <c r="AD19" s="35">
        <f t="shared" ca="1" si="13"/>
        <v>3.4766646270242092E-4</v>
      </c>
      <c r="AE19" s="35">
        <f t="shared" ca="1" si="14"/>
        <v>6.9533292540405135E-5</v>
      </c>
      <c r="AF19" s="35">
        <f t="shared" ca="1" si="15"/>
        <v>2.781331701612253E-5</v>
      </c>
      <c r="AG19" s="35">
        <f t="shared" ca="1" si="16"/>
        <v>2.2250653612957311E-4</v>
      </c>
      <c r="AH19" s="35">
        <f t="shared" ca="1" si="17"/>
        <v>9.7346609556725285E-5</v>
      </c>
      <c r="AI19" s="35">
        <f t="shared" ca="1" si="18"/>
        <v>2.781331701612253E-5</v>
      </c>
      <c r="AJ19" s="35">
        <f t="shared" ca="1" si="19"/>
        <v>6.1189297435607906E-4</v>
      </c>
      <c r="AK19" s="35">
        <f t="shared" ca="1" si="20"/>
        <v>5.5626634032442683E-5</v>
      </c>
      <c r="AM19" s="35">
        <f t="shared" ca="1" si="21"/>
        <v>1.8217722645604724E-3</v>
      </c>
    </row>
    <row r="20" spans="1:39" x14ac:dyDescent="0.3">
      <c r="A20" t="s">
        <v>17</v>
      </c>
      <c r="B20">
        <v>50</v>
      </c>
      <c r="C20">
        <v>1</v>
      </c>
      <c r="D20">
        <v>53.017000000000003</v>
      </c>
      <c r="E20">
        <v>19.565999999999999</v>
      </c>
      <c r="F20">
        <v>244</v>
      </c>
    </row>
    <row r="21" spans="1:39" x14ac:dyDescent="0.3">
      <c r="A21" t="s">
        <v>17</v>
      </c>
      <c r="B21">
        <v>100</v>
      </c>
      <c r="C21">
        <v>1</v>
      </c>
      <c r="D21">
        <v>103.26900000000001</v>
      </c>
      <c r="E21">
        <v>102.113</v>
      </c>
      <c r="F21">
        <v>388</v>
      </c>
    </row>
    <row r="22" spans="1:39" x14ac:dyDescent="0.3">
      <c r="A22" t="s">
        <v>17</v>
      </c>
      <c r="B22">
        <v>100</v>
      </c>
      <c r="C22">
        <v>1</v>
      </c>
      <c r="D22">
        <v>103.60299999999999</v>
      </c>
      <c r="E22">
        <v>102.093</v>
      </c>
      <c r="F22">
        <v>383</v>
      </c>
    </row>
    <row r="23" spans="1:39" x14ac:dyDescent="0.3">
      <c r="A23" t="s">
        <v>17</v>
      </c>
      <c r="B23">
        <v>100</v>
      </c>
      <c r="C23">
        <v>1</v>
      </c>
      <c r="D23">
        <v>103.303</v>
      </c>
      <c r="E23">
        <v>102.175</v>
      </c>
      <c r="F23">
        <v>384</v>
      </c>
    </row>
    <row r="24" spans="1:39" x14ac:dyDescent="0.3">
      <c r="A24" t="s">
        <v>17</v>
      </c>
      <c r="B24">
        <v>100</v>
      </c>
      <c r="C24">
        <v>1</v>
      </c>
      <c r="D24">
        <v>103.208</v>
      </c>
      <c r="E24">
        <v>102.124</v>
      </c>
      <c r="F24">
        <v>389</v>
      </c>
    </row>
    <row r="25" spans="1:39" x14ac:dyDescent="0.3">
      <c r="A25" t="s">
        <v>17</v>
      </c>
      <c r="B25">
        <v>100</v>
      </c>
      <c r="C25">
        <v>1</v>
      </c>
      <c r="D25">
        <v>103.26600000000001</v>
      </c>
      <c r="E25">
        <v>102.02200000000001</v>
      </c>
      <c r="F25">
        <v>380</v>
      </c>
    </row>
    <row r="26" spans="1:39" x14ac:dyDescent="0.3">
      <c r="A26" t="s">
        <v>17</v>
      </c>
      <c r="B26">
        <v>100</v>
      </c>
      <c r="C26">
        <v>1</v>
      </c>
      <c r="D26">
        <v>103.262</v>
      </c>
      <c r="E26">
        <v>102.172</v>
      </c>
      <c r="F26">
        <v>385</v>
      </c>
    </row>
    <row r="27" spans="1:39" x14ac:dyDescent="0.3">
      <c r="A27" t="s">
        <v>17</v>
      </c>
      <c r="B27">
        <v>100</v>
      </c>
      <c r="C27">
        <v>1</v>
      </c>
      <c r="D27">
        <v>103.252</v>
      </c>
      <c r="E27">
        <v>102.098</v>
      </c>
      <c r="F27">
        <v>442</v>
      </c>
    </row>
    <row r="28" spans="1:39" x14ac:dyDescent="0.3">
      <c r="A28" t="s">
        <v>17</v>
      </c>
      <c r="B28">
        <v>100</v>
      </c>
      <c r="C28">
        <v>1</v>
      </c>
      <c r="D28">
        <v>103.322</v>
      </c>
      <c r="E28">
        <v>102.21</v>
      </c>
      <c r="F28">
        <v>429</v>
      </c>
    </row>
    <row r="29" spans="1:39" x14ac:dyDescent="0.3">
      <c r="A29" t="s">
        <v>17</v>
      </c>
      <c r="B29">
        <v>100</v>
      </c>
      <c r="C29">
        <v>1</v>
      </c>
      <c r="D29">
        <v>103.27800000000001</v>
      </c>
      <c r="E29">
        <v>102.19799999999999</v>
      </c>
      <c r="F29">
        <v>426</v>
      </c>
    </row>
    <row r="30" spans="1:39" x14ac:dyDescent="0.3">
      <c r="A30" t="s">
        <v>17</v>
      </c>
      <c r="B30">
        <v>100</v>
      </c>
      <c r="C30">
        <v>1</v>
      </c>
      <c r="D30">
        <v>103.27</v>
      </c>
      <c r="E30">
        <v>102.05800000000001</v>
      </c>
      <c r="F30">
        <v>384</v>
      </c>
    </row>
    <row r="31" spans="1:39" x14ac:dyDescent="0.3">
      <c r="A31" t="s">
        <v>18</v>
      </c>
      <c r="B31">
        <v>30</v>
      </c>
      <c r="C31">
        <v>1</v>
      </c>
      <c r="D31">
        <v>156.12700000000001</v>
      </c>
      <c r="E31">
        <v>8.0129999999999999</v>
      </c>
      <c r="F31">
        <v>214</v>
      </c>
    </row>
    <row r="32" spans="1:39" x14ac:dyDescent="0.3">
      <c r="A32" t="s">
        <v>18</v>
      </c>
      <c r="B32">
        <v>30</v>
      </c>
      <c r="C32">
        <v>1</v>
      </c>
      <c r="D32">
        <v>156.12700000000001</v>
      </c>
      <c r="E32">
        <v>8.0020000000000007</v>
      </c>
      <c r="F32">
        <v>224</v>
      </c>
    </row>
    <row r="33" spans="1:6" x14ac:dyDescent="0.3">
      <c r="A33" t="s">
        <v>18</v>
      </c>
      <c r="B33">
        <v>30</v>
      </c>
      <c r="C33">
        <v>1</v>
      </c>
      <c r="D33">
        <v>156.12700000000001</v>
      </c>
      <c r="E33">
        <v>7.9989999999999997</v>
      </c>
      <c r="F33">
        <v>221</v>
      </c>
    </row>
    <row r="34" spans="1:6" x14ac:dyDescent="0.3">
      <c r="A34" t="s">
        <v>18</v>
      </c>
      <c r="B34">
        <v>30</v>
      </c>
      <c r="C34">
        <v>1</v>
      </c>
      <c r="D34">
        <v>156.12700000000001</v>
      </c>
      <c r="E34">
        <v>8.02</v>
      </c>
      <c r="F34">
        <v>232</v>
      </c>
    </row>
    <row r="35" spans="1:6" x14ac:dyDescent="0.3">
      <c r="A35" t="s">
        <v>18</v>
      </c>
      <c r="B35">
        <v>30</v>
      </c>
      <c r="C35">
        <v>1</v>
      </c>
      <c r="D35">
        <v>156.12700000000001</v>
      </c>
      <c r="E35">
        <v>8.0459999999999994</v>
      </c>
      <c r="F35">
        <v>229</v>
      </c>
    </row>
    <row r="36" spans="1:6" x14ac:dyDescent="0.3">
      <c r="A36" t="s">
        <v>18</v>
      </c>
      <c r="B36">
        <v>30</v>
      </c>
      <c r="C36">
        <v>1</v>
      </c>
      <c r="D36">
        <v>156.12700000000001</v>
      </c>
      <c r="E36">
        <v>8.0109999999999992</v>
      </c>
      <c r="F36">
        <v>229</v>
      </c>
    </row>
    <row r="37" spans="1:6" x14ac:dyDescent="0.3">
      <c r="A37" t="s">
        <v>18</v>
      </c>
      <c r="B37">
        <v>30</v>
      </c>
      <c r="C37">
        <v>1</v>
      </c>
      <c r="D37">
        <v>156.12700000000001</v>
      </c>
      <c r="E37">
        <v>8.0269999999999992</v>
      </c>
      <c r="F37">
        <v>215</v>
      </c>
    </row>
    <row r="38" spans="1:6" x14ac:dyDescent="0.3">
      <c r="A38" t="s">
        <v>18</v>
      </c>
      <c r="B38">
        <v>30</v>
      </c>
      <c r="C38">
        <v>1</v>
      </c>
      <c r="D38">
        <v>156.12700000000001</v>
      </c>
      <c r="E38">
        <v>8.0030000000000001</v>
      </c>
      <c r="F38">
        <v>223</v>
      </c>
    </row>
    <row r="39" spans="1:6" x14ac:dyDescent="0.3">
      <c r="A39" t="s">
        <v>18</v>
      </c>
      <c r="B39">
        <v>30</v>
      </c>
      <c r="C39">
        <v>1</v>
      </c>
      <c r="D39">
        <v>156.12700000000001</v>
      </c>
      <c r="E39">
        <v>7.9989999999999997</v>
      </c>
      <c r="F39">
        <v>235</v>
      </c>
    </row>
    <row r="40" spans="1:6" x14ac:dyDescent="0.3">
      <c r="A40" t="s">
        <v>18</v>
      </c>
      <c r="B40">
        <v>30</v>
      </c>
      <c r="C40">
        <v>1</v>
      </c>
      <c r="D40">
        <v>156.12700000000001</v>
      </c>
      <c r="E40">
        <v>8.0139999999999993</v>
      </c>
      <c r="F40">
        <v>213</v>
      </c>
    </row>
    <row r="41" spans="1:6" x14ac:dyDescent="0.3">
      <c r="A41" t="s">
        <v>18</v>
      </c>
      <c r="B41">
        <v>50</v>
      </c>
      <c r="C41">
        <v>1</v>
      </c>
      <c r="D41">
        <v>181.40799999999999</v>
      </c>
      <c r="E41">
        <v>22.42</v>
      </c>
      <c r="F41">
        <v>250</v>
      </c>
    </row>
    <row r="42" spans="1:6" x14ac:dyDescent="0.3">
      <c r="A42" t="s">
        <v>18</v>
      </c>
      <c r="B42">
        <v>50</v>
      </c>
      <c r="C42">
        <v>1</v>
      </c>
      <c r="D42">
        <v>181.89</v>
      </c>
      <c r="E42">
        <v>22.466000000000001</v>
      </c>
      <c r="F42">
        <v>249</v>
      </c>
    </row>
    <row r="43" spans="1:6" x14ac:dyDescent="0.3">
      <c r="A43" t="s">
        <v>18</v>
      </c>
      <c r="B43">
        <v>50</v>
      </c>
      <c r="C43">
        <v>1</v>
      </c>
      <c r="D43">
        <v>181.59700000000001</v>
      </c>
      <c r="E43">
        <v>22.436</v>
      </c>
      <c r="F43">
        <v>248</v>
      </c>
    </row>
    <row r="44" spans="1:6" x14ac:dyDescent="0.3">
      <c r="A44" t="s">
        <v>18</v>
      </c>
      <c r="B44">
        <v>50</v>
      </c>
      <c r="C44">
        <v>1</v>
      </c>
      <c r="D44">
        <v>180.77099999999999</v>
      </c>
      <c r="E44">
        <v>22.414000000000001</v>
      </c>
      <c r="F44">
        <v>247</v>
      </c>
    </row>
    <row r="45" spans="1:6" x14ac:dyDescent="0.3">
      <c r="A45" t="s">
        <v>18</v>
      </c>
      <c r="B45">
        <v>50</v>
      </c>
      <c r="C45">
        <v>1</v>
      </c>
      <c r="D45">
        <v>180.685</v>
      </c>
      <c r="E45">
        <v>22.401</v>
      </c>
      <c r="F45">
        <v>246</v>
      </c>
    </row>
    <row r="46" spans="1:6" x14ac:dyDescent="0.3">
      <c r="A46" t="s">
        <v>18</v>
      </c>
      <c r="B46">
        <v>50</v>
      </c>
      <c r="C46">
        <v>1</v>
      </c>
      <c r="D46">
        <v>180.45500000000001</v>
      </c>
      <c r="E46">
        <v>22.452999999999999</v>
      </c>
      <c r="F46">
        <v>250</v>
      </c>
    </row>
    <row r="47" spans="1:6" x14ac:dyDescent="0.3">
      <c r="A47" t="s">
        <v>18</v>
      </c>
      <c r="B47">
        <v>50</v>
      </c>
      <c r="C47">
        <v>1</v>
      </c>
      <c r="D47">
        <v>180.62100000000001</v>
      </c>
      <c r="E47">
        <v>22.413</v>
      </c>
      <c r="F47">
        <v>249</v>
      </c>
    </row>
    <row r="48" spans="1:6" x14ac:dyDescent="0.3">
      <c r="A48" t="s">
        <v>18</v>
      </c>
      <c r="B48">
        <v>50</v>
      </c>
      <c r="C48">
        <v>1</v>
      </c>
      <c r="D48">
        <v>181.71299999999999</v>
      </c>
      <c r="E48">
        <v>22.425000000000001</v>
      </c>
      <c r="F48">
        <v>246</v>
      </c>
    </row>
    <row r="49" spans="1:6" x14ac:dyDescent="0.3">
      <c r="A49" t="s">
        <v>18</v>
      </c>
      <c r="B49">
        <v>50</v>
      </c>
      <c r="C49">
        <v>1</v>
      </c>
      <c r="D49">
        <v>179.93799999999999</v>
      </c>
      <c r="E49">
        <v>22.457999999999998</v>
      </c>
      <c r="F49">
        <v>252</v>
      </c>
    </row>
    <row r="50" spans="1:6" x14ac:dyDescent="0.3">
      <c r="A50" t="s">
        <v>18</v>
      </c>
      <c r="B50">
        <v>50</v>
      </c>
      <c r="C50">
        <v>1</v>
      </c>
      <c r="D50">
        <v>181.59700000000001</v>
      </c>
      <c r="E50">
        <v>22.405999999999999</v>
      </c>
      <c r="F50">
        <v>251</v>
      </c>
    </row>
    <row r="51" spans="1:6" x14ac:dyDescent="0.3">
      <c r="A51" t="s">
        <v>18</v>
      </c>
      <c r="B51">
        <v>100</v>
      </c>
      <c r="C51">
        <v>1</v>
      </c>
      <c r="D51">
        <v>239.25399999999999</v>
      </c>
      <c r="E51">
        <v>138.60900000000001</v>
      </c>
      <c r="F51">
        <v>486</v>
      </c>
    </row>
    <row r="52" spans="1:6" x14ac:dyDescent="0.3">
      <c r="A52" t="s">
        <v>18</v>
      </c>
      <c r="B52">
        <v>100</v>
      </c>
      <c r="C52">
        <v>1</v>
      </c>
      <c r="D52">
        <v>239.58</v>
      </c>
      <c r="E52">
        <v>138.697</v>
      </c>
      <c r="F52">
        <v>440</v>
      </c>
    </row>
    <row r="53" spans="1:6" x14ac:dyDescent="0.3">
      <c r="A53" t="s">
        <v>18</v>
      </c>
      <c r="B53">
        <v>100</v>
      </c>
      <c r="C53">
        <v>1</v>
      </c>
      <c r="D53">
        <v>239.24700000000001</v>
      </c>
      <c r="E53">
        <v>138.703</v>
      </c>
      <c r="F53">
        <v>442</v>
      </c>
    </row>
    <row r="54" spans="1:6" x14ac:dyDescent="0.3">
      <c r="A54" t="s">
        <v>18</v>
      </c>
      <c r="B54">
        <v>100</v>
      </c>
      <c r="C54">
        <v>1</v>
      </c>
      <c r="D54">
        <v>239.22</v>
      </c>
      <c r="E54">
        <v>138.69900000000001</v>
      </c>
      <c r="F54">
        <v>441</v>
      </c>
    </row>
    <row r="55" spans="1:6" x14ac:dyDescent="0.3">
      <c r="A55" t="s">
        <v>18</v>
      </c>
      <c r="B55">
        <v>100</v>
      </c>
      <c r="C55">
        <v>1</v>
      </c>
      <c r="D55">
        <v>239.29400000000001</v>
      </c>
      <c r="E55">
        <v>138.536</v>
      </c>
      <c r="F55">
        <v>434</v>
      </c>
    </row>
    <row r="56" spans="1:6" x14ac:dyDescent="0.3">
      <c r="A56" t="s">
        <v>18</v>
      </c>
      <c r="B56">
        <v>100</v>
      </c>
      <c r="C56">
        <v>1</v>
      </c>
      <c r="D56">
        <v>240.58199999999999</v>
      </c>
      <c r="E56">
        <v>138.68199999999999</v>
      </c>
      <c r="F56">
        <v>460</v>
      </c>
    </row>
    <row r="57" spans="1:6" x14ac:dyDescent="0.3">
      <c r="A57" t="s">
        <v>18</v>
      </c>
      <c r="B57">
        <v>100</v>
      </c>
      <c r="C57">
        <v>1</v>
      </c>
      <c r="D57">
        <v>240.68</v>
      </c>
      <c r="E57">
        <v>138.67099999999999</v>
      </c>
      <c r="F57">
        <v>485</v>
      </c>
    </row>
    <row r="58" spans="1:6" x14ac:dyDescent="0.3">
      <c r="A58" t="s">
        <v>18</v>
      </c>
      <c r="B58">
        <v>100</v>
      </c>
      <c r="C58">
        <v>1</v>
      </c>
      <c r="D58">
        <v>239.62100000000001</v>
      </c>
      <c r="E58">
        <v>138.52199999999999</v>
      </c>
      <c r="F58">
        <v>456</v>
      </c>
    </row>
    <row r="59" spans="1:6" x14ac:dyDescent="0.3">
      <c r="A59" t="s">
        <v>18</v>
      </c>
      <c r="B59">
        <v>100</v>
      </c>
      <c r="C59">
        <v>1</v>
      </c>
      <c r="D59">
        <v>239.18</v>
      </c>
      <c r="E59">
        <v>138.61099999999999</v>
      </c>
      <c r="F59">
        <v>441</v>
      </c>
    </row>
    <row r="60" spans="1:6" x14ac:dyDescent="0.3">
      <c r="A60" t="s">
        <v>18</v>
      </c>
      <c r="B60">
        <v>100</v>
      </c>
      <c r="C60">
        <v>1</v>
      </c>
      <c r="D60">
        <v>239.10300000000001</v>
      </c>
      <c r="E60">
        <v>138.512</v>
      </c>
      <c r="F60">
        <v>439</v>
      </c>
    </row>
    <row r="61" spans="1:6" x14ac:dyDescent="0.3">
      <c r="A61" t="s">
        <v>19</v>
      </c>
      <c r="B61">
        <v>24</v>
      </c>
      <c r="C61">
        <v>1</v>
      </c>
      <c r="D61">
        <v>2320.9079999999999</v>
      </c>
      <c r="E61">
        <v>4.3109999999999999</v>
      </c>
      <c r="F61">
        <v>184</v>
      </c>
    </row>
    <row r="62" spans="1:6" x14ac:dyDescent="0.3">
      <c r="A62" t="s">
        <v>19</v>
      </c>
      <c r="B62">
        <v>24</v>
      </c>
      <c r="C62">
        <v>1</v>
      </c>
      <c r="D62">
        <v>2320.9079999999999</v>
      </c>
      <c r="E62">
        <v>4.3259999999999996</v>
      </c>
      <c r="F62">
        <v>172</v>
      </c>
    </row>
    <row r="63" spans="1:6" x14ac:dyDescent="0.3">
      <c r="A63" t="s">
        <v>19</v>
      </c>
      <c r="B63">
        <v>24</v>
      </c>
      <c r="C63">
        <v>1</v>
      </c>
      <c r="D63">
        <v>2320.9079999999999</v>
      </c>
      <c r="E63">
        <v>4.3339999999999996</v>
      </c>
      <c r="F63">
        <v>201</v>
      </c>
    </row>
    <row r="64" spans="1:6" x14ac:dyDescent="0.3">
      <c r="A64" t="s">
        <v>19</v>
      </c>
      <c r="B64">
        <v>24</v>
      </c>
      <c r="C64">
        <v>1</v>
      </c>
      <c r="D64">
        <v>2320.9079999999999</v>
      </c>
      <c r="E64">
        <v>4.3120000000000003</v>
      </c>
      <c r="F64">
        <v>189</v>
      </c>
    </row>
    <row r="65" spans="1:6" x14ac:dyDescent="0.3">
      <c r="A65" t="s">
        <v>19</v>
      </c>
      <c r="B65">
        <v>24</v>
      </c>
      <c r="C65">
        <v>1</v>
      </c>
      <c r="D65">
        <v>2320.9079999999999</v>
      </c>
      <c r="E65">
        <v>4.3159999999999998</v>
      </c>
      <c r="F65">
        <v>191</v>
      </c>
    </row>
    <row r="66" spans="1:6" x14ac:dyDescent="0.3">
      <c r="A66" t="s">
        <v>19</v>
      </c>
      <c r="B66">
        <v>24</v>
      </c>
      <c r="C66">
        <v>1</v>
      </c>
      <c r="D66">
        <v>2320.9079999999999</v>
      </c>
      <c r="E66">
        <v>4.3289999999999997</v>
      </c>
      <c r="F66">
        <v>179</v>
      </c>
    </row>
    <row r="67" spans="1:6" x14ac:dyDescent="0.3">
      <c r="A67" t="s">
        <v>19</v>
      </c>
      <c r="B67">
        <v>24</v>
      </c>
      <c r="C67">
        <v>1</v>
      </c>
      <c r="D67">
        <v>2320.9079999999999</v>
      </c>
      <c r="E67">
        <v>4.3250000000000002</v>
      </c>
      <c r="F67">
        <v>162</v>
      </c>
    </row>
    <row r="68" spans="1:6" x14ac:dyDescent="0.3">
      <c r="A68" t="s">
        <v>19</v>
      </c>
      <c r="B68">
        <v>24</v>
      </c>
      <c r="C68">
        <v>1</v>
      </c>
      <c r="D68">
        <v>2320.9079999999999</v>
      </c>
      <c r="E68">
        <v>4.3380000000000001</v>
      </c>
      <c r="F68">
        <v>196</v>
      </c>
    </row>
    <row r="69" spans="1:6" x14ac:dyDescent="0.3">
      <c r="A69" t="s">
        <v>19</v>
      </c>
      <c r="B69">
        <v>24</v>
      </c>
      <c r="C69">
        <v>1</v>
      </c>
      <c r="D69">
        <v>2320.9079999999999</v>
      </c>
      <c r="E69">
        <v>4.3280000000000003</v>
      </c>
      <c r="F69">
        <v>157</v>
      </c>
    </row>
    <row r="70" spans="1:6" x14ac:dyDescent="0.3">
      <c r="A70" t="s">
        <v>19</v>
      </c>
      <c r="B70">
        <v>24</v>
      </c>
      <c r="C70">
        <v>1</v>
      </c>
      <c r="D70">
        <v>2320.9079999999999</v>
      </c>
      <c r="E70">
        <v>4.3129999999999997</v>
      </c>
      <c r="F70">
        <v>147</v>
      </c>
    </row>
    <row r="71" spans="1:6" x14ac:dyDescent="0.3">
      <c r="A71" t="s">
        <v>19</v>
      </c>
      <c r="B71">
        <v>47</v>
      </c>
      <c r="C71">
        <v>1</v>
      </c>
      <c r="D71">
        <v>4318.4880000000003</v>
      </c>
      <c r="E71">
        <v>13.241</v>
      </c>
      <c r="F71">
        <v>203</v>
      </c>
    </row>
    <row r="72" spans="1:6" x14ac:dyDescent="0.3">
      <c r="A72" t="s">
        <v>19</v>
      </c>
      <c r="B72">
        <v>47</v>
      </c>
      <c r="C72">
        <v>1</v>
      </c>
      <c r="D72">
        <v>4313.6099999999997</v>
      </c>
      <c r="E72">
        <v>13.244999999999999</v>
      </c>
      <c r="F72">
        <v>202</v>
      </c>
    </row>
    <row r="73" spans="1:6" x14ac:dyDescent="0.3">
      <c r="A73" t="s">
        <v>19</v>
      </c>
      <c r="B73">
        <v>47</v>
      </c>
      <c r="C73">
        <v>1</v>
      </c>
      <c r="D73">
        <v>4313.6099999999997</v>
      </c>
      <c r="E73">
        <v>13.238</v>
      </c>
      <c r="F73">
        <v>196</v>
      </c>
    </row>
    <row r="74" spans="1:6" x14ac:dyDescent="0.3">
      <c r="A74" t="s">
        <v>19</v>
      </c>
      <c r="B74">
        <v>47</v>
      </c>
      <c r="C74">
        <v>1</v>
      </c>
      <c r="D74">
        <v>4313.6099999999997</v>
      </c>
      <c r="E74">
        <v>13.225</v>
      </c>
      <c r="F74">
        <v>200</v>
      </c>
    </row>
    <row r="75" spans="1:6" x14ac:dyDescent="0.3">
      <c r="A75" t="s">
        <v>19</v>
      </c>
      <c r="B75">
        <v>47</v>
      </c>
      <c r="C75">
        <v>1</v>
      </c>
      <c r="D75">
        <v>4313.6099999999997</v>
      </c>
      <c r="E75">
        <v>13.196</v>
      </c>
      <c r="F75">
        <v>197</v>
      </c>
    </row>
    <row r="76" spans="1:6" x14ac:dyDescent="0.3">
      <c r="A76" t="s">
        <v>19</v>
      </c>
      <c r="B76">
        <v>47</v>
      </c>
      <c r="C76">
        <v>1</v>
      </c>
      <c r="D76">
        <v>4313.6099999999997</v>
      </c>
      <c r="E76">
        <v>13.239000000000001</v>
      </c>
      <c r="F76">
        <v>195</v>
      </c>
    </row>
    <row r="77" spans="1:6" x14ac:dyDescent="0.3">
      <c r="A77" t="s">
        <v>19</v>
      </c>
      <c r="B77">
        <v>47</v>
      </c>
      <c r="C77">
        <v>1</v>
      </c>
      <c r="D77">
        <v>4318.4880000000003</v>
      </c>
      <c r="E77">
        <v>13.204000000000001</v>
      </c>
      <c r="F77">
        <v>202</v>
      </c>
    </row>
    <row r="78" spans="1:6" x14ac:dyDescent="0.3">
      <c r="A78" t="s">
        <v>19</v>
      </c>
      <c r="B78">
        <v>47</v>
      </c>
      <c r="C78">
        <v>1</v>
      </c>
      <c r="D78">
        <v>4313.6099999999997</v>
      </c>
      <c r="E78">
        <v>13.214</v>
      </c>
      <c r="F78">
        <v>194</v>
      </c>
    </row>
    <row r="79" spans="1:6" x14ac:dyDescent="0.3">
      <c r="A79" t="s">
        <v>19</v>
      </c>
      <c r="B79">
        <v>47</v>
      </c>
      <c r="C79">
        <v>1</v>
      </c>
      <c r="D79">
        <v>4313.6099999999997</v>
      </c>
      <c r="E79">
        <v>13.198</v>
      </c>
      <c r="F79">
        <v>196</v>
      </c>
    </row>
    <row r="80" spans="1:6" x14ac:dyDescent="0.3">
      <c r="A80" t="s">
        <v>19</v>
      </c>
      <c r="B80">
        <v>47</v>
      </c>
      <c r="C80">
        <v>1</v>
      </c>
      <c r="D80">
        <v>4313.6099999999997</v>
      </c>
      <c r="E80">
        <v>13.22</v>
      </c>
      <c r="F80">
        <v>199</v>
      </c>
    </row>
    <row r="81" spans="1:6" x14ac:dyDescent="0.3">
      <c r="A81" t="s">
        <v>19</v>
      </c>
      <c r="B81">
        <v>100</v>
      </c>
      <c r="C81">
        <v>1</v>
      </c>
      <c r="D81">
        <v>35217.982000000004</v>
      </c>
      <c r="E81">
        <v>54.91</v>
      </c>
      <c r="F81">
        <v>220</v>
      </c>
    </row>
    <row r="82" spans="1:6" x14ac:dyDescent="0.3">
      <c r="A82" t="s">
        <v>19</v>
      </c>
      <c r="B82">
        <v>100</v>
      </c>
      <c r="C82">
        <v>1</v>
      </c>
      <c r="D82">
        <v>35245.222999999998</v>
      </c>
      <c r="E82">
        <v>54.795000000000002</v>
      </c>
      <c r="F82">
        <v>224</v>
      </c>
    </row>
    <row r="83" spans="1:6" x14ac:dyDescent="0.3">
      <c r="A83" t="s">
        <v>19</v>
      </c>
      <c r="B83">
        <v>100</v>
      </c>
      <c r="C83">
        <v>1</v>
      </c>
      <c r="D83">
        <v>35272.735999999997</v>
      </c>
      <c r="E83">
        <v>54.906999999999996</v>
      </c>
      <c r="F83">
        <v>224</v>
      </c>
    </row>
    <row r="84" spans="1:6" x14ac:dyDescent="0.3">
      <c r="A84" t="s">
        <v>19</v>
      </c>
      <c r="B84">
        <v>100</v>
      </c>
      <c r="C84">
        <v>1</v>
      </c>
      <c r="D84">
        <v>35217.79</v>
      </c>
      <c r="E84">
        <v>54.877000000000002</v>
      </c>
      <c r="F84">
        <v>219</v>
      </c>
    </row>
    <row r="85" spans="1:6" x14ac:dyDescent="0.3">
      <c r="A85" t="s">
        <v>19</v>
      </c>
      <c r="B85">
        <v>100</v>
      </c>
      <c r="C85">
        <v>1</v>
      </c>
      <c r="D85">
        <v>35272.953000000001</v>
      </c>
      <c r="E85">
        <v>54.944000000000003</v>
      </c>
      <c r="F85">
        <v>220</v>
      </c>
    </row>
    <row r="86" spans="1:6" x14ac:dyDescent="0.3">
      <c r="A86" t="s">
        <v>19</v>
      </c>
      <c r="B86">
        <v>100</v>
      </c>
      <c r="C86">
        <v>1</v>
      </c>
      <c r="D86">
        <v>35229.069000000003</v>
      </c>
      <c r="E86">
        <v>54.822000000000003</v>
      </c>
      <c r="F86">
        <v>213</v>
      </c>
    </row>
    <row r="87" spans="1:6" x14ac:dyDescent="0.3">
      <c r="A87" t="s">
        <v>19</v>
      </c>
      <c r="B87">
        <v>100</v>
      </c>
      <c r="C87">
        <v>1</v>
      </c>
      <c r="D87">
        <v>35227.9</v>
      </c>
      <c r="E87">
        <v>54.889000000000003</v>
      </c>
      <c r="F87">
        <v>235</v>
      </c>
    </row>
    <row r="88" spans="1:6" x14ac:dyDescent="0.3">
      <c r="A88" t="s">
        <v>19</v>
      </c>
      <c r="B88">
        <v>100</v>
      </c>
      <c r="C88">
        <v>1</v>
      </c>
      <c r="D88">
        <v>35253.523000000001</v>
      </c>
      <c r="E88">
        <v>54.963999999999999</v>
      </c>
      <c r="F88">
        <v>252</v>
      </c>
    </row>
    <row r="89" spans="1:6" x14ac:dyDescent="0.3">
      <c r="A89" t="s">
        <v>19</v>
      </c>
      <c r="B89">
        <v>100</v>
      </c>
      <c r="C89">
        <v>1</v>
      </c>
      <c r="D89">
        <v>35272.862000000001</v>
      </c>
      <c r="E89">
        <v>54.918999999999997</v>
      </c>
      <c r="F89">
        <v>252</v>
      </c>
    </row>
    <row r="90" spans="1:6" x14ac:dyDescent="0.3">
      <c r="A90" t="s">
        <v>19</v>
      </c>
      <c r="B90">
        <v>100</v>
      </c>
      <c r="C90">
        <v>1</v>
      </c>
      <c r="D90">
        <v>35253.728000000003</v>
      </c>
      <c r="E90">
        <v>54.81</v>
      </c>
      <c r="F90">
        <v>238</v>
      </c>
    </row>
    <row r="91" spans="1:6" x14ac:dyDescent="0.3">
      <c r="A91" t="s">
        <v>20</v>
      </c>
      <c r="B91">
        <v>30</v>
      </c>
      <c r="C91">
        <v>1</v>
      </c>
      <c r="D91">
        <v>657.32399999999996</v>
      </c>
      <c r="E91">
        <v>6.4690000000000003</v>
      </c>
      <c r="F91">
        <v>178</v>
      </c>
    </row>
    <row r="92" spans="1:6" x14ac:dyDescent="0.3">
      <c r="A92" t="s">
        <v>20</v>
      </c>
      <c r="B92">
        <v>30</v>
      </c>
      <c r="C92">
        <v>1</v>
      </c>
      <c r="D92">
        <v>659.84500000000003</v>
      </c>
      <c r="E92">
        <v>6.4749999999999996</v>
      </c>
      <c r="F92">
        <v>171</v>
      </c>
    </row>
    <row r="93" spans="1:6" x14ac:dyDescent="0.3">
      <c r="A93" t="s">
        <v>20</v>
      </c>
      <c r="B93">
        <v>30</v>
      </c>
      <c r="C93">
        <v>1</v>
      </c>
      <c r="D93">
        <v>658.23299999999995</v>
      </c>
      <c r="E93">
        <v>6.4669999999999996</v>
      </c>
      <c r="F93">
        <v>207</v>
      </c>
    </row>
    <row r="94" spans="1:6" x14ac:dyDescent="0.3">
      <c r="A94" t="s">
        <v>20</v>
      </c>
      <c r="B94">
        <v>30</v>
      </c>
      <c r="C94">
        <v>1</v>
      </c>
      <c r="D94">
        <v>659.84500000000003</v>
      </c>
      <c r="E94">
        <v>6.4729999999999999</v>
      </c>
      <c r="F94">
        <v>227</v>
      </c>
    </row>
    <row r="95" spans="1:6" x14ac:dyDescent="0.3">
      <c r="A95" t="s">
        <v>20</v>
      </c>
      <c r="B95">
        <v>30</v>
      </c>
      <c r="C95">
        <v>1</v>
      </c>
      <c r="D95">
        <v>658.23299999999995</v>
      </c>
      <c r="E95">
        <v>6.4740000000000002</v>
      </c>
      <c r="F95">
        <v>163</v>
      </c>
    </row>
    <row r="96" spans="1:6" x14ac:dyDescent="0.3">
      <c r="A96" t="s">
        <v>20</v>
      </c>
      <c r="B96">
        <v>30</v>
      </c>
      <c r="C96">
        <v>1</v>
      </c>
      <c r="D96">
        <v>658.23299999999995</v>
      </c>
      <c r="E96">
        <v>6.4809999999999999</v>
      </c>
      <c r="F96">
        <v>176</v>
      </c>
    </row>
    <row r="97" spans="1:6" x14ac:dyDescent="0.3">
      <c r="A97" t="s">
        <v>20</v>
      </c>
      <c r="B97">
        <v>30</v>
      </c>
      <c r="C97">
        <v>1</v>
      </c>
      <c r="D97">
        <v>658.23299999999995</v>
      </c>
      <c r="E97">
        <v>6.484</v>
      </c>
      <c r="F97">
        <v>221</v>
      </c>
    </row>
    <row r="98" spans="1:6" x14ac:dyDescent="0.3">
      <c r="A98" t="s">
        <v>20</v>
      </c>
      <c r="B98">
        <v>30</v>
      </c>
      <c r="C98">
        <v>1</v>
      </c>
      <c r="D98">
        <v>658.23299999999995</v>
      </c>
      <c r="E98">
        <v>6.4710000000000001</v>
      </c>
      <c r="F98">
        <v>206</v>
      </c>
    </row>
    <row r="99" spans="1:6" x14ac:dyDescent="0.3">
      <c r="A99" t="s">
        <v>20</v>
      </c>
      <c r="B99">
        <v>30</v>
      </c>
      <c r="C99">
        <v>1</v>
      </c>
      <c r="D99">
        <v>658.23299999999995</v>
      </c>
      <c r="E99">
        <v>6.4710000000000001</v>
      </c>
      <c r="F99">
        <v>194</v>
      </c>
    </row>
    <row r="100" spans="1:6" x14ac:dyDescent="0.3">
      <c r="A100" t="s">
        <v>20</v>
      </c>
      <c r="B100">
        <v>30</v>
      </c>
      <c r="C100">
        <v>1</v>
      </c>
      <c r="D100">
        <v>658.23299999999995</v>
      </c>
      <c r="E100">
        <v>6.4690000000000003</v>
      </c>
      <c r="F100">
        <v>184</v>
      </c>
    </row>
    <row r="101" spans="1:6" x14ac:dyDescent="0.3">
      <c r="A101" t="s">
        <v>20</v>
      </c>
      <c r="B101">
        <v>50</v>
      </c>
      <c r="C101">
        <v>1</v>
      </c>
      <c r="D101">
        <v>995.85699999999997</v>
      </c>
      <c r="E101">
        <v>14.723000000000001</v>
      </c>
      <c r="F101">
        <v>264</v>
      </c>
    </row>
    <row r="102" spans="1:6" x14ac:dyDescent="0.3">
      <c r="A102" t="s">
        <v>20</v>
      </c>
      <c r="B102">
        <v>50</v>
      </c>
      <c r="C102">
        <v>1</v>
      </c>
      <c r="D102">
        <v>993.98500000000001</v>
      </c>
      <c r="E102">
        <v>14.689</v>
      </c>
      <c r="F102">
        <v>279</v>
      </c>
    </row>
    <row r="103" spans="1:6" x14ac:dyDescent="0.3">
      <c r="A103" t="s">
        <v>20</v>
      </c>
      <c r="B103">
        <v>50</v>
      </c>
      <c r="C103">
        <v>1</v>
      </c>
      <c r="D103">
        <v>996.86500000000001</v>
      </c>
      <c r="E103">
        <v>14.72</v>
      </c>
      <c r="F103">
        <v>284</v>
      </c>
    </row>
    <row r="104" spans="1:6" x14ac:dyDescent="0.3">
      <c r="A104" t="s">
        <v>20</v>
      </c>
      <c r="B104">
        <v>50</v>
      </c>
      <c r="C104">
        <v>1</v>
      </c>
      <c r="D104">
        <v>993.46</v>
      </c>
      <c r="E104">
        <v>14.711</v>
      </c>
      <c r="F104">
        <v>283</v>
      </c>
    </row>
    <row r="105" spans="1:6" x14ac:dyDescent="0.3">
      <c r="A105" t="s">
        <v>20</v>
      </c>
      <c r="B105">
        <v>50</v>
      </c>
      <c r="C105">
        <v>1</v>
      </c>
      <c r="D105">
        <v>997.46299999999997</v>
      </c>
      <c r="E105">
        <v>14.688000000000001</v>
      </c>
      <c r="F105">
        <v>266</v>
      </c>
    </row>
    <row r="106" spans="1:6" x14ac:dyDescent="0.3">
      <c r="A106" t="s">
        <v>20</v>
      </c>
      <c r="B106">
        <v>50</v>
      </c>
      <c r="C106">
        <v>1</v>
      </c>
      <c r="D106">
        <v>994.44600000000003</v>
      </c>
      <c r="E106">
        <v>14.725</v>
      </c>
      <c r="F106">
        <v>198</v>
      </c>
    </row>
    <row r="107" spans="1:6" x14ac:dyDescent="0.3">
      <c r="A107" t="s">
        <v>20</v>
      </c>
      <c r="B107">
        <v>50</v>
      </c>
      <c r="C107">
        <v>1</v>
      </c>
      <c r="D107">
        <v>991.57100000000003</v>
      </c>
      <c r="E107">
        <v>14.739000000000001</v>
      </c>
      <c r="F107">
        <v>195</v>
      </c>
    </row>
    <row r="108" spans="1:6" x14ac:dyDescent="0.3">
      <c r="A108" t="s">
        <v>20</v>
      </c>
      <c r="B108">
        <v>50</v>
      </c>
      <c r="C108">
        <v>1</v>
      </c>
      <c r="D108">
        <v>996.21199999999999</v>
      </c>
      <c r="E108">
        <v>14.75</v>
      </c>
      <c r="F108">
        <v>196</v>
      </c>
    </row>
    <row r="109" spans="1:6" x14ac:dyDescent="0.3">
      <c r="A109" t="s">
        <v>20</v>
      </c>
      <c r="B109">
        <v>50</v>
      </c>
      <c r="C109">
        <v>1</v>
      </c>
      <c r="D109">
        <v>996.85599999999999</v>
      </c>
      <c r="E109">
        <v>14.707000000000001</v>
      </c>
      <c r="F109">
        <v>196</v>
      </c>
    </row>
    <row r="110" spans="1:6" x14ac:dyDescent="0.3">
      <c r="A110" t="s">
        <v>20</v>
      </c>
      <c r="B110">
        <v>50</v>
      </c>
      <c r="C110">
        <v>1</v>
      </c>
      <c r="D110">
        <v>996.38</v>
      </c>
      <c r="E110">
        <v>14.691000000000001</v>
      </c>
      <c r="F110">
        <v>202</v>
      </c>
    </row>
    <row r="111" spans="1:6" x14ac:dyDescent="0.3">
      <c r="A111" t="s">
        <v>20</v>
      </c>
      <c r="B111">
        <v>100</v>
      </c>
      <c r="C111">
        <v>1</v>
      </c>
      <c r="D111">
        <v>1755.5329999999999</v>
      </c>
      <c r="E111">
        <v>32.628999999999998</v>
      </c>
      <c r="F111">
        <v>165</v>
      </c>
    </row>
    <row r="112" spans="1:6" x14ac:dyDescent="0.3">
      <c r="A112" t="s">
        <v>20</v>
      </c>
      <c r="B112">
        <v>100</v>
      </c>
      <c r="C112">
        <v>1</v>
      </c>
      <c r="D112">
        <v>1756.2560000000001</v>
      </c>
      <c r="E112">
        <v>32.591999999999999</v>
      </c>
      <c r="F112">
        <v>162</v>
      </c>
    </row>
    <row r="113" spans="1:6" x14ac:dyDescent="0.3">
      <c r="A113" t="s">
        <v>20</v>
      </c>
      <c r="B113">
        <v>100</v>
      </c>
      <c r="C113">
        <v>1</v>
      </c>
      <c r="D113">
        <v>1754.942</v>
      </c>
      <c r="E113">
        <v>32.5</v>
      </c>
      <c r="F113">
        <v>161</v>
      </c>
    </row>
    <row r="114" spans="1:6" x14ac:dyDescent="0.3">
      <c r="A114" t="s">
        <v>20</v>
      </c>
      <c r="B114">
        <v>100</v>
      </c>
      <c r="C114">
        <v>1</v>
      </c>
      <c r="D114">
        <v>1755.9469999999999</v>
      </c>
      <c r="E114">
        <v>32.585999999999999</v>
      </c>
      <c r="F114">
        <v>166</v>
      </c>
    </row>
    <row r="115" spans="1:6" x14ac:dyDescent="0.3">
      <c r="A115" t="s">
        <v>20</v>
      </c>
      <c r="B115">
        <v>100</v>
      </c>
      <c r="C115">
        <v>1</v>
      </c>
      <c r="D115">
        <v>1756.5350000000001</v>
      </c>
      <c r="E115">
        <v>32.49</v>
      </c>
      <c r="F115">
        <v>163</v>
      </c>
    </row>
    <row r="116" spans="1:6" x14ac:dyDescent="0.3">
      <c r="A116" t="s">
        <v>20</v>
      </c>
      <c r="B116">
        <v>100</v>
      </c>
      <c r="C116">
        <v>1</v>
      </c>
      <c r="D116">
        <v>1756.527</v>
      </c>
      <c r="E116">
        <v>32.631</v>
      </c>
      <c r="F116">
        <v>165</v>
      </c>
    </row>
    <row r="117" spans="1:6" x14ac:dyDescent="0.3">
      <c r="A117" t="s">
        <v>20</v>
      </c>
      <c r="B117">
        <v>100</v>
      </c>
      <c r="C117">
        <v>1</v>
      </c>
      <c r="D117">
        <v>1755.6220000000001</v>
      </c>
      <c r="E117">
        <v>32.526000000000003</v>
      </c>
      <c r="F117">
        <v>167</v>
      </c>
    </row>
    <row r="118" spans="1:6" x14ac:dyDescent="0.3">
      <c r="A118" t="s">
        <v>20</v>
      </c>
      <c r="B118">
        <v>100</v>
      </c>
      <c r="C118">
        <v>1</v>
      </c>
      <c r="D118">
        <v>1754.8330000000001</v>
      </c>
      <c r="E118">
        <v>32.6</v>
      </c>
      <c r="F118">
        <v>168</v>
      </c>
    </row>
    <row r="119" spans="1:6" x14ac:dyDescent="0.3">
      <c r="A119" t="s">
        <v>20</v>
      </c>
      <c r="B119">
        <v>100</v>
      </c>
      <c r="C119">
        <v>1</v>
      </c>
      <c r="D119">
        <v>1754.31</v>
      </c>
      <c r="E119">
        <v>32.487000000000002</v>
      </c>
      <c r="F119">
        <v>149</v>
      </c>
    </row>
    <row r="120" spans="1:6" x14ac:dyDescent="0.3">
      <c r="A120" t="s">
        <v>20</v>
      </c>
      <c r="B120">
        <v>100</v>
      </c>
      <c r="C120">
        <v>1</v>
      </c>
      <c r="D120">
        <v>1757.8330000000001</v>
      </c>
      <c r="E120">
        <v>32.539000000000001</v>
      </c>
      <c r="F120">
        <v>141</v>
      </c>
    </row>
    <row r="121" spans="1:6" x14ac:dyDescent="0.3">
      <c r="A121" t="s">
        <v>33</v>
      </c>
      <c r="B121">
        <v>9</v>
      </c>
      <c r="C121">
        <v>1</v>
      </c>
      <c r="D121">
        <v>8.5419999999999998</v>
      </c>
      <c r="E121">
        <v>1.3779999999999999</v>
      </c>
      <c r="F121">
        <v>146</v>
      </c>
    </row>
    <row r="122" spans="1:6" x14ac:dyDescent="0.3">
      <c r="A122" t="s">
        <v>33</v>
      </c>
      <c r="B122">
        <v>9</v>
      </c>
      <c r="C122">
        <v>1</v>
      </c>
      <c r="D122">
        <v>8.5419999999999998</v>
      </c>
      <c r="E122">
        <v>1.365</v>
      </c>
      <c r="F122">
        <v>110</v>
      </c>
    </row>
    <row r="123" spans="1:6" x14ac:dyDescent="0.3">
      <c r="A123" t="s">
        <v>33</v>
      </c>
      <c r="B123">
        <v>9</v>
      </c>
      <c r="C123">
        <v>1</v>
      </c>
      <c r="D123">
        <v>8.5419999999999998</v>
      </c>
      <c r="E123">
        <v>1.409</v>
      </c>
      <c r="F123">
        <v>144</v>
      </c>
    </row>
    <row r="124" spans="1:6" x14ac:dyDescent="0.3">
      <c r="A124" t="s">
        <v>33</v>
      </c>
      <c r="B124">
        <v>9</v>
      </c>
      <c r="C124">
        <v>1</v>
      </c>
      <c r="D124">
        <v>8.5419999999999998</v>
      </c>
      <c r="E124">
        <v>1.363</v>
      </c>
      <c r="F124">
        <v>97</v>
      </c>
    </row>
    <row r="125" spans="1:6" x14ac:dyDescent="0.3">
      <c r="A125" t="s">
        <v>33</v>
      </c>
      <c r="B125">
        <v>9</v>
      </c>
      <c r="C125">
        <v>1</v>
      </c>
      <c r="D125">
        <v>8.5419999999999998</v>
      </c>
      <c r="E125">
        <v>1.363</v>
      </c>
      <c r="F125">
        <v>179</v>
      </c>
    </row>
    <row r="126" spans="1:6" x14ac:dyDescent="0.3">
      <c r="A126" t="s">
        <v>33</v>
      </c>
      <c r="B126">
        <v>9</v>
      </c>
      <c r="C126">
        <v>1</v>
      </c>
      <c r="D126">
        <v>8.5419999999999998</v>
      </c>
      <c r="E126">
        <v>1.367</v>
      </c>
      <c r="F126">
        <v>230</v>
      </c>
    </row>
    <row r="127" spans="1:6" x14ac:dyDescent="0.3">
      <c r="A127" t="s">
        <v>33</v>
      </c>
      <c r="B127">
        <v>9</v>
      </c>
      <c r="C127">
        <v>1</v>
      </c>
      <c r="D127">
        <v>8.5419999999999998</v>
      </c>
      <c r="E127">
        <v>1.381</v>
      </c>
      <c r="F127">
        <v>220</v>
      </c>
    </row>
    <row r="128" spans="1:6" x14ac:dyDescent="0.3">
      <c r="A128" t="s">
        <v>33</v>
      </c>
      <c r="B128">
        <v>9</v>
      </c>
      <c r="C128">
        <v>1</v>
      </c>
      <c r="D128">
        <v>8.5419999999999998</v>
      </c>
      <c r="E128">
        <v>1.365</v>
      </c>
      <c r="F128">
        <v>77</v>
      </c>
    </row>
    <row r="129" spans="1:6" x14ac:dyDescent="0.3">
      <c r="A129" t="s">
        <v>33</v>
      </c>
      <c r="B129">
        <v>9</v>
      </c>
      <c r="C129">
        <v>1</v>
      </c>
      <c r="D129">
        <v>8.5419999999999998</v>
      </c>
      <c r="E129">
        <v>1.365</v>
      </c>
      <c r="F129">
        <v>189</v>
      </c>
    </row>
    <row r="130" spans="1:6" x14ac:dyDescent="0.3">
      <c r="A130" t="s">
        <v>33</v>
      </c>
      <c r="B130">
        <v>9</v>
      </c>
      <c r="C130">
        <v>1</v>
      </c>
      <c r="D130">
        <v>8.5419999999999998</v>
      </c>
      <c r="E130">
        <v>1.367</v>
      </c>
      <c r="F130">
        <v>197</v>
      </c>
    </row>
    <row r="131" spans="1:6" x14ac:dyDescent="0.3">
      <c r="A131" t="s">
        <v>33</v>
      </c>
      <c r="B131">
        <v>209</v>
      </c>
      <c r="C131">
        <v>1</v>
      </c>
      <c r="D131">
        <v>76.600999999999999</v>
      </c>
      <c r="E131">
        <v>181.44900000000001</v>
      </c>
      <c r="F131">
        <v>174</v>
      </c>
    </row>
    <row r="132" spans="1:6" x14ac:dyDescent="0.3">
      <c r="A132" t="s">
        <v>33</v>
      </c>
      <c r="B132">
        <v>209</v>
      </c>
      <c r="C132">
        <v>1</v>
      </c>
      <c r="D132">
        <v>76.831000000000003</v>
      </c>
      <c r="E132">
        <v>181.047</v>
      </c>
      <c r="F132">
        <v>176</v>
      </c>
    </row>
    <row r="133" spans="1:6" x14ac:dyDescent="0.3">
      <c r="A133" t="s">
        <v>33</v>
      </c>
      <c r="B133">
        <v>209</v>
      </c>
      <c r="C133">
        <v>1</v>
      </c>
      <c r="D133">
        <v>76.274000000000001</v>
      </c>
      <c r="E133">
        <v>180.75399999999999</v>
      </c>
      <c r="F133">
        <v>182</v>
      </c>
    </row>
    <row r="134" spans="1:6" x14ac:dyDescent="0.3">
      <c r="A134" t="s">
        <v>33</v>
      </c>
      <c r="B134">
        <v>209</v>
      </c>
      <c r="C134">
        <v>1</v>
      </c>
      <c r="D134">
        <v>76.415000000000006</v>
      </c>
      <c r="E134">
        <v>180.744</v>
      </c>
      <c r="F134">
        <v>177</v>
      </c>
    </row>
    <row r="135" spans="1:6" x14ac:dyDescent="0.3">
      <c r="A135" t="s">
        <v>33</v>
      </c>
      <c r="B135">
        <v>209</v>
      </c>
      <c r="C135">
        <v>1</v>
      </c>
      <c r="D135">
        <v>76.36</v>
      </c>
      <c r="E135">
        <v>180.82900000000001</v>
      </c>
      <c r="F135">
        <v>172</v>
      </c>
    </row>
    <row r="136" spans="1:6" x14ac:dyDescent="0.3">
      <c r="A136" t="s">
        <v>33</v>
      </c>
      <c r="B136">
        <v>209</v>
      </c>
      <c r="C136">
        <v>1</v>
      </c>
      <c r="D136">
        <v>76.408000000000001</v>
      </c>
      <c r="E136">
        <v>181.08699999999999</v>
      </c>
      <c r="F136">
        <v>171</v>
      </c>
    </row>
    <row r="137" spans="1:6" x14ac:dyDescent="0.3">
      <c r="A137" t="s">
        <v>33</v>
      </c>
      <c r="B137">
        <v>209</v>
      </c>
      <c r="C137">
        <v>1</v>
      </c>
      <c r="D137">
        <v>76.801000000000002</v>
      </c>
      <c r="E137">
        <v>180.982</v>
      </c>
      <c r="F137">
        <v>172</v>
      </c>
    </row>
    <row r="138" spans="1:6" x14ac:dyDescent="0.3">
      <c r="A138" t="s">
        <v>33</v>
      </c>
      <c r="B138">
        <v>209</v>
      </c>
      <c r="C138">
        <v>1</v>
      </c>
      <c r="D138">
        <v>76.962000000000003</v>
      </c>
      <c r="E138">
        <v>181.256</v>
      </c>
      <c r="F138">
        <v>173</v>
      </c>
    </row>
    <row r="139" spans="1:6" x14ac:dyDescent="0.3">
      <c r="A139" t="s">
        <v>33</v>
      </c>
      <c r="B139">
        <v>209</v>
      </c>
      <c r="C139">
        <v>1</v>
      </c>
      <c r="D139">
        <v>76.896000000000001</v>
      </c>
      <c r="E139">
        <v>180.99</v>
      </c>
      <c r="F139">
        <v>182</v>
      </c>
    </row>
    <row r="140" spans="1:6" x14ac:dyDescent="0.3">
      <c r="A140" t="s">
        <v>33</v>
      </c>
      <c r="B140">
        <v>209</v>
      </c>
      <c r="C140">
        <v>1</v>
      </c>
      <c r="D140">
        <v>76.394999999999996</v>
      </c>
      <c r="E140">
        <v>180.71899999999999</v>
      </c>
      <c r="F140">
        <v>178</v>
      </c>
    </row>
    <row r="141" spans="1:6" x14ac:dyDescent="0.3">
      <c r="A141" t="s">
        <v>33</v>
      </c>
      <c r="B141">
        <v>324</v>
      </c>
      <c r="C141">
        <v>1</v>
      </c>
      <c r="D141">
        <v>118.84</v>
      </c>
      <c r="E141">
        <v>419.62799999999999</v>
      </c>
      <c r="F141">
        <v>150</v>
      </c>
    </row>
    <row r="142" spans="1:6" x14ac:dyDescent="0.3">
      <c r="A142" t="s">
        <v>33</v>
      </c>
      <c r="B142">
        <v>324</v>
      </c>
      <c r="C142">
        <v>1</v>
      </c>
      <c r="D142">
        <v>118.877</v>
      </c>
      <c r="E142">
        <v>419.38099999999997</v>
      </c>
      <c r="F142">
        <v>153</v>
      </c>
    </row>
    <row r="143" spans="1:6" x14ac:dyDescent="0.3">
      <c r="A143" t="s">
        <v>33</v>
      </c>
      <c r="B143">
        <v>324</v>
      </c>
      <c r="C143">
        <v>1</v>
      </c>
      <c r="D143">
        <v>118.913</v>
      </c>
      <c r="E143">
        <v>420.53100000000001</v>
      </c>
      <c r="F143">
        <v>149</v>
      </c>
    </row>
    <row r="144" spans="1:6" x14ac:dyDescent="0.3">
      <c r="A144" t="s">
        <v>33</v>
      </c>
      <c r="B144">
        <v>324</v>
      </c>
      <c r="C144">
        <v>1</v>
      </c>
      <c r="D144">
        <v>118.845</v>
      </c>
      <c r="E144">
        <v>421.02699999999999</v>
      </c>
      <c r="F144">
        <v>153</v>
      </c>
    </row>
    <row r="145" spans="1:6" x14ac:dyDescent="0.3">
      <c r="A145" t="s">
        <v>33</v>
      </c>
      <c r="B145">
        <v>324</v>
      </c>
      <c r="C145">
        <v>1</v>
      </c>
      <c r="D145">
        <v>118.742</v>
      </c>
      <c r="E145">
        <v>419.49099999999999</v>
      </c>
      <c r="F145">
        <v>149</v>
      </c>
    </row>
    <row r="146" spans="1:6" x14ac:dyDescent="0.3">
      <c r="A146" t="s">
        <v>33</v>
      </c>
      <c r="B146">
        <v>324</v>
      </c>
      <c r="C146">
        <v>1</v>
      </c>
      <c r="D146">
        <v>118.798</v>
      </c>
      <c r="E146">
        <v>420.33499999999998</v>
      </c>
      <c r="F146">
        <v>150</v>
      </c>
    </row>
    <row r="147" spans="1:6" x14ac:dyDescent="0.3">
      <c r="A147" t="s">
        <v>33</v>
      </c>
      <c r="B147">
        <v>324</v>
      </c>
      <c r="C147">
        <v>1</v>
      </c>
      <c r="D147">
        <v>119.169</v>
      </c>
      <c r="E147">
        <v>420.47699999999998</v>
      </c>
      <c r="F147">
        <v>150</v>
      </c>
    </row>
    <row r="148" spans="1:6" x14ac:dyDescent="0.3">
      <c r="A148" t="s">
        <v>33</v>
      </c>
      <c r="B148">
        <v>324</v>
      </c>
      <c r="C148">
        <v>1</v>
      </c>
      <c r="D148">
        <v>119.04</v>
      </c>
      <c r="E148">
        <v>421.38200000000001</v>
      </c>
      <c r="F148">
        <v>148</v>
      </c>
    </row>
    <row r="149" spans="1:6" x14ac:dyDescent="0.3">
      <c r="A149" t="s">
        <v>33</v>
      </c>
      <c r="B149">
        <v>324</v>
      </c>
      <c r="C149">
        <v>1</v>
      </c>
      <c r="D149">
        <v>119.16500000000001</v>
      </c>
      <c r="E149">
        <v>421.16500000000002</v>
      </c>
      <c r="F149">
        <v>148</v>
      </c>
    </row>
    <row r="150" spans="1:6" x14ac:dyDescent="0.3">
      <c r="A150" t="s">
        <v>33</v>
      </c>
      <c r="B150">
        <v>324</v>
      </c>
      <c r="C150">
        <v>1</v>
      </c>
      <c r="D150">
        <v>118.69499999999999</v>
      </c>
      <c r="E150">
        <v>420.07799999999997</v>
      </c>
      <c r="F150">
        <v>151</v>
      </c>
    </row>
    <row r="151" spans="1:6" x14ac:dyDescent="0.3">
      <c r="A151" t="s">
        <v>34</v>
      </c>
      <c r="B151">
        <v>40</v>
      </c>
      <c r="C151">
        <v>1</v>
      </c>
      <c r="D151">
        <v>16.774999999999999</v>
      </c>
      <c r="E151">
        <v>11.63</v>
      </c>
      <c r="F151">
        <v>275</v>
      </c>
    </row>
    <row r="152" spans="1:6" x14ac:dyDescent="0.3">
      <c r="A152" t="s">
        <v>34</v>
      </c>
      <c r="B152">
        <v>40</v>
      </c>
      <c r="C152">
        <v>1</v>
      </c>
      <c r="D152">
        <v>16.792999999999999</v>
      </c>
      <c r="E152">
        <v>11.643000000000001</v>
      </c>
      <c r="F152">
        <v>307</v>
      </c>
    </row>
    <row r="153" spans="1:6" x14ac:dyDescent="0.3">
      <c r="A153" t="s">
        <v>34</v>
      </c>
      <c r="B153">
        <v>40</v>
      </c>
      <c r="C153">
        <v>1</v>
      </c>
      <c r="D153">
        <v>16.667999999999999</v>
      </c>
      <c r="E153">
        <v>11.627000000000001</v>
      </c>
      <c r="F153">
        <v>271</v>
      </c>
    </row>
    <row r="154" spans="1:6" x14ac:dyDescent="0.3">
      <c r="A154" t="s">
        <v>34</v>
      </c>
      <c r="B154">
        <v>40</v>
      </c>
      <c r="C154">
        <v>1</v>
      </c>
      <c r="D154">
        <v>16.596</v>
      </c>
      <c r="E154">
        <v>11.611000000000001</v>
      </c>
      <c r="F154">
        <v>289</v>
      </c>
    </row>
    <row r="155" spans="1:6" x14ac:dyDescent="0.3">
      <c r="A155" t="s">
        <v>34</v>
      </c>
      <c r="B155">
        <v>40</v>
      </c>
      <c r="C155">
        <v>1</v>
      </c>
      <c r="D155">
        <v>16.748000000000001</v>
      </c>
      <c r="E155">
        <v>11.637</v>
      </c>
      <c r="F155">
        <v>281</v>
      </c>
    </row>
    <row r="156" spans="1:6" x14ac:dyDescent="0.3">
      <c r="A156" t="s">
        <v>34</v>
      </c>
      <c r="B156">
        <v>40</v>
      </c>
      <c r="C156">
        <v>1</v>
      </c>
      <c r="D156">
        <v>16.757000000000001</v>
      </c>
      <c r="E156">
        <v>11.631</v>
      </c>
      <c r="F156">
        <v>283</v>
      </c>
    </row>
    <row r="157" spans="1:6" x14ac:dyDescent="0.3">
      <c r="A157" t="s">
        <v>34</v>
      </c>
      <c r="B157">
        <v>40</v>
      </c>
      <c r="C157">
        <v>1</v>
      </c>
      <c r="D157">
        <v>16.693999999999999</v>
      </c>
      <c r="E157">
        <v>11.654</v>
      </c>
      <c r="F157">
        <v>277</v>
      </c>
    </row>
    <row r="158" spans="1:6" x14ac:dyDescent="0.3">
      <c r="A158" t="s">
        <v>34</v>
      </c>
      <c r="B158">
        <v>40</v>
      </c>
      <c r="C158">
        <v>1</v>
      </c>
      <c r="D158">
        <v>16.704999999999998</v>
      </c>
      <c r="E158">
        <v>11.631</v>
      </c>
      <c r="F158">
        <v>295</v>
      </c>
    </row>
    <row r="159" spans="1:6" x14ac:dyDescent="0.3">
      <c r="A159" t="s">
        <v>34</v>
      </c>
      <c r="B159">
        <v>40</v>
      </c>
      <c r="C159">
        <v>1</v>
      </c>
      <c r="D159">
        <v>16.596</v>
      </c>
      <c r="E159">
        <v>11.632999999999999</v>
      </c>
      <c r="F159">
        <v>286</v>
      </c>
    </row>
    <row r="160" spans="1:6" x14ac:dyDescent="0.3">
      <c r="A160" t="s">
        <v>34</v>
      </c>
      <c r="B160">
        <v>40</v>
      </c>
      <c r="C160">
        <v>1</v>
      </c>
      <c r="D160">
        <v>17.024999999999999</v>
      </c>
      <c r="E160">
        <v>11.637</v>
      </c>
      <c r="F160">
        <v>263</v>
      </c>
    </row>
    <row r="161" spans="1:6" x14ac:dyDescent="0.3">
      <c r="A161" t="s">
        <v>34</v>
      </c>
      <c r="B161">
        <v>96</v>
      </c>
      <c r="C161">
        <v>1</v>
      </c>
      <c r="D161">
        <v>35.14</v>
      </c>
      <c r="E161">
        <v>51.317999999999998</v>
      </c>
      <c r="F161">
        <v>237</v>
      </c>
    </row>
    <row r="162" spans="1:6" x14ac:dyDescent="0.3">
      <c r="A162" t="s">
        <v>34</v>
      </c>
      <c r="B162">
        <v>96</v>
      </c>
      <c r="C162">
        <v>1</v>
      </c>
      <c r="D162">
        <v>35.134999999999998</v>
      </c>
      <c r="E162">
        <v>51.39</v>
      </c>
      <c r="F162">
        <v>262</v>
      </c>
    </row>
    <row r="163" spans="1:6" x14ac:dyDescent="0.3">
      <c r="A163" t="s">
        <v>34</v>
      </c>
      <c r="B163">
        <v>96</v>
      </c>
      <c r="C163">
        <v>1</v>
      </c>
      <c r="D163">
        <v>35.210999999999999</v>
      </c>
      <c r="E163">
        <v>51.317</v>
      </c>
      <c r="F163">
        <v>235</v>
      </c>
    </row>
    <row r="164" spans="1:6" x14ac:dyDescent="0.3">
      <c r="A164" t="s">
        <v>34</v>
      </c>
      <c r="B164">
        <v>96</v>
      </c>
      <c r="C164">
        <v>1</v>
      </c>
      <c r="D164">
        <v>35.268999999999998</v>
      </c>
      <c r="E164">
        <v>51.392000000000003</v>
      </c>
      <c r="F164">
        <v>258</v>
      </c>
    </row>
    <row r="165" spans="1:6" x14ac:dyDescent="0.3">
      <c r="A165" t="s">
        <v>34</v>
      </c>
      <c r="B165">
        <v>96</v>
      </c>
      <c r="C165">
        <v>1</v>
      </c>
      <c r="D165">
        <v>35.168999999999997</v>
      </c>
      <c r="E165">
        <v>51.457000000000001</v>
      </c>
      <c r="F165">
        <v>237</v>
      </c>
    </row>
    <row r="166" spans="1:6" x14ac:dyDescent="0.3">
      <c r="A166" t="s">
        <v>34</v>
      </c>
      <c r="B166">
        <v>96</v>
      </c>
      <c r="C166">
        <v>1</v>
      </c>
      <c r="D166">
        <v>35.167000000000002</v>
      </c>
      <c r="E166">
        <v>51.316000000000003</v>
      </c>
      <c r="F166">
        <v>249</v>
      </c>
    </row>
    <row r="167" spans="1:6" x14ac:dyDescent="0.3">
      <c r="A167" t="s">
        <v>34</v>
      </c>
      <c r="B167">
        <v>96</v>
      </c>
      <c r="C167">
        <v>1</v>
      </c>
      <c r="D167">
        <v>35.118000000000002</v>
      </c>
      <c r="E167">
        <v>51.345999999999997</v>
      </c>
      <c r="F167">
        <v>247</v>
      </c>
    </row>
    <row r="168" spans="1:6" x14ac:dyDescent="0.3">
      <c r="A168" t="s">
        <v>34</v>
      </c>
      <c r="B168">
        <v>96</v>
      </c>
      <c r="C168">
        <v>1</v>
      </c>
      <c r="D168">
        <v>35.167999999999999</v>
      </c>
      <c r="E168">
        <v>51.362000000000002</v>
      </c>
      <c r="F168">
        <v>243</v>
      </c>
    </row>
    <row r="169" spans="1:6" x14ac:dyDescent="0.3">
      <c r="A169" t="s">
        <v>34</v>
      </c>
      <c r="B169">
        <v>96</v>
      </c>
      <c r="C169">
        <v>1</v>
      </c>
      <c r="D169">
        <v>35.155999999999999</v>
      </c>
      <c r="E169">
        <v>51.329000000000001</v>
      </c>
      <c r="F169">
        <v>247</v>
      </c>
    </row>
    <row r="170" spans="1:6" x14ac:dyDescent="0.3">
      <c r="A170" t="s">
        <v>34</v>
      </c>
      <c r="B170">
        <v>96</v>
      </c>
      <c r="C170">
        <v>1</v>
      </c>
      <c r="D170">
        <v>35.194000000000003</v>
      </c>
      <c r="E170">
        <v>51.423000000000002</v>
      </c>
      <c r="F170">
        <v>235</v>
      </c>
    </row>
    <row r="171" spans="1:6" x14ac:dyDescent="0.3">
      <c r="A171" t="s">
        <v>34</v>
      </c>
      <c r="B171">
        <v>224</v>
      </c>
      <c r="C171">
        <v>1</v>
      </c>
      <c r="D171">
        <v>71.912000000000006</v>
      </c>
      <c r="E171">
        <v>256.47399999999999</v>
      </c>
      <c r="F171">
        <v>208</v>
      </c>
    </row>
    <row r="172" spans="1:6" x14ac:dyDescent="0.3">
      <c r="A172" t="s">
        <v>34</v>
      </c>
      <c r="B172">
        <v>224</v>
      </c>
      <c r="C172">
        <v>1</v>
      </c>
      <c r="D172">
        <v>71.930000000000007</v>
      </c>
      <c r="E172">
        <v>255.886</v>
      </c>
      <c r="F172">
        <v>206</v>
      </c>
    </row>
    <row r="173" spans="1:6" x14ac:dyDescent="0.3">
      <c r="A173" t="s">
        <v>34</v>
      </c>
      <c r="B173">
        <v>224</v>
      </c>
      <c r="C173">
        <v>1</v>
      </c>
      <c r="D173">
        <v>71.933000000000007</v>
      </c>
      <c r="E173">
        <v>255.928</v>
      </c>
      <c r="F173">
        <v>205</v>
      </c>
    </row>
    <row r="174" spans="1:6" x14ac:dyDescent="0.3">
      <c r="A174" t="s">
        <v>34</v>
      </c>
      <c r="B174">
        <v>224</v>
      </c>
      <c r="C174">
        <v>1</v>
      </c>
      <c r="D174">
        <v>71.912999999999997</v>
      </c>
      <c r="E174">
        <v>256.00900000000001</v>
      </c>
      <c r="F174">
        <v>209</v>
      </c>
    </row>
    <row r="175" spans="1:6" x14ac:dyDescent="0.3">
      <c r="A175" t="s">
        <v>34</v>
      </c>
      <c r="B175">
        <v>224</v>
      </c>
      <c r="C175">
        <v>1</v>
      </c>
      <c r="D175">
        <v>71.91</v>
      </c>
      <c r="E175">
        <v>256.07100000000003</v>
      </c>
      <c r="F175">
        <v>210</v>
      </c>
    </row>
    <row r="176" spans="1:6" x14ac:dyDescent="0.3">
      <c r="A176" t="s">
        <v>34</v>
      </c>
      <c r="B176">
        <v>224</v>
      </c>
      <c r="C176">
        <v>1</v>
      </c>
      <c r="D176">
        <v>71.924000000000007</v>
      </c>
      <c r="E176">
        <v>255.798</v>
      </c>
      <c r="F176">
        <v>207</v>
      </c>
    </row>
    <row r="177" spans="1:6" x14ac:dyDescent="0.3">
      <c r="A177" t="s">
        <v>34</v>
      </c>
      <c r="B177">
        <v>224</v>
      </c>
      <c r="C177">
        <v>1</v>
      </c>
      <c r="D177">
        <v>71.915000000000006</v>
      </c>
      <c r="E177">
        <v>255.68600000000001</v>
      </c>
      <c r="F177">
        <v>208</v>
      </c>
    </row>
    <row r="178" spans="1:6" x14ac:dyDescent="0.3">
      <c r="A178" t="s">
        <v>34</v>
      </c>
      <c r="B178">
        <v>224</v>
      </c>
      <c r="C178">
        <v>1</v>
      </c>
      <c r="D178">
        <v>71.91</v>
      </c>
      <c r="E178">
        <v>256.07</v>
      </c>
      <c r="F178">
        <v>206</v>
      </c>
    </row>
    <row r="179" spans="1:6" x14ac:dyDescent="0.3">
      <c r="A179" t="s">
        <v>34</v>
      </c>
      <c r="B179">
        <v>224</v>
      </c>
      <c r="C179">
        <v>1</v>
      </c>
      <c r="D179">
        <v>71.951999999999998</v>
      </c>
      <c r="E179">
        <v>256.464</v>
      </c>
      <c r="F179">
        <v>205</v>
      </c>
    </row>
    <row r="180" spans="1:6" x14ac:dyDescent="0.3">
      <c r="A180" t="s">
        <v>34</v>
      </c>
      <c r="B180">
        <v>224</v>
      </c>
      <c r="C180">
        <v>1</v>
      </c>
      <c r="D180">
        <v>71.912000000000006</v>
      </c>
      <c r="E180">
        <v>256.197</v>
      </c>
      <c r="F180">
        <v>209</v>
      </c>
    </row>
  </sheetData>
  <phoneticPr fontId="9" type="noConversion"/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26</vt:i4>
      </vt:variant>
    </vt:vector>
  </HeadingPairs>
  <TitlesOfParts>
    <vt:vector size="53" baseType="lpstr">
      <vt:lpstr>Para.</vt:lpstr>
      <vt:lpstr>Total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'1'!_FilterDatabase</vt:lpstr>
      <vt:lpstr>'10'!_FilterDatabase</vt:lpstr>
      <vt:lpstr>'11'!_FilterDatabase</vt:lpstr>
      <vt:lpstr>'12'!_FilterDatabase</vt:lpstr>
      <vt:lpstr>'13'!_FilterDatabase</vt:lpstr>
      <vt:lpstr>'14'!_FilterDatabase</vt:lpstr>
      <vt:lpstr>'15'!_FilterDatabase</vt:lpstr>
      <vt:lpstr>'16'!_FilterDatabase</vt:lpstr>
      <vt:lpstr>'17'!_FilterDatabase</vt:lpstr>
      <vt:lpstr>'18'!_FilterDatabase</vt:lpstr>
      <vt:lpstr>'19'!_FilterDatabase</vt:lpstr>
      <vt:lpstr>'2'!_FilterDatabase</vt:lpstr>
      <vt:lpstr>'20'!_FilterDatabase</vt:lpstr>
      <vt:lpstr>'21'!_FilterDatabase</vt:lpstr>
      <vt:lpstr>'22'!_FilterDatabase</vt:lpstr>
      <vt:lpstr>'23'!_FilterDatabase</vt:lpstr>
      <vt:lpstr>'24'!_FilterDatabase</vt:lpstr>
      <vt:lpstr>'25'!_FilterDatabase</vt:lpstr>
      <vt:lpstr>'3'!_FilterDatabase</vt:lpstr>
      <vt:lpstr>'4'!_FilterDatabase</vt:lpstr>
      <vt:lpstr>'5'!_FilterDatabase</vt:lpstr>
      <vt:lpstr>'6'!_FilterDatabase</vt:lpstr>
      <vt:lpstr>'7'!_FilterDatabase</vt:lpstr>
      <vt:lpstr>'8'!_FilterDatabase</vt:lpstr>
      <vt:lpstr>'9'!_FilterDatabase</vt:lpstr>
      <vt:lpstr>Total!_FilterDatabase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xieyi</dc:creator>
  <dc:description/>
  <cp:lastModifiedBy>z Z</cp:lastModifiedBy>
  <cp:revision>18</cp:revision>
  <dcterms:created xsi:type="dcterms:W3CDTF">2015-06-05T18:19:34Z</dcterms:created>
  <dcterms:modified xsi:type="dcterms:W3CDTF">2026-09-04T08:24:50Z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