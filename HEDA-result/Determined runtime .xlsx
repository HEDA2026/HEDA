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86189\Desktop\HEDAall\9.9HEDA\HEDA-result\"/>
    </mc:Choice>
  </mc:AlternateContent>
  <xr:revisionPtr revIDLastSave="0" documentId="13_ncr:1_{5DFB9238-E0D9-4409-9E1A-F820D0E00541}" xr6:coauthVersionLast="47" xr6:coauthVersionMax="47" xr10:uidLastSave="{00000000-0000-0000-0000-000000000000}"/>
  <bookViews>
    <workbookView xWindow="-110" yWindow="-110" windowWidth="19420" windowHeight="10420" tabRatio="873" activeTab="1" xr2:uid="{00000000-000D-0000-FFFF-FFFF00000000}"/>
  </bookViews>
  <sheets>
    <sheet name="Original data" sheetId="2" r:id="rId1"/>
    <sheet name="rt " sheetId="3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2" i="3"/>
  <c r="O18" i="3" l="1"/>
  <c r="O14" i="3"/>
  <c r="O10" i="3"/>
  <c r="O6" i="3"/>
  <c r="O17" i="3"/>
  <c r="O13" i="3"/>
  <c r="O9" i="3"/>
  <c r="O5" i="3"/>
  <c r="O2" i="3"/>
  <c r="O16" i="3"/>
  <c r="O12" i="3"/>
  <c r="O8" i="3"/>
  <c r="O4" i="3"/>
  <c r="O19" i="3"/>
  <c r="O15" i="3"/>
  <c r="O11" i="3"/>
  <c r="O7" i="3"/>
  <c r="O3" i="3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G2" i="3"/>
  <c r="F2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2" i="3"/>
  <c r="L1" i="3"/>
  <c r="K1" i="3"/>
  <c r="L10" i="3" l="1"/>
  <c r="L6" i="3"/>
  <c r="M19" i="3"/>
  <c r="M8" i="3"/>
  <c r="M3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L14" i="3"/>
  <c r="M17" i="3"/>
  <c r="M16" i="3"/>
  <c r="M12" i="3"/>
  <c r="M9" i="3"/>
  <c r="M4" i="3"/>
  <c r="L19" i="3"/>
  <c r="L18" i="3"/>
  <c r="L17" i="3"/>
  <c r="L15" i="3"/>
  <c r="L13" i="3"/>
  <c r="L12" i="3"/>
  <c r="L11" i="3"/>
  <c r="L9" i="3"/>
  <c r="L8" i="3"/>
  <c r="L7" i="3"/>
  <c r="L5" i="3"/>
  <c r="L4" i="3"/>
  <c r="L3" i="3"/>
  <c r="L2" i="3"/>
  <c r="M18" i="3"/>
  <c r="M15" i="3"/>
  <c r="M11" i="3"/>
  <c r="M10" i="3"/>
  <c r="M7" i="3"/>
  <c r="M5" i="3"/>
  <c r="K18" i="3"/>
  <c r="K14" i="3"/>
  <c r="K10" i="3"/>
  <c r="K8" i="3"/>
  <c r="L16" i="3"/>
  <c r="M14" i="3"/>
  <c r="M13" i="3"/>
  <c r="M6" i="3"/>
  <c r="K16" i="3"/>
  <c r="K13" i="3"/>
  <c r="K11" i="3"/>
  <c r="K9" i="3"/>
  <c r="N2" i="3"/>
  <c r="M2" i="3"/>
  <c r="K6" i="3"/>
  <c r="K5" i="3"/>
  <c r="K15" i="3"/>
  <c r="K7" i="3"/>
  <c r="K3" i="3"/>
  <c r="K19" i="3"/>
  <c r="K17" i="3"/>
  <c r="K12" i="3"/>
  <c r="K4" i="3"/>
  <c r="P4" i="3" s="1"/>
  <c r="K2" i="3"/>
  <c r="P12" i="3" l="1"/>
  <c r="P7" i="3"/>
  <c r="P14" i="3"/>
  <c r="P16" i="3"/>
  <c r="P5" i="3"/>
  <c r="P17" i="3"/>
  <c r="P19" i="3"/>
  <c r="P9" i="3"/>
  <c r="P8" i="3"/>
  <c r="P13" i="3"/>
  <c r="P2" i="3"/>
  <c r="P6" i="3"/>
  <c r="P3" i="3"/>
  <c r="P11" i="3"/>
  <c r="P10" i="3"/>
  <c r="P15" i="3"/>
  <c r="P18" i="3"/>
</calcChain>
</file>

<file path=xl/sharedStrings.xml><?xml version="1.0" encoding="utf-8"?>
<sst xmlns="http://schemas.openxmlformats.org/spreadsheetml/2006/main" count="392" uniqueCount="30">
  <si>
    <t>HGA</t>
  </si>
  <si>
    <t>LWSGA</t>
  </si>
  <si>
    <t>max-rt</t>
  </si>
  <si>
    <t>Montage</t>
  </si>
  <si>
    <t>M-S-1.0</t>
  </si>
  <si>
    <t>M-M-1.0</t>
  </si>
  <si>
    <t>M-L-1.0</t>
  </si>
  <si>
    <t>C-S-1.0</t>
  </si>
  <si>
    <t>C-M-1.0</t>
  </si>
  <si>
    <t>C-L-1.0</t>
  </si>
  <si>
    <t>E-S-1.0</t>
  </si>
  <si>
    <t>E-M-1.0</t>
  </si>
  <si>
    <t>E-L-1.0</t>
  </si>
  <si>
    <t>L-S-1.0</t>
  </si>
  <si>
    <t>L-M-1.0</t>
  </si>
  <si>
    <t>L-L-1.0</t>
  </si>
  <si>
    <t>CyberShake</t>
  </si>
  <si>
    <t>Epigenomics</t>
  </si>
  <si>
    <t>Ligo</t>
  </si>
  <si>
    <t>gaussian</t>
  </si>
  <si>
    <t>fft</t>
  </si>
  <si>
    <t>APRE_EDA</t>
    <phoneticPr fontId="6" type="noConversion"/>
  </si>
  <si>
    <t>G-9-1.0</t>
    <phoneticPr fontId="6" type="noConversion"/>
  </si>
  <si>
    <t>G-209-1.0</t>
    <phoneticPr fontId="6" type="noConversion"/>
  </si>
  <si>
    <t>G-324-1.0</t>
    <phoneticPr fontId="6" type="noConversion"/>
  </si>
  <si>
    <t>F-40-1.0</t>
    <phoneticPr fontId="6" type="noConversion"/>
  </si>
  <si>
    <t>F-96-1.0</t>
    <phoneticPr fontId="6" type="noConversion"/>
  </si>
  <si>
    <t>F-224-1.0</t>
    <phoneticPr fontId="6" type="noConversion"/>
  </si>
  <si>
    <t>R2GA</t>
    <phoneticPr fontId="6" type="noConversion"/>
  </si>
  <si>
    <t>HPSO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</si>
</sst>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8" x14ac:knownFonts="1">
    <font>
      <sz val="11"/>
      <color rgb="FF000000"/>
      <name val="等线"/>
      <family val="2"/>
      <charset val="134"/>
    </font>
    <font>
      <sz val="11"/>
      <name val="等线"/>
      <family val="2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9"/>
      <color rgb="FF000000"/>
      <name val="等线"/>
      <family val="2"/>
      <charset val="134"/>
    </font>
    <font>
      <sz val="11"/>
      <name val="等线"/>
      <family val="3"/>
      <charset val="134"/>
    </font>
    <font>
      <sz val="9"/>
      <name val="等线"/>
      <family val="2"/>
      <charset val="134"/>
    </font>
    <font>
      <sz val="9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/>
    <xf numFmtId="177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81"/>
  <sheetViews>
    <sheetView topLeftCell="E1" zoomScaleNormal="100" workbookViewId="0">
      <selection activeCell="S5" sqref="S5"/>
    </sheetView>
  </sheetViews>
  <sheetFormatPr defaultRowHeight="14" x14ac:dyDescent="0.3"/>
  <cols>
    <col min="1" max="1" width="12.33203125"/>
    <col min="2" max="2" width="3.83203125" customWidth="1"/>
    <col min="3" max="3" width="3.25" customWidth="1"/>
    <col min="4" max="4" width="9.25"/>
    <col min="5" max="5" width="9"/>
    <col min="6" max="6" width="4.5"/>
    <col min="7" max="7" width="8.75"/>
    <col min="8" max="8" width="9.08203125"/>
    <col min="9" max="9" width="5.58203125"/>
    <col min="10" max="10" width="9.33203125"/>
    <col min="11" max="11" width="8.33203125"/>
    <col min="12" max="12" width="5.58203125"/>
    <col min="13" max="13" width="9.25"/>
    <col min="14" max="14" width="9.75"/>
    <col min="15" max="15" width="5.5" bestFit="1" customWidth="1"/>
    <col min="16" max="16" width="10.75"/>
    <col min="17" max="17" width="8.83203125"/>
    <col min="18" max="18" width="4.5"/>
    <col min="19" max="19" width="9.83203125"/>
    <col min="20" max="20" width="8"/>
    <col min="21" max="21" width="8.25"/>
    <col min="22" max="22" width="9.5"/>
    <col min="23" max="23" width="9.58203125"/>
    <col min="24" max="24" width="4.5"/>
    <col min="25" max="25" width="5.58203125"/>
    <col min="26" max="26" width="9.58203125"/>
    <col min="27" max="27" width="8.5"/>
    <col min="28" max="28" width="5.58203125"/>
    <col min="29" max="29" width="9.75"/>
    <col min="30" max="30" width="7.75"/>
    <col min="31" max="31" width="4.5"/>
    <col min="32" max="32" width="8.58203125"/>
    <col min="33" max="33" width="8.5"/>
    <col min="34" max="34" width="4.5"/>
    <col min="35" max="35" width="10"/>
    <col min="36" max="36" width="9.75"/>
    <col min="37" max="38" width="4.5"/>
    <col min="39" max="39" width="9.08203125"/>
    <col min="40" max="40" width="9.75"/>
    <col min="41" max="41" width="4.5"/>
    <col min="42" max="42" width="8.83203125"/>
    <col min="43" max="43" width="8.5"/>
    <col min="44" max="44" width="4.5"/>
    <col min="45" max="45" width="9"/>
    <col min="46" max="46" width="8.83203125"/>
    <col min="47" max="47" width="5.58203125"/>
    <col min="48" max="48" width="8.33203125"/>
    <col min="49" max="49" width="8.25"/>
    <col min="50" max="50" width="4.5"/>
    <col min="51" max="51" width="9.25"/>
    <col min="52" max="52" width="8.25"/>
    <col min="53" max="53" width="4.5"/>
    <col min="54" max="54" width="10.5"/>
    <col min="55" max="55" width="9.75"/>
    <col min="56" max="57" width="4.5"/>
    <col min="58" max="58" width="8.75"/>
    <col min="59" max="59" width="8.33203125"/>
    <col min="60" max="60" width="4.5"/>
    <col min="61" max="61" width="10.08203125"/>
    <col min="62" max="62" width="8.75"/>
    <col min="63" max="63" width="5.58203125"/>
    <col min="64" max="64" width="9.75"/>
    <col min="65" max="65" width="7.58203125"/>
    <col min="66" max="66" width="5.58203125"/>
    <col min="67" max="67" width="8.83203125"/>
    <col min="68" max="68" width="9.08203125"/>
    <col min="69" max="69" width="4.5"/>
    <col min="70" max="70" width="10.58203125"/>
    <col min="71" max="71" width="8.5"/>
    <col min="72" max="72" width="4.5"/>
    <col min="73" max="73" width="12"/>
    <col min="74" max="74" width="9.75"/>
    <col min="75" max="75" width="4.5"/>
    <col min="76" max="76" width="9.25"/>
    <col min="77" max="77" width="10.33203125"/>
    <col min="78" max="78" width="10.25"/>
    <col min="79" max="80" width="4.5"/>
    <col min="81" max="83" width="9.25"/>
    <col min="84" max="84" width="4.5"/>
    <col min="85" max="87" width="9.25"/>
    <col min="88" max="88" width="4.5"/>
    <col min="89" max="91" width="9.25"/>
    <col min="92" max="92" width="4.5"/>
    <col min="93" max="95" width="9.25"/>
    <col min="96" max="96" width="4.5"/>
    <col min="97" max="99" width="9.25"/>
    <col min="100" max="100" width="4.5"/>
    <col min="101" max="103" width="9.25"/>
    <col min="104" max="104" width="4.5"/>
    <col min="105" max="107" width="9.25"/>
    <col min="108" max="108" width="4.5"/>
    <col min="109" max="1022" width="9.25"/>
  </cols>
  <sheetData>
    <row r="1" spans="1:33" x14ac:dyDescent="0.3">
      <c r="D1" s="10" t="s">
        <v>0</v>
      </c>
      <c r="E1" s="10"/>
      <c r="F1" s="10"/>
      <c r="G1" s="10" t="s">
        <v>1</v>
      </c>
      <c r="H1" s="10"/>
      <c r="I1" s="10"/>
      <c r="J1" s="10" t="s">
        <v>21</v>
      </c>
      <c r="K1" s="10"/>
      <c r="L1" s="10"/>
      <c r="M1" s="10" t="s">
        <v>29</v>
      </c>
      <c r="N1" s="10"/>
      <c r="O1" s="10"/>
      <c r="P1" s="10" t="s">
        <v>28</v>
      </c>
      <c r="Q1" s="10"/>
      <c r="R1" s="10"/>
      <c r="T1" s="10"/>
      <c r="U1" s="10"/>
      <c r="V1" s="10"/>
    </row>
    <row r="2" spans="1:33" x14ac:dyDescent="0.3">
      <c r="A2" s="1" t="s">
        <v>3</v>
      </c>
      <c r="B2" s="1">
        <v>25</v>
      </c>
      <c r="C2" s="1">
        <v>1</v>
      </c>
      <c r="D2" s="1">
        <v>28.7148</v>
      </c>
      <c r="E2" s="1">
        <v>3.8436300000000001</v>
      </c>
      <c r="F2" s="1">
        <v>240</v>
      </c>
      <c r="G2" s="1">
        <v>30.778449999999999</v>
      </c>
      <c r="H2" s="1">
        <v>4.5855199999999998</v>
      </c>
      <c r="I2" s="1">
        <v>451</v>
      </c>
      <c r="J2" s="1">
        <v>28.7148</v>
      </c>
      <c r="K2" s="1">
        <v>5.2504200000000001</v>
      </c>
      <c r="L2" s="1">
        <v>812</v>
      </c>
      <c r="M2" s="1">
        <v>28.74417</v>
      </c>
      <c r="N2" s="1">
        <v>2.33901</v>
      </c>
      <c r="O2" s="1">
        <v>1965</v>
      </c>
      <c r="P2" s="1">
        <v>28.642029999999998</v>
      </c>
      <c r="Q2" s="1">
        <v>1.2299599999999999</v>
      </c>
      <c r="R2" s="1">
        <v>122</v>
      </c>
      <c r="T2" s="1"/>
      <c r="U2" s="1"/>
      <c r="V2" s="1"/>
    </row>
    <row r="3" spans="1:33" x14ac:dyDescent="0.3">
      <c r="A3" s="1" t="s">
        <v>3</v>
      </c>
      <c r="B3" s="1">
        <v>25</v>
      </c>
      <c r="C3" s="1">
        <v>1</v>
      </c>
      <c r="D3" s="1">
        <v>28.70478</v>
      </c>
      <c r="E3" s="1">
        <v>3.65225</v>
      </c>
      <c r="F3" s="1">
        <v>248</v>
      </c>
      <c r="G3" s="1">
        <v>28.653449999999999</v>
      </c>
      <c r="H3" s="1">
        <v>3.5928200000000001</v>
      </c>
      <c r="I3" s="1">
        <v>537</v>
      </c>
      <c r="J3" s="1">
        <v>28.7148</v>
      </c>
      <c r="K3" s="1">
        <v>5.1711799999999997</v>
      </c>
      <c r="L3" s="1">
        <v>803</v>
      </c>
      <c r="M3" s="1">
        <v>28.825289999999999</v>
      </c>
      <c r="N3" s="1">
        <v>3.0607799999999998</v>
      </c>
      <c r="O3" s="1">
        <v>2724</v>
      </c>
      <c r="P3" s="1">
        <v>28.647010000000002</v>
      </c>
      <c r="Q3" s="1">
        <v>1.1144700000000001</v>
      </c>
      <c r="R3" s="1">
        <v>113</v>
      </c>
      <c r="T3" s="1"/>
      <c r="U3" s="1"/>
      <c r="V3" s="1"/>
    </row>
    <row r="4" spans="1:33" x14ac:dyDescent="0.3">
      <c r="A4" s="1" t="s">
        <v>3</v>
      </c>
      <c r="B4" s="1">
        <v>25</v>
      </c>
      <c r="C4" s="1">
        <v>1</v>
      </c>
      <c r="D4" s="1">
        <v>28.7148</v>
      </c>
      <c r="E4" s="1">
        <v>3.5782799999999999</v>
      </c>
      <c r="F4" s="1">
        <v>240</v>
      </c>
      <c r="G4" s="1">
        <v>28.851610000000001</v>
      </c>
      <c r="H4" s="1">
        <v>5.8430999999999997</v>
      </c>
      <c r="I4" s="1">
        <v>847</v>
      </c>
      <c r="J4" s="1">
        <v>28.7148</v>
      </c>
      <c r="K4" s="1">
        <v>5.1512200000000004</v>
      </c>
      <c r="L4" s="1">
        <v>802</v>
      </c>
      <c r="M4" s="1">
        <v>28.74417</v>
      </c>
      <c r="N4" s="1">
        <v>2.45085</v>
      </c>
      <c r="O4" s="1">
        <v>2128</v>
      </c>
      <c r="P4" s="1">
        <v>28.647010000000002</v>
      </c>
      <c r="Q4" s="1">
        <v>1.01658</v>
      </c>
      <c r="R4" s="1">
        <v>103</v>
      </c>
      <c r="T4" s="1"/>
      <c r="U4" s="1"/>
      <c r="V4" s="1"/>
      <c r="AG4" s="5"/>
    </row>
    <row r="5" spans="1:33" x14ac:dyDescent="0.3">
      <c r="A5" s="1" t="s">
        <v>3</v>
      </c>
      <c r="B5" s="1">
        <v>25</v>
      </c>
      <c r="C5" s="1">
        <v>1</v>
      </c>
      <c r="D5" s="1">
        <v>28.7148</v>
      </c>
      <c r="E5" s="1">
        <v>3.5705900000000002</v>
      </c>
      <c r="F5" s="1">
        <v>240</v>
      </c>
      <c r="G5" s="1">
        <v>28.6998</v>
      </c>
      <c r="H5" s="1">
        <v>6.21455</v>
      </c>
      <c r="I5" s="1">
        <v>938</v>
      </c>
      <c r="J5" s="1">
        <v>28.7148</v>
      </c>
      <c r="K5" s="1">
        <v>5.4196499999999999</v>
      </c>
      <c r="L5" s="1">
        <v>837</v>
      </c>
      <c r="M5" s="1">
        <v>28.87312</v>
      </c>
      <c r="N5" s="1">
        <v>1.7710399999999999</v>
      </c>
      <c r="O5" s="1">
        <v>1577</v>
      </c>
      <c r="P5" s="1">
        <v>28.657029999999999</v>
      </c>
      <c r="Q5" s="1">
        <v>0.83606999999999998</v>
      </c>
      <c r="R5" s="1">
        <v>85</v>
      </c>
      <c r="T5" s="1"/>
      <c r="U5" s="1"/>
      <c r="V5" s="1"/>
    </row>
    <row r="6" spans="1:33" x14ac:dyDescent="0.3">
      <c r="A6" s="1" t="s">
        <v>3</v>
      </c>
      <c r="B6" s="1">
        <v>25</v>
      </c>
      <c r="C6" s="1">
        <v>1</v>
      </c>
      <c r="D6" s="1">
        <v>28.7148</v>
      </c>
      <c r="E6" s="1">
        <v>3.6670400000000001</v>
      </c>
      <c r="F6" s="1">
        <v>240</v>
      </c>
      <c r="G6" s="1">
        <v>30.241720000000001</v>
      </c>
      <c r="H6" s="1">
        <v>4.1136299999999997</v>
      </c>
      <c r="I6" s="1">
        <v>613</v>
      </c>
      <c r="J6" s="1">
        <v>28.7148</v>
      </c>
      <c r="K6" s="1">
        <v>5.2648000000000001</v>
      </c>
      <c r="L6" s="1">
        <v>809</v>
      </c>
      <c r="M6" s="1">
        <v>28.87312</v>
      </c>
      <c r="N6" s="1">
        <v>2.2484299999999999</v>
      </c>
      <c r="O6" s="1">
        <v>1945</v>
      </c>
      <c r="P6" s="1">
        <v>28.647010000000002</v>
      </c>
      <c r="Q6" s="1">
        <v>1.0273600000000001</v>
      </c>
      <c r="R6" s="1">
        <v>103</v>
      </c>
      <c r="T6" s="1"/>
      <c r="U6" s="1"/>
      <c r="V6" s="1"/>
    </row>
    <row r="7" spans="1:33" x14ac:dyDescent="0.3">
      <c r="A7" s="1" t="s">
        <v>3</v>
      </c>
      <c r="B7" s="1">
        <v>25</v>
      </c>
      <c r="C7" s="1">
        <v>1</v>
      </c>
      <c r="D7" s="1">
        <v>28.7148</v>
      </c>
      <c r="E7" s="1">
        <v>3.5634899999999998</v>
      </c>
      <c r="F7" s="1">
        <v>240</v>
      </c>
      <c r="G7" s="1">
        <v>30.788979999999999</v>
      </c>
      <c r="H7" s="1">
        <v>5.0651900000000003</v>
      </c>
      <c r="I7" s="1">
        <v>770</v>
      </c>
      <c r="J7" s="1">
        <v>28.7148</v>
      </c>
      <c r="K7" s="1">
        <v>5.2175599999999998</v>
      </c>
      <c r="L7" s="1">
        <v>805</v>
      </c>
      <c r="M7" s="1">
        <v>28.825289999999999</v>
      </c>
      <c r="N7" s="1">
        <v>2.79752</v>
      </c>
      <c r="O7" s="1">
        <v>2493</v>
      </c>
      <c r="P7" s="1">
        <v>28.60624</v>
      </c>
      <c r="Q7" s="1">
        <v>1.5446599999999999</v>
      </c>
      <c r="R7" s="1">
        <v>157</v>
      </c>
      <c r="T7" s="1"/>
      <c r="U7" s="1"/>
      <c r="V7" s="1"/>
    </row>
    <row r="8" spans="1:33" x14ac:dyDescent="0.3">
      <c r="A8" s="1" t="s">
        <v>3</v>
      </c>
      <c r="B8" s="1">
        <v>25</v>
      </c>
      <c r="C8" s="1">
        <v>1</v>
      </c>
      <c r="D8" s="1">
        <v>28.7148</v>
      </c>
      <c r="E8" s="1">
        <v>3.56325</v>
      </c>
      <c r="F8" s="1">
        <v>240</v>
      </c>
      <c r="G8" s="1">
        <v>28.913260000000001</v>
      </c>
      <c r="H8" s="1">
        <v>5.33582</v>
      </c>
      <c r="I8" s="1">
        <v>802</v>
      </c>
      <c r="J8" s="1">
        <v>28.7148</v>
      </c>
      <c r="K8" s="1">
        <v>5.3625699999999998</v>
      </c>
      <c r="L8" s="1">
        <v>815</v>
      </c>
      <c r="M8" s="1">
        <v>28.74417</v>
      </c>
      <c r="N8" s="1">
        <v>3.08447</v>
      </c>
      <c r="O8" s="1">
        <v>2590</v>
      </c>
      <c r="P8" s="1">
        <v>28.647010000000002</v>
      </c>
      <c r="Q8" s="1">
        <v>0.96730000000000005</v>
      </c>
      <c r="R8" s="1">
        <v>97</v>
      </c>
      <c r="T8" s="1"/>
      <c r="U8" s="1"/>
      <c r="V8" s="1"/>
    </row>
    <row r="9" spans="1:33" x14ac:dyDescent="0.3">
      <c r="A9" s="1" t="s">
        <v>3</v>
      </c>
      <c r="B9" s="1">
        <v>25</v>
      </c>
      <c r="C9" s="1">
        <v>1</v>
      </c>
      <c r="D9" s="1">
        <v>28.657029999999999</v>
      </c>
      <c r="E9" s="1">
        <v>4.2705299999999999</v>
      </c>
      <c r="F9" s="1">
        <v>246</v>
      </c>
      <c r="G9" s="1">
        <v>30.786380000000001</v>
      </c>
      <c r="H9" s="1">
        <v>5.9832299999999998</v>
      </c>
      <c r="I9" s="1">
        <v>863</v>
      </c>
      <c r="J9" s="1">
        <v>28.7148</v>
      </c>
      <c r="K9" s="1">
        <v>5.3500899999999998</v>
      </c>
      <c r="L9" s="1">
        <v>828</v>
      </c>
      <c r="M9" s="1">
        <v>28.74417</v>
      </c>
      <c r="N9" s="1">
        <v>2.6048800000000001</v>
      </c>
      <c r="O9" s="1">
        <v>2319</v>
      </c>
      <c r="P9" s="1">
        <v>28.647010000000002</v>
      </c>
      <c r="Q9" s="1">
        <v>0.74065999999999999</v>
      </c>
      <c r="R9" s="1">
        <v>76</v>
      </c>
      <c r="T9" s="1"/>
      <c r="U9" s="1"/>
      <c r="V9" s="1"/>
    </row>
    <row r="10" spans="1:33" x14ac:dyDescent="0.3">
      <c r="A10" s="1" t="s">
        <v>3</v>
      </c>
      <c r="B10" s="1">
        <v>25</v>
      </c>
      <c r="C10" s="1">
        <v>1</v>
      </c>
      <c r="D10" s="1">
        <v>28.7148</v>
      </c>
      <c r="E10" s="1">
        <v>3.87662</v>
      </c>
      <c r="F10" s="1">
        <v>240</v>
      </c>
      <c r="G10" s="1">
        <v>29.875019999999999</v>
      </c>
      <c r="H10" s="1">
        <v>2.8413900000000001</v>
      </c>
      <c r="I10" s="1">
        <v>379</v>
      </c>
      <c r="J10" s="1">
        <v>28.7148</v>
      </c>
      <c r="K10" s="1">
        <v>5.2403399999999998</v>
      </c>
      <c r="L10" s="1">
        <v>810</v>
      </c>
      <c r="M10" s="1">
        <v>28.700289999999999</v>
      </c>
      <c r="N10" s="1">
        <v>2.8699300000000001</v>
      </c>
      <c r="O10" s="1">
        <v>2429</v>
      </c>
      <c r="P10" s="1">
        <v>28.647010000000002</v>
      </c>
      <c r="Q10" s="1">
        <v>0.79771999999999998</v>
      </c>
      <c r="R10" s="1">
        <v>81</v>
      </c>
      <c r="T10" s="1"/>
      <c r="U10" s="1"/>
      <c r="V10" s="1"/>
    </row>
    <row r="11" spans="1:33" x14ac:dyDescent="0.3">
      <c r="A11" s="1" t="s">
        <v>3</v>
      </c>
      <c r="B11" s="1">
        <v>25</v>
      </c>
      <c r="C11" s="1">
        <v>1</v>
      </c>
      <c r="D11" s="1">
        <v>28.7148</v>
      </c>
      <c r="E11" s="1">
        <v>3.54793</v>
      </c>
      <c r="F11" s="1">
        <v>240</v>
      </c>
      <c r="G11" s="1">
        <v>30.835529999999999</v>
      </c>
      <c r="H11" s="1">
        <v>4.6639699999999999</v>
      </c>
      <c r="I11" s="1">
        <v>693</v>
      </c>
      <c r="J11" s="1">
        <v>28.7148</v>
      </c>
      <c r="K11" s="1">
        <v>5.3113700000000001</v>
      </c>
      <c r="L11" s="1">
        <v>811</v>
      </c>
      <c r="M11" s="1">
        <v>28.700289999999999</v>
      </c>
      <c r="N11" s="1">
        <v>2.7408100000000002</v>
      </c>
      <c r="O11" s="1">
        <v>2473</v>
      </c>
      <c r="P11" s="1">
        <v>28.647010000000002</v>
      </c>
      <c r="Q11" s="1">
        <v>0.76031000000000004</v>
      </c>
      <c r="R11" s="1">
        <v>73</v>
      </c>
      <c r="T11" s="1"/>
      <c r="U11" s="1"/>
      <c r="V11" s="1"/>
    </row>
    <row r="12" spans="1:33" x14ac:dyDescent="0.3">
      <c r="A12" s="1" t="s">
        <v>3</v>
      </c>
      <c r="B12" s="1">
        <v>50</v>
      </c>
      <c r="C12" s="1">
        <v>1</v>
      </c>
      <c r="D12" s="1">
        <v>56.55339</v>
      </c>
      <c r="E12" s="1">
        <v>14.26895</v>
      </c>
      <c r="F12" s="1">
        <v>424</v>
      </c>
      <c r="G12" s="1">
        <v>55.872489999999999</v>
      </c>
      <c r="H12" s="1">
        <v>24.07273</v>
      </c>
      <c r="I12" s="1">
        <v>2801</v>
      </c>
      <c r="J12" s="1">
        <v>58.255429999999997</v>
      </c>
      <c r="K12" s="1">
        <v>20.112079999999999</v>
      </c>
      <c r="L12" s="1">
        <v>1149</v>
      </c>
      <c r="M12" s="1">
        <v>57.917070000000002</v>
      </c>
      <c r="N12" s="1">
        <v>3.44584</v>
      </c>
      <c r="O12" s="1">
        <v>1698</v>
      </c>
      <c r="P12" s="1">
        <v>53.007570000000001</v>
      </c>
      <c r="Q12" s="1">
        <v>5.1490999999999998</v>
      </c>
      <c r="R12" s="1">
        <v>266</v>
      </c>
      <c r="T12" s="1"/>
      <c r="U12" s="1"/>
      <c r="V12" s="1"/>
    </row>
    <row r="13" spans="1:33" x14ac:dyDescent="0.3">
      <c r="A13" s="1" t="s">
        <v>3</v>
      </c>
      <c r="B13" s="1">
        <v>50</v>
      </c>
      <c r="C13" s="1">
        <v>1</v>
      </c>
      <c r="D13" s="1">
        <v>56.517440000000001</v>
      </c>
      <c r="E13" s="1">
        <v>13.59064</v>
      </c>
      <c r="F13" s="1">
        <v>563</v>
      </c>
      <c r="G13" s="1">
        <v>55.784799999999997</v>
      </c>
      <c r="H13" s="1">
        <v>22.607140000000001</v>
      </c>
      <c r="I13" s="1">
        <v>2628</v>
      </c>
      <c r="J13" s="1">
        <v>58.255429999999997</v>
      </c>
      <c r="K13" s="1">
        <v>19.971509999999999</v>
      </c>
      <c r="L13" s="1">
        <v>1147</v>
      </c>
      <c r="M13" s="1">
        <v>57.690399999999997</v>
      </c>
      <c r="N13" s="1">
        <v>6.8287100000000001</v>
      </c>
      <c r="O13" s="1">
        <v>3437</v>
      </c>
      <c r="P13" s="1">
        <v>53.162410000000001</v>
      </c>
      <c r="Q13" s="1">
        <v>5.1519500000000003</v>
      </c>
      <c r="R13" s="1">
        <v>265</v>
      </c>
      <c r="T13" s="1"/>
      <c r="U13" s="1"/>
      <c r="V13" s="1"/>
    </row>
    <row r="14" spans="1:33" x14ac:dyDescent="0.3">
      <c r="A14" s="1" t="s">
        <v>3</v>
      </c>
      <c r="B14" s="1">
        <v>50</v>
      </c>
      <c r="C14" s="1">
        <v>1</v>
      </c>
      <c r="D14" s="1">
        <v>56.660620000000002</v>
      </c>
      <c r="E14" s="1">
        <v>12.16695</v>
      </c>
      <c r="F14" s="1">
        <v>494</v>
      </c>
      <c r="G14" s="1">
        <v>53.720709999999997</v>
      </c>
      <c r="H14" s="1">
        <v>11.578749999999999</v>
      </c>
      <c r="I14" s="1">
        <v>1362</v>
      </c>
      <c r="J14" s="1">
        <v>58.255429999999997</v>
      </c>
      <c r="K14" s="1">
        <v>19.96058</v>
      </c>
      <c r="L14" s="1">
        <v>1141</v>
      </c>
      <c r="M14" s="1">
        <v>57.833730000000003</v>
      </c>
      <c r="N14" s="1">
        <v>5.0605599999999997</v>
      </c>
      <c r="O14" s="5">
        <v>2578</v>
      </c>
      <c r="P14" s="1">
        <v>53.008279999999999</v>
      </c>
      <c r="Q14" s="1">
        <v>9.9116099999999996</v>
      </c>
      <c r="R14" s="1">
        <v>505</v>
      </c>
      <c r="T14" s="1"/>
      <c r="U14" s="1"/>
      <c r="V14" s="5"/>
    </row>
    <row r="15" spans="1:33" x14ac:dyDescent="0.3">
      <c r="A15" s="1" t="s">
        <v>3</v>
      </c>
      <c r="B15" s="1">
        <v>50</v>
      </c>
      <c r="C15" s="1">
        <v>1</v>
      </c>
      <c r="D15" s="1">
        <v>56.664830000000002</v>
      </c>
      <c r="E15" s="1">
        <v>9.9388500000000004</v>
      </c>
      <c r="F15" s="1">
        <v>411</v>
      </c>
      <c r="G15" s="1">
        <v>53.8157</v>
      </c>
      <c r="H15" s="1">
        <v>19.503589999999999</v>
      </c>
      <c r="I15" s="1">
        <v>2327</v>
      </c>
      <c r="J15" s="1">
        <v>58.255429999999997</v>
      </c>
      <c r="K15" s="1">
        <v>20.409780000000001</v>
      </c>
      <c r="L15" s="1">
        <v>1147</v>
      </c>
      <c r="M15" s="1">
        <v>57.690399999999997</v>
      </c>
      <c r="N15" s="1">
        <v>9.5433599999999998</v>
      </c>
      <c r="O15" s="1">
        <v>4742</v>
      </c>
      <c r="P15" s="1">
        <v>53.042499999999997</v>
      </c>
      <c r="Q15" s="1">
        <v>6.9084300000000001</v>
      </c>
      <c r="R15" s="1">
        <v>352</v>
      </c>
      <c r="T15" s="1"/>
      <c r="U15" s="1"/>
      <c r="V15" s="1"/>
    </row>
    <row r="16" spans="1:33" x14ac:dyDescent="0.3">
      <c r="A16" s="1" t="s">
        <v>3</v>
      </c>
      <c r="B16" s="1">
        <v>50</v>
      </c>
      <c r="C16" s="1">
        <v>1</v>
      </c>
      <c r="D16" s="1">
        <v>56.540930000000003</v>
      </c>
      <c r="E16" s="1">
        <v>22.28049</v>
      </c>
      <c r="F16" s="1">
        <v>941</v>
      </c>
      <c r="G16" s="1">
        <v>56.422690000000003</v>
      </c>
      <c r="H16" s="1">
        <v>8.8192599999999999</v>
      </c>
      <c r="I16" s="1">
        <v>1047</v>
      </c>
      <c r="J16" s="1">
        <v>58.255429999999997</v>
      </c>
      <c r="K16" s="1">
        <v>19.44998</v>
      </c>
      <c r="L16" s="1">
        <v>1155</v>
      </c>
      <c r="M16" s="1">
        <v>57.660429999999998</v>
      </c>
      <c r="N16" s="1">
        <v>4.9602500000000003</v>
      </c>
      <c r="O16" s="1">
        <v>2557</v>
      </c>
      <c r="P16" s="1">
        <v>53.038200000000003</v>
      </c>
      <c r="Q16" s="1">
        <v>7.3470399999999998</v>
      </c>
      <c r="R16" s="1">
        <v>402</v>
      </c>
      <c r="T16" s="1"/>
      <c r="U16" s="1"/>
      <c r="V16" s="1"/>
    </row>
    <row r="17" spans="1:22" x14ac:dyDescent="0.3">
      <c r="A17" s="1" t="s">
        <v>3</v>
      </c>
      <c r="B17" s="1">
        <v>50</v>
      </c>
      <c r="C17" s="1">
        <v>1</v>
      </c>
      <c r="D17" s="1">
        <v>56.54636</v>
      </c>
      <c r="E17" s="1">
        <v>9.1752300000000009</v>
      </c>
      <c r="F17" s="1">
        <v>393</v>
      </c>
      <c r="G17" s="1">
        <v>53.807490000000001</v>
      </c>
      <c r="H17" s="1">
        <v>5.0690999999999997</v>
      </c>
      <c r="I17" s="1">
        <v>609</v>
      </c>
      <c r="J17" s="1">
        <v>58.255429999999997</v>
      </c>
      <c r="K17" s="1">
        <v>19.178360000000001</v>
      </c>
      <c r="L17" s="1">
        <v>1140</v>
      </c>
      <c r="M17" s="1">
        <v>57.783729999999998</v>
      </c>
      <c r="N17" s="1">
        <v>5.7847200000000001</v>
      </c>
      <c r="O17" s="1">
        <v>2776</v>
      </c>
      <c r="P17" s="1">
        <v>52.988849999999999</v>
      </c>
      <c r="Q17" s="1">
        <v>8.8801600000000001</v>
      </c>
      <c r="R17" s="1">
        <v>490</v>
      </c>
      <c r="T17" s="1"/>
      <c r="U17" s="1"/>
      <c r="V17" s="1"/>
    </row>
    <row r="18" spans="1:22" x14ac:dyDescent="0.3">
      <c r="A18" s="1" t="s">
        <v>3</v>
      </c>
      <c r="B18" s="1">
        <v>50</v>
      </c>
      <c r="C18" s="1">
        <v>1</v>
      </c>
      <c r="D18" s="1">
        <v>56.655140000000003</v>
      </c>
      <c r="E18" s="1">
        <v>10.762890000000001</v>
      </c>
      <c r="F18" s="1">
        <v>471</v>
      </c>
      <c r="G18" s="1">
        <v>56.775010000000002</v>
      </c>
      <c r="H18" s="1">
        <v>5.5157100000000003</v>
      </c>
      <c r="I18" s="1">
        <v>657</v>
      </c>
      <c r="J18" s="1">
        <v>58.255429999999997</v>
      </c>
      <c r="K18" s="1">
        <v>19.356929999999998</v>
      </c>
      <c r="L18" s="1">
        <v>1158</v>
      </c>
      <c r="M18" s="1">
        <v>57.507069999999999</v>
      </c>
      <c r="N18" s="1">
        <v>7.4449800000000002</v>
      </c>
      <c r="O18" s="1">
        <v>3980</v>
      </c>
      <c r="P18" s="1">
        <v>53.15757</v>
      </c>
      <c r="Q18" s="1">
        <v>4.8661599999999998</v>
      </c>
      <c r="R18" s="1">
        <v>251</v>
      </c>
      <c r="T18" s="1"/>
      <c r="U18" s="1"/>
      <c r="V18" s="1"/>
    </row>
    <row r="19" spans="1:22" x14ac:dyDescent="0.3">
      <c r="A19" s="1" t="s">
        <v>3</v>
      </c>
      <c r="B19" s="1">
        <v>50</v>
      </c>
      <c r="C19" s="1">
        <v>1</v>
      </c>
      <c r="D19" s="1">
        <v>56.588470000000001</v>
      </c>
      <c r="E19" s="1">
        <v>11.221880000000001</v>
      </c>
      <c r="F19" s="1">
        <v>482</v>
      </c>
      <c r="G19" s="1">
        <v>56.061210000000003</v>
      </c>
      <c r="H19" s="1">
        <v>12.211600000000001</v>
      </c>
      <c r="I19" s="1">
        <v>1486</v>
      </c>
      <c r="J19" s="1">
        <v>58.255429999999997</v>
      </c>
      <c r="K19" s="1">
        <v>18.90615</v>
      </c>
      <c r="L19" s="1">
        <v>1142</v>
      </c>
      <c r="M19" s="1">
        <v>57.760399999999997</v>
      </c>
      <c r="N19" s="1">
        <v>6.0099400000000003</v>
      </c>
      <c r="O19" s="1">
        <v>3203</v>
      </c>
      <c r="P19" s="1">
        <v>53.127569999999999</v>
      </c>
      <c r="Q19" s="1">
        <v>6.3955000000000002</v>
      </c>
      <c r="R19" s="1">
        <v>350</v>
      </c>
      <c r="T19" s="1"/>
      <c r="U19" s="1"/>
      <c r="V19" s="1"/>
    </row>
    <row r="20" spans="1:22" x14ac:dyDescent="0.3">
      <c r="A20" s="1" t="s">
        <v>3</v>
      </c>
      <c r="B20" s="1">
        <v>50</v>
      </c>
      <c r="C20" s="1">
        <v>1</v>
      </c>
      <c r="D20" s="1">
        <v>56.612209999999997</v>
      </c>
      <c r="E20" s="1">
        <v>15.525919999999999</v>
      </c>
      <c r="F20" s="1">
        <v>667</v>
      </c>
      <c r="G20" s="1">
        <v>54.078279999999999</v>
      </c>
      <c r="H20" s="1">
        <v>14.92639</v>
      </c>
      <c r="I20" s="1">
        <v>1812</v>
      </c>
      <c r="J20" s="1">
        <v>58.255429999999997</v>
      </c>
      <c r="K20" s="1">
        <v>18.839310000000001</v>
      </c>
      <c r="L20" s="1">
        <v>1150</v>
      </c>
      <c r="M20" s="1">
        <v>57.917070000000002</v>
      </c>
      <c r="N20" s="1">
        <v>3.7126999999999999</v>
      </c>
      <c r="O20" s="1">
        <v>1698</v>
      </c>
      <c r="P20" s="1">
        <v>53.017569999999999</v>
      </c>
      <c r="Q20" s="1">
        <v>5.5660699999999999</v>
      </c>
      <c r="R20" s="1">
        <v>304</v>
      </c>
      <c r="T20" s="1"/>
      <c r="U20" s="1"/>
      <c r="V20" s="1"/>
    </row>
    <row r="21" spans="1:22" x14ac:dyDescent="0.3">
      <c r="A21" s="1" t="s">
        <v>3</v>
      </c>
      <c r="B21" s="1">
        <v>50</v>
      </c>
      <c r="C21" s="1">
        <v>1</v>
      </c>
      <c r="D21" s="1">
        <v>56.366509999999998</v>
      </c>
      <c r="E21" s="1">
        <v>28.675519999999999</v>
      </c>
      <c r="F21" s="1">
        <v>1224</v>
      </c>
      <c r="G21" s="1">
        <v>56.723140000000001</v>
      </c>
      <c r="H21" s="1">
        <v>5.0483700000000002</v>
      </c>
      <c r="I21" s="1">
        <v>625</v>
      </c>
      <c r="J21" s="1">
        <v>58.255429999999997</v>
      </c>
      <c r="K21" s="1">
        <v>19.2651</v>
      </c>
      <c r="L21" s="1">
        <v>1163</v>
      </c>
      <c r="M21" s="1">
        <v>55.968710000000002</v>
      </c>
      <c r="N21" s="1">
        <v>23.93892</v>
      </c>
      <c r="O21" s="1">
        <v>12656</v>
      </c>
      <c r="P21" s="1">
        <v>53.078850000000003</v>
      </c>
      <c r="Q21" s="1">
        <v>7.3551700000000002</v>
      </c>
      <c r="R21" s="1">
        <v>409</v>
      </c>
      <c r="T21" s="1"/>
      <c r="U21" s="1"/>
      <c r="V21" s="1"/>
    </row>
    <row r="22" spans="1:22" x14ac:dyDescent="0.3">
      <c r="A22" s="1" t="s">
        <v>3</v>
      </c>
      <c r="B22" s="1">
        <v>100</v>
      </c>
      <c r="C22" s="1">
        <v>1</v>
      </c>
      <c r="D22" s="1">
        <v>104.37829000000001</v>
      </c>
      <c r="E22" s="1">
        <v>34.145040000000002</v>
      </c>
      <c r="F22" s="1">
        <v>880</v>
      </c>
      <c r="G22" s="1">
        <v>106.39201</v>
      </c>
      <c r="H22" s="1">
        <v>13.694369999999999</v>
      </c>
      <c r="I22" s="1">
        <v>1168</v>
      </c>
      <c r="J22" s="1">
        <v>105.21427</v>
      </c>
      <c r="K22" s="1">
        <v>100.37318</v>
      </c>
      <c r="L22" s="1">
        <v>1611</v>
      </c>
      <c r="M22" s="1">
        <v>104.41127</v>
      </c>
      <c r="N22" s="1">
        <v>37.882379999999998</v>
      </c>
      <c r="O22" s="1">
        <v>9634</v>
      </c>
      <c r="P22" s="1">
        <v>103.7358</v>
      </c>
      <c r="Q22" s="1">
        <v>48.97486</v>
      </c>
      <c r="R22" s="1">
        <v>810</v>
      </c>
      <c r="T22" s="1"/>
      <c r="U22" s="1"/>
      <c r="V22" s="1"/>
    </row>
    <row r="23" spans="1:22" x14ac:dyDescent="0.3">
      <c r="A23" s="1" t="s">
        <v>3</v>
      </c>
      <c r="B23" s="1">
        <v>100</v>
      </c>
      <c r="C23" s="1">
        <v>1</v>
      </c>
      <c r="D23" s="1">
        <v>104.93003</v>
      </c>
      <c r="E23" s="1">
        <v>53.672809999999998</v>
      </c>
      <c r="F23" s="1">
        <v>1334</v>
      </c>
      <c r="G23" s="1">
        <v>104.43626999999999</v>
      </c>
      <c r="H23" s="1">
        <v>45.51934</v>
      </c>
      <c r="I23" s="1">
        <v>4060</v>
      </c>
      <c r="J23" s="1">
        <v>105.21427</v>
      </c>
      <c r="K23" s="1">
        <v>99.899209999999997</v>
      </c>
      <c r="L23" s="1">
        <v>1605</v>
      </c>
      <c r="M23" s="1">
        <v>104.30969</v>
      </c>
      <c r="N23" s="1">
        <v>36.361640000000001</v>
      </c>
      <c r="O23" s="1">
        <v>9263</v>
      </c>
      <c r="P23" s="1">
        <v>103.73412999999999</v>
      </c>
      <c r="Q23" s="1">
        <v>31.822700000000001</v>
      </c>
      <c r="R23" s="1">
        <v>531</v>
      </c>
      <c r="T23" s="1"/>
      <c r="U23" s="1"/>
      <c r="V23" s="1"/>
    </row>
    <row r="24" spans="1:22" x14ac:dyDescent="0.3">
      <c r="A24" s="1" t="s">
        <v>3</v>
      </c>
      <c r="B24" s="1">
        <v>100</v>
      </c>
      <c r="C24" s="1">
        <v>1</v>
      </c>
      <c r="D24" s="1">
        <v>104.47996000000001</v>
      </c>
      <c r="E24" s="1">
        <v>56.56259</v>
      </c>
      <c r="F24" s="1">
        <v>1388</v>
      </c>
      <c r="G24" s="1">
        <v>105.29849</v>
      </c>
      <c r="H24" s="1">
        <v>15.37308</v>
      </c>
      <c r="I24" s="1">
        <v>1331</v>
      </c>
      <c r="J24" s="1">
        <v>105.21427</v>
      </c>
      <c r="K24" s="1">
        <v>101.94970000000001</v>
      </c>
      <c r="L24" s="1">
        <v>1636</v>
      </c>
      <c r="M24" s="1">
        <v>104.58627</v>
      </c>
      <c r="N24" s="1">
        <v>17.340610000000002</v>
      </c>
      <c r="O24" s="1">
        <v>4444</v>
      </c>
      <c r="P24" s="1">
        <v>103.86163000000001</v>
      </c>
      <c r="Q24" s="1">
        <v>34.00497</v>
      </c>
      <c r="R24" s="1">
        <v>562</v>
      </c>
      <c r="T24" s="1"/>
      <c r="U24" s="1"/>
      <c r="V24" s="1"/>
    </row>
    <row r="25" spans="1:22" x14ac:dyDescent="0.3">
      <c r="A25" s="1" t="s">
        <v>3</v>
      </c>
      <c r="B25" s="1">
        <v>100</v>
      </c>
      <c r="C25" s="1">
        <v>1</v>
      </c>
      <c r="D25" s="1">
        <v>105.16503</v>
      </c>
      <c r="E25" s="1">
        <v>34.817790000000002</v>
      </c>
      <c r="F25" s="1">
        <v>876</v>
      </c>
      <c r="G25" s="1">
        <v>104.24034</v>
      </c>
      <c r="H25" s="1">
        <v>19.247</v>
      </c>
      <c r="I25" s="1">
        <v>1678</v>
      </c>
      <c r="J25" s="1">
        <v>105.21427</v>
      </c>
      <c r="K25" s="1">
        <v>99.895970000000005</v>
      </c>
      <c r="L25" s="1">
        <v>1608</v>
      </c>
      <c r="M25" s="1">
        <v>104.78349</v>
      </c>
      <c r="N25" s="1">
        <v>17.65156</v>
      </c>
      <c r="O25" s="1">
        <v>4523</v>
      </c>
      <c r="P25" s="1">
        <v>103.77837</v>
      </c>
      <c r="Q25" s="1">
        <v>36.811689999999999</v>
      </c>
      <c r="R25" s="1">
        <v>615</v>
      </c>
      <c r="T25" s="1"/>
      <c r="U25" s="1"/>
      <c r="V25" s="1"/>
    </row>
    <row r="26" spans="1:22" x14ac:dyDescent="0.3">
      <c r="A26" s="1" t="s">
        <v>3</v>
      </c>
      <c r="B26" s="1">
        <v>100</v>
      </c>
      <c r="C26" s="1">
        <v>1</v>
      </c>
      <c r="D26" s="1">
        <v>104.49247</v>
      </c>
      <c r="E26" s="1">
        <v>57.456870000000002</v>
      </c>
      <c r="F26" s="1">
        <v>1464</v>
      </c>
      <c r="G26" s="1">
        <v>108.05906</v>
      </c>
      <c r="H26" s="1">
        <v>25.85895</v>
      </c>
      <c r="I26" s="1">
        <v>2299</v>
      </c>
      <c r="J26" s="1">
        <v>105.21427</v>
      </c>
      <c r="K26" s="1">
        <v>107.38636</v>
      </c>
      <c r="L26" s="1">
        <v>1726</v>
      </c>
      <c r="M26" s="1">
        <v>104.39664999999999</v>
      </c>
      <c r="N26" s="1">
        <v>42.52187</v>
      </c>
      <c r="O26" s="1">
        <v>10837</v>
      </c>
      <c r="P26" s="1">
        <v>103.7658</v>
      </c>
      <c r="Q26" s="1">
        <v>52.353079999999999</v>
      </c>
      <c r="R26" s="1">
        <v>872</v>
      </c>
      <c r="T26" s="1"/>
      <c r="U26" s="1"/>
      <c r="V26" s="1"/>
    </row>
    <row r="27" spans="1:22" x14ac:dyDescent="0.3">
      <c r="A27" s="1" t="s">
        <v>3</v>
      </c>
      <c r="B27" s="1">
        <v>100</v>
      </c>
      <c r="C27" s="1">
        <v>1</v>
      </c>
      <c r="D27" s="1">
        <v>104.47996000000001</v>
      </c>
      <c r="E27" s="1">
        <v>49.649819999999998</v>
      </c>
      <c r="F27" s="1">
        <v>1274</v>
      </c>
      <c r="G27" s="1">
        <v>104.29701</v>
      </c>
      <c r="H27" s="1">
        <v>17.97749</v>
      </c>
      <c r="I27" s="1">
        <v>1584</v>
      </c>
      <c r="J27" s="1">
        <v>105.21427</v>
      </c>
      <c r="K27" s="1">
        <v>104.64557000000001</v>
      </c>
      <c r="L27" s="1">
        <v>1681</v>
      </c>
      <c r="M27" s="1">
        <v>104.43349000000001</v>
      </c>
      <c r="N27" s="1">
        <v>29.830670000000001</v>
      </c>
      <c r="O27" s="1">
        <v>7546</v>
      </c>
      <c r="P27" s="1">
        <v>103.72829</v>
      </c>
      <c r="Q27" s="1">
        <v>46.310360000000003</v>
      </c>
      <c r="R27" s="1">
        <v>762</v>
      </c>
      <c r="T27" s="1"/>
      <c r="U27" s="1"/>
      <c r="V27" s="1"/>
    </row>
    <row r="28" spans="1:22" x14ac:dyDescent="0.3">
      <c r="A28" s="1" t="s">
        <v>3</v>
      </c>
      <c r="B28" s="1">
        <v>100</v>
      </c>
      <c r="C28" s="1">
        <v>1</v>
      </c>
      <c r="D28" s="1">
        <v>105.21427</v>
      </c>
      <c r="E28" s="1">
        <v>19.051220000000001</v>
      </c>
      <c r="F28" s="1">
        <v>480</v>
      </c>
      <c r="G28" s="1">
        <v>107.42103</v>
      </c>
      <c r="H28" s="1">
        <v>20.378309999999999</v>
      </c>
      <c r="I28" s="1">
        <v>1763</v>
      </c>
      <c r="J28" s="1">
        <v>105.21427</v>
      </c>
      <c r="K28" s="1">
        <v>99.860309999999998</v>
      </c>
      <c r="L28" s="1">
        <v>1613</v>
      </c>
      <c r="M28" s="1">
        <v>104.44302999999999</v>
      </c>
      <c r="N28" s="1">
        <v>21.774650000000001</v>
      </c>
      <c r="O28" s="1">
        <v>5509</v>
      </c>
      <c r="P28" s="1">
        <v>103.77674</v>
      </c>
      <c r="Q28" s="1">
        <v>56.09093</v>
      </c>
      <c r="R28" s="1">
        <v>932</v>
      </c>
      <c r="T28" s="1"/>
      <c r="U28" s="1"/>
      <c r="V28" s="1"/>
    </row>
    <row r="29" spans="1:22" x14ac:dyDescent="0.3">
      <c r="A29" s="1" t="s">
        <v>3</v>
      </c>
      <c r="B29" s="1">
        <v>100</v>
      </c>
      <c r="C29" s="1">
        <v>1</v>
      </c>
      <c r="D29" s="1">
        <v>104.85503</v>
      </c>
      <c r="E29" s="1">
        <v>57.055030000000002</v>
      </c>
      <c r="F29" s="1">
        <v>1388</v>
      </c>
      <c r="G29" s="1">
        <v>108.05002</v>
      </c>
      <c r="H29" s="1">
        <v>14.03012</v>
      </c>
      <c r="I29" s="1">
        <v>1232</v>
      </c>
      <c r="J29" s="1">
        <v>105.21427</v>
      </c>
      <c r="K29" s="1">
        <v>101.06610000000001</v>
      </c>
      <c r="L29" s="1">
        <v>1624</v>
      </c>
      <c r="M29" s="1">
        <v>104.53053</v>
      </c>
      <c r="N29" s="1">
        <v>30.385259999999999</v>
      </c>
      <c r="O29" s="1">
        <v>7825</v>
      </c>
      <c r="P29" s="1">
        <v>103.73663000000001</v>
      </c>
      <c r="Q29" s="1">
        <v>73.824560000000005</v>
      </c>
      <c r="R29" s="1">
        <v>1225</v>
      </c>
      <c r="T29" s="1"/>
      <c r="U29" s="1"/>
      <c r="V29" s="1"/>
    </row>
    <row r="30" spans="1:22" x14ac:dyDescent="0.3">
      <c r="A30" s="1" t="s">
        <v>3</v>
      </c>
      <c r="B30" s="1">
        <v>100</v>
      </c>
      <c r="C30" s="1">
        <v>1</v>
      </c>
      <c r="D30" s="1">
        <v>104.46913000000001</v>
      </c>
      <c r="E30" s="1">
        <v>138.40254999999999</v>
      </c>
      <c r="F30" s="1">
        <v>3560</v>
      </c>
      <c r="G30" s="1">
        <v>104.72682</v>
      </c>
      <c r="H30" s="1">
        <v>12.31845</v>
      </c>
      <c r="I30" s="1">
        <v>1069</v>
      </c>
      <c r="J30" s="1">
        <v>105.21427</v>
      </c>
      <c r="K30" s="1">
        <v>104.46268999999999</v>
      </c>
      <c r="L30" s="1">
        <v>1671</v>
      </c>
      <c r="M30" s="1">
        <v>104.5397</v>
      </c>
      <c r="N30" s="1">
        <v>16.33989</v>
      </c>
      <c r="O30" s="1">
        <v>4180</v>
      </c>
      <c r="P30" s="1">
        <v>103.71275</v>
      </c>
      <c r="Q30" s="1">
        <v>54.800370000000001</v>
      </c>
      <c r="R30" s="1">
        <v>903</v>
      </c>
      <c r="T30" s="1"/>
      <c r="U30" s="1"/>
      <c r="V30" s="1"/>
    </row>
    <row r="31" spans="1:22" x14ac:dyDescent="0.3">
      <c r="A31" s="1" t="s">
        <v>3</v>
      </c>
      <c r="B31" s="1">
        <v>100</v>
      </c>
      <c r="C31" s="1">
        <v>1</v>
      </c>
      <c r="D31" s="1">
        <v>104.50329000000001</v>
      </c>
      <c r="E31" s="1">
        <v>42.30686</v>
      </c>
      <c r="F31" s="1">
        <v>1084</v>
      </c>
      <c r="G31" s="1">
        <v>104.39247</v>
      </c>
      <c r="H31" s="1">
        <v>29.555800000000001</v>
      </c>
      <c r="I31" s="1">
        <v>2587</v>
      </c>
      <c r="J31" s="1">
        <v>105.21427</v>
      </c>
      <c r="K31" s="1">
        <v>100.4147</v>
      </c>
      <c r="L31" s="1">
        <v>1610</v>
      </c>
      <c r="M31" s="1">
        <v>104.67127000000001</v>
      </c>
      <c r="N31" s="1">
        <v>21.213010000000001</v>
      </c>
      <c r="O31" s="1">
        <v>5438</v>
      </c>
      <c r="P31" s="1">
        <v>103.72247</v>
      </c>
      <c r="Q31" s="1">
        <v>39.54166</v>
      </c>
      <c r="R31" s="1">
        <v>652</v>
      </c>
      <c r="T31" s="1"/>
      <c r="U31" s="1"/>
      <c r="V31" s="1"/>
    </row>
    <row r="32" spans="1:22" x14ac:dyDescent="0.3">
      <c r="A32" s="1" t="s">
        <v>16</v>
      </c>
      <c r="B32" s="1">
        <v>30</v>
      </c>
      <c r="C32" s="1">
        <v>1</v>
      </c>
      <c r="D32" s="1">
        <v>156.12666999999999</v>
      </c>
      <c r="E32" s="1">
        <v>4.4163600000000001</v>
      </c>
      <c r="F32" s="1">
        <v>269</v>
      </c>
      <c r="G32" s="1">
        <v>210.71536</v>
      </c>
      <c r="H32" s="1">
        <v>3.1289600000000002</v>
      </c>
      <c r="I32" s="1">
        <v>452</v>
      </c>
      <c r="J32" s="1">
        <v>156.12719000000001</v>
      </c>
      <c r="K32" s="1">
        <v>8.0163600000000006</v>
      </c>
      <c r="L32" s="1">
        <v>883</v>
      </c>
      <c r="M32" s="1">
        <v>156.13147000000001</v>
      </c>
      <c r="N32" s="1">
        <v>2.8719800000000002</v>
      </c>
      <c r="O32" s="1">
        <v>2321</v>
      </c>
      <c r="P32" s="1">
        <v>156.13999999999999</v>
      </c>
      <c r="Q32" s="1">
        <v>1.18946</v>
      </c>
      <c r="R32" s="1">
        <v>108</v>
      </c>
      <c r="T32" s="1"/>
      <c r="U32" s="1"/>
      <c r="V32" s="1"/>
    </row>
    <row r="33" spans="1:43" x14ac:dyDescent="0.3">
      <c r="A33" s="1" t="s">
        <v>16</v>
      </c>
      <c r="B33" s="1">
        <v>30</v>
      </c>
      <c r="C33" s="1">
        <v>1</v>
      </c>
      <c r="D33" s="1">
        <v>156.12666999999999</v>
      </c>
      <c r="E33" s="1">
        <v>4.3949600000000002</v>
      </c>
      <c r="F33" s="1">
        <v>271</v>
      </c>
      <c r="G33" s="1">
        <v>156.12666999999999</v>
      </c>
      <c r="H33" s="1">
        <v>4.3627700000000003</v>
      </c>
      <c r="I33" s="1">
        <v>643</v>
      </c>
      <c r="J33" s="1">
        <v>156.12710000000001</v>
      </c>
      <c r="K33" s="1">
        <v>7.9741</v>
      </c>
      <c r="L33" s="1">
        <v>889</v>
      </c>
      <c r="M33" s="1">
        <v>156.13147000000001</v>
      </c>
      <c r="N33" s="1">
        <v>2.6908799999999999</v>
      </c>
      <c r="O33" s="1">
        <v>2159</v>
      </c>
      <c r="P33" s="1">
        <v>156.12666999999999</v>
      </c>
      <c r="Q33" s="1">
        <v>1.1275200000000001</v>
      </c>
      <c r="R33" s="1">
        <v>98</v>
      </c>
      <c r="T33" s="1"/>
      <c r="U33" s="1"/>
      <c r="V33" s="1"/>
    </row>
    <row r="34" spans="1:43" x14ac:dyDescent="0.3">
      <c r="A34" s="1" t="s">
        <v>16</v>
      </c>
      <c r="B34" s="1">
        <v>30</v>
      </c>
      <c r="C34" s="1">
        <v>1</v>
      </c>
      <c r="D34" s="1">
        <v>156.12666999999999</v>
      </c>
      <c r="E34" s="1">
        <v>4.3276599999999998</v>
      </c>
      <c r="F34" s="1">
        <v>268</v>
      </c>
      <c r="G34" s="1">
        <v>156.22667000000001</v>
      </c>
      <c r="H34" s="1">
        <v>4.3657399999999997</v>
      </c>
      <c r="I34" s="1">
        <v>636</v>
      </c>
      <c r="J34" s="1">
        <v>156.12714</v>
      </c>
      <c r="K34" s="1">
        <v>8.1319499999999998</v>
      </c>
      <c r="L34" s="1">
        <v>886</v>
      </c>
      <c r="M34" s="1">
        <v>156.13147000000001</v>
      </c>
      <c r="N34" s="1">
        <v>3.9687199999999998</v>
      </c>
      <c r="O34" s="1">
        <v>3174</v>
      </c>
      <c r="P34" s="1">
        <v>156.12666999999999</v>
      </c>
      <c r="Q34" s="1">
        <v>0.97285999999999995</v>
      </c>
      <c r="R34" s="1">
        <v>85</v>
      </c>
      <c r="T34" s="1"/>
      <c r="U34" s="1"/>
      <c r="V34" s="1"/>
    </row>
    <row r="35" spans="1:43" x14ac:dyDescent="0.3">
      <c r="A35" s="1" t="s">
        <v>16</v>
      </c>
      <c r="B35" s="1">
        <v>30</v>
      </c>
      <c r="C35" s="1">
        <v>1</v>
      </c>
      <c r="D35" s="1">
        <v>156.12666999999999</v>
      </c>
      <c r="E35" s="1">
        <v>4.8388400000000003</v>
      </c>
      <c r="F35" s="5">
        <v>271</v>
      </c>
      <c r="G35" s="1">
        <v>156.12666999999999</v>
      </c>
      <c r="H35" s="1">
        <v>3.0758700000000001</v>
      </c>
      <c r="I35" s="1">
        <v>435</v>
      </c>
      <c r="J35" s="1">
        <v>156.12714</v>
      </c>
      <c r="K35" s="1">
        <v>7.7240399999999996</v>
      </c>
      <c r="L35" s="1">
        <v>883</v>
      </c>
      <c r="M35" s="1">
        <v>156.13147000000001</v>
      </c>
      <c r="N35" s="1">
        <v>2.28037</v>
      </c>
      <c r="O35" s="1">
        <v>1807</v>
      </c>
      <c r="P35" s="1">
        <v>156.12666999999999</v>
      </c>
      <c r="Q35" s="1">
        <v>1.3628800000000001</v>
      </c>
      <c r="R35" s="1">
        <v>121</v>
      </c>
      <c r="T35" s="1"/>
      <c r="U35" s="1"/>
      <c r="V35" s="1"/>
    </row>
    <row r="36" spans="1:43" x14ac:dyDescent="0.3">
      <c r="A36" s="1" t="s">
        <v>16</v>
      </c>
      <c r="B36" s="1">
        <v>30</v>
      </c>
      <c r="C36" s="1">
        <v>1</v>
      </c>
      <c r="D36" s="1">
        <v>156.12666999999999</v>
      </c>
      <c r="E36" s="1">
        <v>4.3468099999999996</v>
      </c>
      <c r="F36" s="1">
        <v>268</v>
      </c>
      <c r="G36" s="1">
        <v>156.13999999999999</v>
      </c>
      <c r="H36" s="1">
        <v>3.8758699999999999</v>
      </c>
      <c r="I36" s="1">
        <v>571</v>
      </c>
      <c r="J36" s="1">
        <v>156.12719000000001</v>
      </c>
      <c r="K36" s="1">
        <v>7.9474200000000002</v>
      </c>
      <c r="L36" s="1">
        <v>881</v>
      </c>
      <c r="M36" s="1">
        <v>156.13147000000001</v>
      </c>
      <c r="N36" s="1">
        <v>2.37616</v>
      </c>
      <c r="O36" s="1">
        <v>1892</v>
      </c>
      <c r="P36" s="1">
        <v>156.12666999999999</v>
      </c>
      <c r="Q36" s="1">
        <v>0.89009000000000005</v>
      </c>
      <c r="R36" s="1">
        <v>78</v>
      </c>
      <c r="T36" s="1"/>
      <c r="U36" s="1"/>
      <c r="V36" s="1"/>
    </row>
    <row r="37" spans="1:43" x14ac:dyDescent="0.3">
      <c r="A37" s="1" t="s">
        <v>16</v>
      </c>
      <c r="B37" s="1">
        <v>30</v>
      </c>
      <c r="C37" s="1">
        <v>1</v>
      </c>
      <c r="D37" s="1">
        <v>156.12666999999999</v>
      </c>
      <c r="E37" s="1">
        <v>4.3954000000000004</v>
      </c>
      <c r="F37" s="1">
        <v>271</v>
      </c>
      <c r="G37" s="1">
        <v>156.12666999999999</v>
      </c>
      <c r="H37" s="1">
        <v>3.82348</v>
      </c>
      <c r="I37" s="1">
        <v>562</v>
      </c>
      <c r="J37" s="1">
        <v>156.12714</v>
      </c>
      <c r="K37" s="1">
        <v>8.1055100000000007</v>
      </c>
      <c r="L37" s="1">
        <v>886</v>
      </c>
      <c r="M37" s="1">
        <v>156.13147000000001</v>
      </c>
      <c r="N37" s="1">
        <v>3.1710400000000001</v>
      </c>
      <c r="O37" s="1">
        <v>2532</v>
      </c>
      <c r="P37" s="1">
        <v>156.12666999999999</v>
      </c>
      <c r="Q37" s="1">
        <v>0.80164000000000002</v>
      </c>
      <c r="R37" s="1">
        <v>71</v>
      </c>
      <c r="T37" s="1"/>
      <c r="U37" s="1"/>
      <c r="V37" s="1"/>
    </row>
    <row r="38" spans="1:43" x14ac:dyDescent="0.3">
      <c r="A38" s="1" t="s">
        <v>16</v>
      </c>
      <c r="B38" s="1">
        <v>30</v>
      </c>
      <c r="C38" s="1">
        <v>1</v>
      </c>
      <c r="D38" s="1">
        <v>156.12666999999999</v>
      </c>
      <c r="E38" s="1">
        <v>4.3383799999999999</v>
      </c>
      <c r="F38" s="1">
        <v>267</v>
      </c>
      <c r="G38" s="1">
        <v>156.12666999999999</v>
      </c>
      <c r="H38" s="1">
        <v>5.4493299999999998</v>
      </c>
      <c r="I38" s="1">
        <v>796</v>
      </c>
      <c r="J38" s="1">
        <v>156.12719000000001</v>
      </c>
      <c r="K38" s="1">
        <v>7.9569999999999999</v>
      </c>
      <c r="L38" s="1">
        <v>887</v>
      </c>
      <c r="M38" s="1">
        <v>156.12671</v>
      </c>
      <c r="N38" s="1">
        <v>3.0594600000000001</v>
      </c>
      <c r="O38" s="1">
        <v>2408</v>
      </c>
      <c r="P38" s="1">
        <v>156.12666999999999</v>
      </c>
      <c r="Q38" s="1">
        <v>1.2493700000000001</v>
      </c>
      <c r="R38" s="1">
        <v>109</v>
      </c>
      <c r="T38" s="1"/>
      <c r="U38" s="1"/>
      <c r="V38" s="1"/>
    </row>
    <row r="39" spans="1:43" x14ac:dyDescent="0.3">
      <c r="A39" s="1" t="s">
        <v>16</v>
      </c>
      <c r="B39" s="1">
        <v>30</v>
      </c>
      <c r="C39" s="1">
        <v>1</v>
      </c>
      <c r="D39" s="1">
        <v>156.12666999999999</v>
      </c>
      <c r="E39" s="1">
        <v>4.40672</v>
      </c>
      <c r="F39" s="1">
        <v>270</v>
      </c>
      <c r="G39" s="1">
        <v>156.12666999999999</v>
      </c>
      <c r="H39" s="1">
        <v>4.1868800000000004</v>
      </c>
      <c r="I39" s="1">
        <v>605</v>
      </c>
      <c r="J39" s="1">
        <v>156.12719000000001</v>
      </c>
      <c r="K39" s="1">
        <v>8.0040999999999993</v>
      </c>
      <c r="L39" s="1">
        <v>882</v>
      </c>
      <c r="M39" s="1">
        <v>156.13147000000001</v>
      </c>
      <c r="N39" s="1">
        <v>2.5116700000000001</v>
      </c>
      <c r="O39" s="1">
        <v>1904</v>
      </c>
      <c r="P39" s="1">
        <v>171.00667000000001</v>
      </c>
      <c r="Q39" s="1">
        <v>0.59372999999999998</v>
      </c>
      <c r="R39" s="1">
        <v>53</v>
      </c>
      <c r="T39" s="1"/>
      <c r="U39" s="1"/>
      <c r="V39" s="1"/>
    </row>
    <row r="40" spans="1:43" x14ac:dyDescent="0.3">
      <c r="A40" s="1" t="s">
        <v>16</v>
      </c>
      <c r="B40" s="1">
        <v>30</v>
      </c>
      <c r="C40" s="1">
        <v>1</v>
      </c>
      <c r="D40" s="1">
        <v>156.12666999999999</v>
      </c>
      <c r="E40" s="1">
        <v>4.3431899999999999</v>
      </c>
      <c r="F40" s="1">
        <v>268</v>
      </c>
      <c r="G40" s="1">
        <v>156.12666999999999</v>
      </c>
      <c r="H40" s="1">
        <v>4.4583199999999996</v>
      </c>
      <c r="I40" s="1">
        <v>585</v>
      </c>
      <c r="J40" s="1">
        <v>171.00667000000001</v>
      </c>
      <c r="K40" s="1">
        <v>7.9543299999999997</v>
      </c>
      <c r="L40" s="1">
        <v>880</v>
      </c>
      <c r="M40" s="1">
        <v>156.13147000000001</v>
      </c>
      <c r="N40" s="1">
        <v>1.7247300000000001</v>
      </c>
      <c r="O40" s="1">
        <v>1377</v>
      </c>
      <c r="P40" s="1">
        <v>156.12666999999999</v>
      </c>
      <c r="Q40" s="1">
        <v>0.81574999999999998</v>
      </c>
      <c r="R40" s="1">
        <v>73</v>
      </c>
      <c r="T40" s="1"/>
      <c r="U40" s="1"/>
      <c r="V40" s="1"/>
    </row>
    <row r="41" spans="1:43" x14ac:dyDescent="0.3">
      <c r="A41" s="1" t="s">
        <v>16</v>
      </c>
      <c r="B41" s="1">
        <v>30</v>
      </c>
      <c r="C41" s="1">
        <v>1</v>
      </c>
      <c r="D41" s="1">
        <v>156.12666999999999</v>
      </c>
      <c r="E41" s="1">
        <v>4.4527400000000004</v>
      </c>
      <c r="F41" s="1">
        <v>273</v>
      </c>
      <c r="G41" s="1">
        <v>156.13999999999999</v>
      </c>
      <c r="H41" s="1">
        <v>3.1933699999999998</v>
      </c>
      <c r="I41" s="1">
        <v>466</v>
      </c>
      <c r="J41" s="1">
        <v>156.12719000000001</v>
      </c>
      <c r="K41" s="1">
        <v>8.1521299999999997</v>
      </c>
      <c r="L41" s="1">
        <v>892</v>
      </c>
      <c r="M41" s="1">
        <v>156.12671</v>
      </c>
      <c r="N41" s="1">
        <v>4.0812999999999997</v>
      </c>
      <c r="O41" s="1">
        <v>3318</v>
      </c>
      <c r="P41" s="1">
        <v>156.12666999999999</v>
      </c>
      <c r="Q41" s="1">
        <v>1.15554</v>
      </c>
      <c r="R41" s="1">
        <v>102</v>
      </c>
      <c r="T41" s="1"/>
      <c r="U41" s="1"/>
      <c r="V41" s="1"/>
    </row>
    <row r="42" spans="1:43" x14ac:dyDescent="0.3">
      <c r="A42" s="1" t="s">
        <v>16</v>
      </c>
      <c r="B42" s="1">
        <v>50</v>
      </c>
      <c r="C42" s="1">
        <v>1</v>
      </c>
      <c r="D42" s="1">
        <v>188.57333</v>
      </c>
      <c r="E42" s="1">
        <v>23.115369999999999</v>
      </c>
      <c r="F42" s="1">
        <v>978</v>
      </c>
      <c r="G42" s="1">
        <v>240.12807000000001</v>
      </c>
      <c r="H42" s="1">
        <v>7.1428599999999998</v>
      </c>
      <c r="I42" s="1">
        <v>789</v>
      </c>
      <c r="J42" s="1">
        <v>196.14332999999999</v>
      </c>
      <c r="K42" s="1">
        <v>22.351859999999999</v>
      </c>
      <c r="L42" s="1">
        <v>1135</v>
      </c>
      <c r="M42" s="1">
        <v>183.77817999999999</v>
      </c>
      <c r="N42" s="1">
        <v>17.569469999999999</v>
      </c>
      <c r="O42" s="1">
        <v>6903</v>
      </c>
      <c r="P42" s="1">
        <v>185.64493999999999</v>
      </c>
      <c r="Q42" s="1">
        <v>7.2158499999999997</v>
      </c>
      <c r="R42" s="1">
        <v>369</v>
      </c>
      <c r="T42" s="1"/>
      <c r="U42" s="1"/>
      <c r="V42" s="1"/>
    </row>
    <row r="43" spans="1:43" x14ac:dyDescent="0.3">
      <c r="A43" s="1" t="s">
        <v>16</v>
      </c>
      <c r="B43" s="1">
        <v>50</v>
      </c>
      <c r="C43" s="1">
        <v>1</v>
      </c>
      <c r="D43" s="1">
        <v>185.64493999999999</v>
      </c>
      <c r="E43" s="1">
        <v>9.7124600000000001</v>
      </c>
      <c r="F43" s="1">
        <v>411</v>
      </c>
      <c r="G43" s="1">
        <v>196.53878</v>
      </c>
      <c r="H43" s="1">
        <v>9.0957100000000004</v>
      </c>
      <c r="I43" s="1">
        <v>1051</v>
      </c>
      <c r="J43" s="1">
        <v>196.14332999999999</v>
      </c>
      <c r="K43" s="1">
        <v>22.478719999999999</v>
      </c>
      <c r="L43" s="1">
        <v>1134</v>
      </c>
      <c r="M43" s="1">
        <v>188.15479999999999</v>
      </c>
      <c r="N43" s="1">
        <v>9.1494199999999992</v>
      </c>
      <c r="O43" s="1">
        <v>4517</v>
      </c>
      <c r="P43" s="1">
        <v>185.76526000000001</v>
      </c>
      <c r="Q43" s="1">
        <v>4.0573600000000001</v>
      </c>
      <c r="R43" s="1">
        <v>206</v>
      </c>
      <c r="T43" s="1"/>
      <c r="U43" s="1"/>
      <c r="V43" s="1"/>
    </row>
    <row r="44" spans="1:43" x14ac:dyDescent="0.3">
      <c r="A44" s="1" t="s">
        <v>16</v>
      </c>
      <c r="B44" s="1">
        <v>50</v>
      </c>
      <c r="C44" s="1">
        <v>1</v>
      </c>
      <c r="D44" s="1">
        <v>187.15093999999999</v>
      </c>
      <c r="E44" s="1">
        <v>15.698230000000001</v>
      </c>
      <c r="F44" s="1">
        <v>652</v>
      </c>
      <c r="G44" s="1">
        <v>247.78157999999999</v>
      </c>
      <c r="H44" s="1">
        <v>10.21069</v>
      </c>
      <c r="I44" s="1">
        <v>1185</v>
      </c>
      <c r="J44" s="1">
        <v>196.14332999999999</v>
      </c>
      <c r="K44" s="1">
        <v>22.251149999999999</v>
      </c>
      <c r="L44" s="1">
        <v>1135</v>
      </c>
      <c r="M44" s="1">
        <v>193.25336999999999</v>
      </c>
      <c r="N44" s="1">
        <v>10.71706</v>
      </c>
      <c r="O44" s="1">
        <v>4606</v>
      </c>
      <c r="P44" s="1">
        <v>184.35051000000001</v>
      </c>
      <c r="Q44" s="1">
        <v>6.1675500000000003</v>
      </c>
      <c r="R44" s="1">
        <v>321</v>
      </c>
      <c r="T44" s="1"/>
      <c r="U44" s="1"/>
      <c r="V44" s="1"/>
    </row>
    <row r="45" spans="1:43" x14ac:dyDescent="0.3">
      <c r="A45" s="1" t="s">
        <v>16</v>
      </c>
      <c r="B45" s="1">
        <v>50</v>
      </c>
      <c r="C45" s="1">
        <v>1</v>
      </c>
      <c r="D45" s="1">
        <v>187.15093999999999</v>
      </c>
      <c r="E45" s="1">
        <v>11.77655</v>
      </c>
      <c r="F45" s="1">
        <v>469</v>
      </c>
      <c r="G45" s="1">
        <v>187.15093999999999</v>
      </c>
      <c r="H45" s="1">
        <v>11.030799999999999</v>
      </c>
      <c r="I45" s="1">
        <v>1285</v>
      </c>
      <c r="J45" s="1">
        <v>196.14332999999999</v>
      </c>
      <c r="K45" s="1">
        <v>22.453220000000002</v>
      </c>
      <c r="L45" s="1">
        <v>1134</v>
      </c>
      <c r="M45" s="1">
        <v>191.85905</v>
      </c>
      <c r="N45" s="1">
        <v>8.2648799999999998</v>
      </c>
      <c r="O45" s="1">
        <v>4022</v>
      </c>
      <c r="P45" s="1">
        <v>185.76526000000001</v>
      </c>
      <c r="Q45" s="1">
        <v>5.9133399999999998</v>
      </c>
      <c r="R45" s="1">
        <v>300</v>
      </c>
      <c r="T45" s="1"/>
      <c r="U45" s="1"/>
      <c r="V45" s="1"/>
    </row>
    <row r="46" spans="1:43" x14ac:dyDescent="0.3">
      <c r="A46" s="1" t="s">
        <v>16</v>
      </c>
      <c r="B46" s="1">
        <v>50</v>
      </c>
      <c r="C46" s="1">
        <v>1</v>
      </c>
      <c r="D46" s="1">
        <v>187.15093999999999</v>
      </c>
      <c r="E46" s="1">
        <v>9.7213100000000008</v>
      </c>
      <c r="F46" s="1">
        <v>404</v>
      </c>
      <c r="G46" s="1">
        <v>193.31351000000001</v>
      </c>
      <c r="H46" s="1">
        <v>12.221719999999999</v>
      </c>
      <c r="I46" s="1">
        <v>1419</v>
      </c>
      <c r="J46" s="1">
        <v>196.14332999999999</v>
      </c>
      <c r="K46" s="1">
        <v>22.432089999999999</v>
      </c>
      <c r="L46" s="1">
        <v>1134</v>
      </c>
      <c r="M46" s="1">
        <v>189.64084</v>
      </c>
      <c r="N46" s="1">
        <v>7.6898299999999997</v>
      </c>
      <c r="O46" s="1">
        <v>3722</v>
      </c>
      <c r="P46" s="1">
        <v>185.76526000000001</v>
      </c>
      <c r="Q46" s="1">
        <v>6.8142199999999997</v>
      </c>
      <c r="R46" s="1">
        <v>351</v>
      </c>
      <c r="T46" s="1"/>
      <c r="U46" s="1"/>
      <c r="V46" s="1"/>
    </row>
    <row r="47" spans="1:43" s="5" customFormat="1" x14ac:dyDescent="0.3">
      <c r="A47" s="5" t="s">
        <v>16</v>
      </c>
      <c r="B47" s="5">
        <v>50</v>
      </c>
      <c r="C47" s="5">
        <v>1</v>
      </c>
      <c r="D47" s="5">
        <v>185.64493999999999</v>
      </c>
      <c r="E47" s="5">
        <v>14.530749999999999</v>
      </c>
      <c r="F47" s="5">
        <v>580</v>
      </c>
      <c r="G47" s="5">
        <v>194.03619</v>
      </c>
      <c r="H47" s="5">
        <v>5.7797400000000003</v>
      </c>
      <c r="I47" s="5">
        <v>657</v>
      </c>
      <c r="J47" s="5">
        <v>196.14332999999999</v>
      </c>
      <c r="K47" s="5">
        <v>22.459009999999999</v>
      </c>
      <c r="L47" s="5">
        <v>1133</v>
      </c>
      <c r="M47" s="5">
        <v>193.16817</v>
      </c>
      <c r="N47" s="5">
        <v>8.9031900000000004</v>
      </c>
      <c r="O47" s="5">
        <v>4365</v>
      </c>
      <c r="P47" s="5">
        <v>187.12666999999999</v>
      </c>
      <c r="Q47" s="5">
        <v>5.5540500000000002</v>
      </c>
      <c r="R47" s="5">
        <v>287</v>
      </c>
      <c r="AQ47" s="1"/>
    </row>
    <row r="48" spans="1:43" s="5" customFormat="1" x14ac:dyDescent="0.3">
      <c r="A48" s="5" t="s">
        <v>16</v>
      </c>
      <c r="B48" s="5">
        <v>50</v>
      </c>
      <c r="C48" s="5">
        <v>1</v>
      </c>
      <c r="D48" s="5">
        <v>187.15093999999999</v>
      </c>
      <c r="E48" s="5">
        <v>12.539389999999999</v>
      </c>
      <c r="F48" s="5">
        <v>519</v>
      </c>
      <c r="G48" s="5">
        <v>225.21812</v>
      </c>
      <c r="H48" s="5">
        <v>5.2167899999999996</v>
      </c>
      <c r="I48" s="5">
        <v>599</v>
      </c>
      <c r="J48" s="5">
        <v>196.14332999999999</v>
      </c>
      <c r="K48" s="5">
        <v>22.304739999999999</v>
      </c>
      <c r="L48" s="5">
        <v>1133</v>
      </c>
      <c r="M48" s="5">
        <v>189.6259</v>
      </c>
      <c r="N48" s="5">
        <v>8.4568200000000004</v>
      </c>
      <c r="O48" s="5">
        <v>4095</v>
      </c>
      <c r="P48" s="5">
        <v>187.15093999999999</v>
      </c>
      <c r="Q48" s="5">
        <v>6.8635000000000002</v>
      </c>
      <c r="R48" s="5">
        <v>354</v>
      </c>
      <c r="AQ48" s="1"/>
    </row>
    <row r="49" spans="1:43" s="5" customFormat="1" x14ac:dyDescent="0.3">
      <c r="A49" s="5" t="s">
        <v>16</v>
      </c>
      <c r="B49" s="5">
        <v>50</v>
      </c>
      <c r="C49" s="5">
        <v>1</v>
      </c>
      <c r="D49" s="5">
        <v>187.15093999999999</v>
      </c>
      <c r="E49" s="5">
        <v>9.01234</v>
      </c>
      <c r="F49" s="5">
        <v>378</v>
      </c>
      <c r="G49" s="5">
        <v>247.78157999999999</v>
      </c>
      <c r="H49" s="5">
        <v>9.02684</v>
      </c>
      <c r="I49" s="5">
        <v>991</v>
      </c>
      <c r="J49" s="5">
        <v>196.14332999999999</v>
      </c>
      <c r="K49" s="5">
        <v>22.359470000000002</v>
      </c>
      <c r="L49" s="5">
        <v>1138</v>
      </c>
      <c r="M49" s="5">
        <v>193.48</v>
      </c>
      <c r="N49" s="5">
        <v>14.09281</v>
      </c>
      <c r="O49" s="5">
        <v>6495</v>
      </c>
      <c r="P49" s="5">
        <v>183.66</v>
      </c>
      <c r="Q49" s="5">
        <v>6.0107999999999997</v>
      </c>
      <c r="R49" s="5">
        <v>310</v>
      </c>
      <c r="AQ49" s="1"/>
    </row>
    <row r="50" spans="1:43" s="5" customFormat="1" x14ac:dyDescent="0.3">
      <c r="A50" s="5" t="s">
        <v>16</v>
      </c>
      <c r="B50" s="5">
        <v>50</v>
      </c>
      <c r="C50" s="5">
        <v>1</v>
      </c>
      <c r="D50" s="5">
        <v>185.64493999999999</v>
      </c>
      <c r="E50" s="5">
        <v>12.07643</v>
      </c>
      <c r="F50" s="5">
        <v>506</v>
      </c>
      <c r="G50" s="5">
        <v>201.75271000000001</v>
      </c>
      <c r="H50" s="5">
        <v>7.0705400000000003</v>
      </c>
      <c r="I50" s="5">
        <v>808</v>
      </c>
      <c r="J50" s="5">
        <v>196.14332999999999</v>
      </c>
      <c r="K50" s="5">
        <v>22.392669999999999</v>
      </c>
      <c r="L50" s="5">
        <v>1134</v>
      </c>
      <c r="M50" s="5">
        <v>194.22098</v>
      </c>
      <c r="N50" s="5">
        <v>5.5508600000000001</v>
      </c>
      <c r="O50" s="5">
        <v>2718</v>
      </c>
      <c r="P50" s="5">
        <v>196.14332999999999</v>
      </c>
      <c r="Q50" s="5">
        <v>1.45825</v>
      </c>
      <c r="R50" s="5">
        <v>68</v>
      </c>
      <c r="AQ50" s="1"/>
    </row>
    <row r="51" spans="1:43" s="5" customFormat="1" x14ac:dyDescent="0.3">
      <c r="A51" s="5" t="s">
        <v>16</v>
      </c>
      <c r="B51" s="5">
        <v>50</v>
      </c>
      <c r="C51" s="5">
        <v>1</v>
      </c>
      <c r="D51" s="5">
        <v>187.15093999999999</v>
      </c>
      <c r="E51" s="5">
        <v>9.6609300000000005</v>
      </c>
      <c r="F51" s="5">
        <v>405</v>
      </c>
      <c r="G51" s="5">
        <v>213.31464</v>
      </c>
      <c r="H51" s="5">
        <v>9.61172</v>
      </c>
      <c r="I51" s="5">
        <v>1122</v>
      </c>
      <c r="J51" s="5">
        <v>196.14332999999999</v>
      </c>
      <c r="K51" s="5">
        <v>22.527000000000001</v>
      </c>
      <c r="L51" s="5">
        <v>1135</v>
      </c>
      <c r="M51" s="5">
        <v>193.26481999999999</v>
      </c>
      <c r="N51" s="5">
        <v>7.0928000000000004</v>
      </c>
      <c r="O51" s="5">
        <v>3440</v>
      </c>
      <c r="P51" s="5">
        <v>187.03333000000001</v>
      </c>
      <c r="Q51" s="5">
        <v>6.8194499999999998</v>
      </c>
      <c r="R51" s="5">
        <v>351</v>
      </c>
      <c r="AQ51" s="1"/>
    </row>
    <row r="52" spans="1:43" x14ac:dyDescent="0.3">
      <c r="A52" s="1" t="s">
        <v>16</v>
      </c>
      <c r="B52" s="1">
        <v>100</v>
      </c>
      <c r="C52" s="1">
        <v>1</v>
      </c>
      <c r="D52" s="1">
        <v>246.34338</v>
      </c>
      <c r="E52" s="1">
        <v>23.484850000000002</v>
      </c>
      <c r="F52" s="1">
        <v>542</v>
      </c>
      <c r="G52" s="1">
        <v>256.22708999999998</v>
      </c>
      <c r="H52" s="1">
        <v>32.589930000000003</v>
      </c>
      <c r="I52" s="1">
        <v>2314</v>
      </c>
      <c r="J52" s="1">
        <v>250.31558000000001</v>
      </c>
      <c r="K52" s="1">
        <v>138.22609</v>
      </c>
      <c r="L52" s="1">
        <v>1606</v>
      </c>
      <c r="M52" s="1">
        <v>252.87755999999999</v>
      </c>
      <c r="N52" s="1">
        <v>32.508009999999999</v>
      </c>
      <c r="O52" s="1">
        <v>7510</v>
      </c>
      <c r="P52" s="1">
        <v>250.31558000000001</v>
      </c>
      <c r="Q52" s="1">
        <v>7.2472899999999996</v>
      </c>
      <c r="R52" s="1">
        <v>96</v>
      </c>
      <c r="T52" s="1"/>
      <c r="U52" s="1"/>
      <c r="V52" s="1"/>
    </row>
    <row r="53" spans="1:43" x14ac:dyDescent="0.3">
      <c r="A53" s="1" t="s">
        <v>16</v>
      </c>
      <c r="B53" s="1">
        <v>100</v>
      </c>
      <c r="C53" s="1">
        <v>1</v>
      </c>
      <c r="D53" s="1">
        <v>246.34338</v>
      </c>
      <c r="E53" s="1">
        <v>23.89528</v>
      </c>
      <c r="F53" s="1">
        <v>534</v>
      </c>
      <c r="G53" s="1">
        <v>256.86363</v>
      </c>
      <c r="H53" s="1">
        <v>18.44661</v>
      </c>
      <c r="I53" s="1">
        <v>1407</v>
      </c>
      <c r="J53" s="1">
        <v>250.31558000000001</v>
      </c>
      <c r="K53" s="1">
        <v>138.00480999999999</v>
      </c>
      <c r="L53" s="1">
        <v>1606</v>
      </c>
      <c r="M53" s="1">
        <v>256.95094</v>
      </c>
      <c r="N53" s="1">
        <v>15.743230000000001</v>
      </c>
      <c r="O53" s="1">
        <v>3674</v>
      </c>
      <c r="P53" s="1">
        <v>250.31558000000001</v>
      </c>
      <c r="Q53" s="1">
        <v>7.2092700000000001</v>
      </c>
      <c r="R53" s="1">
        <v>96</v>
      </c>
      <c r="T53" s="1"/>
      <c r="U53" s="1"/>
      <c r="V53" s="1"/>
    </row>
    <row r="54" spans="1:43" x14ac:dyDescent="0.3">
      <c r="A54" s="1" t="s">
        <v>16</v>
      </c>
      <c r="B54" s="1">
        <v>100</v>
      </c>
      <c r="C54" s="1">
        <v>1</v>
      </c>
      <c r="D54" s="1">
        <v>246.24003999999999</v>
      </c>
      <c r="E54" s="1">
        <v>40.652560000000001</v>
      </c>
      <c r="F54" s="1">
        <v>918</v>
      </c>
      <c r="G54" s="1">
        <v>254.32499000000001</v>
      </c>
      <c r="H54" s="1">
        <v>31.583400000000001</v>
      </c>
      <c r="I54" s="1">
        <v>2375</v>
      </c>
      <c r="J54" s="1">
        <v>250.31558000000001</v>
      </c>
      <c r="K54" s="1">
        <v>138.16789</v>
      </c>
      <c r="L54" s="1">
        <v>1607</v>
      </c>
      <c r="M54" s="1">
        <v>259.46003999999999</v>
      </c>
      <c r="N54" s="1">
        <v>33.73274</v>
      </c>
      <c r="O54" s="1">
        <v>7775</v>
      </c>
      <c r="P54" s="1">
        <v>250.31558000000001</v>
      </c>
      <c r="Q54" s="1">
        <v>7.1858399999999998</v>
      </c>
      <c r="R54" s="1">
        <v>96</v>
      </c>
      <c r="T54" s="1"/>
      <c r="U54" s="1"/>
      <c r="V54" s="1"/>
    </row>
    <row r="55" spans="1:43" x14ac:dyDescent="0.3">
      <c r="A55" s="1" t="s">
        <v>16</v>
      </c>
      <c r="B55" s="1">
        <v>100</v>
      </c>
      <c r="C55" s="1">
        <v>1</v>
      </c>
      <c r="D55" s="1">
        <v>246.34811999999999</v>
      </c>
      <c r="E55" s="1">
        <v>24.602540000000001</v>
      </c>
      <c r="F55" s="1">
        <v>546</v>
      </c>
      <c r="G55" s="1">
        <v>272.49939000000001</v>
      </c>
      <c r="H55" s="1">
        <v>17.51681</v>
      </c>
      <c r="I55" s="1">
        <v>1339</v>
      </c>
      <c r="J55" s="1">
        <v>250.31558000000001</v>
      </c>
      <c r="K55" s="1">
        <v>138.17637999999999</v>
      </c>
      <c r="L55" s="1">
        <v>1609</v>
      </c>
      <c r="M55" s="1">
        <v>257.96670999999998</v>
      </c>
      <c r="N55" s="1">
        <v>22.145019999999999</v>
      </c>
      <c r="O55" s="1">
        <v>5168</v>
      </c>
      <c r="P55" s="1">
        <v>250.31558000000001</v>
      </c>
      <c r="Q55" s="1">
        <v>6.92056</v>
      </c>
      <c r="R55" s="1">
        <v>96</v>
      </c>
      <c r="T55" s="1"/>
      <c r="U55" s="1"/>
      <c r="V55" s="1"/>
    </row>
    <row r="56" spans="1:43" x14ac:dyDescent="0.3">
      <c r="A56" s="1" t="s">
        <v>16</v>
      </c>
      <c r="B56" s="1">
        <v>100</v>
      </c>
      <c r="C56" s="1">
        <v>1</v>
      </c>
      <c r="D56" s="1">
        <v>246.24</v>
      </c>
      <c r="E56" s="1">
        <v>29.09834</v>
      </c>
      <c r="F56" s="1">
        <v>651</v>
      </c>
      <c r="G56" s="1">
        <v>268.68817999999999</v>
      </c>
      <c r="H56" s="1">
        <v>26.721139999999998</v>
      </c>
      <c r="I56" s="1">
        <v>2011</v>
      </c>
      <c r="J56" s="1">
        <v>250.31558000000001</v>
      </c>
      <c r="K56" s="1">
        <v>138.95625999999999</v>
      </c>
      <c r="L56" s="1">
        <v>1609</v>
      </c>
      <c r="M56" s="1">
        <v>254.20813000000001</v>
      </c>
      <c r="N56" s="1">
        <v>46.533470000000001</v>
      </c>
      <c r="O56" s="1">
        <v>10858</v>
      </c>
      <c r="P56" s="1">
        <v>249.03057999999999</v>
      </c>
      <c r="Q56" s="1">
        <v>16.116679999999999</v>
      </c>
      <c r="R56" s="1">
        <v>228</v>
      </c>
      <c r="T56" s="1"/>
      <c r="U56" s="1"/>
      <c r="V56" s="1"/>
    </row>
    <row r="57" spans="1:43" x14ac:dyDescent="0.3">
      <c r="A57" s="1" t="s">
        <v>16</v>
      </c>
      <c r="B57" s="1">
        <v>100</v>
      </c>
      <c r="C57" s="1">
        <v>1</v>
      </c>
      <c r="D57" s="1">
        <v>246.34333000000001</v>
      </c>
      <c r="E57" s="1">
        <v>41.955869999999997</v>
      </c>
      <c r="F57" s="1">
        <v>944</v>
      </c>
      <c r="G57" s="1">
        <v>256.32148000000001</v>
      </c>
      <c r="H57" s="1">
        <v>17.18111</v>
      </c>
      <c r="I57" s="1">
        <v>1323</v>
      </c>
      <c r="J57" s="1">
        <v>250.31558000000001</v>
      </c>
      <c r="K57" s="1">
        <v>138.78805</v>
      </c>
      <c r="L57" s="1">
        <v>1610</v>
      </c>
      <c r="M57" s="1">
        <v>256.34133000000003</v>
      </c>
      <c r="N57" s="1">
        <v>27.341909999999999</v>
      </c>
      <c r="O57" s="1">
        <v>6354</v>
      </c>
      <c r="P57" s="1">
        <v>249.03057999999999</v>
      </c>
      <c r="Q57" s="1">
        <v>11.38269</v>
      </c>
      <c r="R57" s="1">
        <v>165</v>
      </c>
      <c r="T57" s="1"/>
      <c r="U57" s="1"/>
      <c r="V57" s="1"/>
    </row>
    <row r="58" spans="1:43" x14ac:dyDescent="0.3">
      <c r="A58" s="1" t="s">
        <v>16</v>
      </c>
      <c r="B58" s="1">
        <v>100</v>
      </c>
      <c r="C58" s="1">
        <v>1</v>
      </c>
      <c r="D58" s="1">
        <v>246.34811999999999</v>
      </c>
      <c r="E58" s="1">
        <v>21.719069999999999</v>
      </c>
      <c r="F58" s="1">
        <v>495</v>
      </c>
      <c r="G58" s="1">
        <v>278.63817999999998</v>
      </c>
      <c r="H58" s="1">
        <v>26.128440000000001</v>
      </c>
      <c r="I58" s="1">
        <v>1941</v>
      </c>
      <c r="J58" s="1">
        <v>250.31558000000001</v>
      </c>
      <c r="K58" s="1">
        <v>139.11187000000001</v>
      </c>
      <c r="L58" s="1">
        <v>1609</v>
      </c>
      <c r="M58" s="1">
        <v>257.06792999999999</v>
      </c>
      <c r="N58" s="1">
        <v>18.116309999999999</v>
      </c>
      <c r="O58" s="1">
        <v>4183</v>
      </c>
      <c r="P58" s="1">
        <v>250.31558000000001</v>
      </c>
      <c r="Q58" s="1">
        <v>6.5905399999999998</v>
      </c>
      <c r="R58" s="1">
        <v>96</v>
      </c>
      <c r="T58" s="1"/>
      <c r="U58" s="1"/>
      <c r="V58" s="1"/>
    </row>
    <row r="59" spans="1:43" x14ac:dyDescent="0.3">
      <c r="A59" s="1" t="s">
        <v>16</v>
      </c>
      <c r="B59" s="1">
        <v>100</v>
      </c>
      <c r="C59" s="1">
        <v>1</v>
      </c>
      <c r="D59" s="1">
        <v>246.34811999999999</v>
      </c>
      <c r="E59" s="1">
        <v>22.27214</v>
      </c>
      <c r="F59" s="1">
        <v>512</v>
      </c>
      <c r="G59" s="1">
        <v>264.75234</v>
      </c>
      <c r="H59" s="1">
        <v>29.483820000000001</v>
      </c>
      <c r="I59" s="1">
        <v>2270</v>
      </c>
      <c r="J59" s="1">
        <v>250.31558000000001</v>
      </c>
      <c r="K59" s="1">
        <v>138.21172000000001</v>
      </c>
      <c r="L59" s="1">
        <v>1608</v>
      </c>
      <c r="M59" s="1">
        <v>258.00038000000001</v>
      </c>
      <c r="N59" s="1">
        <v>31.574649999999998</v>
      </c>
      <c r="O59" s="1">
        <v>7163</v>
      </c>
      <c r="P59" s="1">
        <v>250.31558000000001</v>
      </c>
      <c r="Q59" s="1">
        <v>6.9906800000000002</v>
      </c>
      <c r="R59" s="1">
        <v>96</v>
      </c>
      <c r="T59" s="1"/>
      <c r="U59" s="1"/>
      <c r="V59" s="1"/>
    </row>
    <row r="60" spans="1:43" x14ac:dyDescent="0.3">
      <c r="A60" s="1" t="s">
        <v>16</v>
      </c>
      <c r="B60" s="1">
        <v>100</v>
      </c>
      <c r="C60" s="1">
        <v>1</v>
      </c>
      <c r="D60" s="1">
        <v>246.34333000000001</v>
      </c>
      <c r="E60" s="1">
        <v>27.28829</v>
      </c>
      <c r="F60" s="1">
        <v>624</v>
      </c>
      <c r="G60" s="1">
        <v>267.81993999999997</v>
      </c>
      <c r="H60" s="1">
        <v>20.339580000000002</v>
      </c>
      <c r="I60" s="1">
        <v>1532</v>
      </c>
      <c r="J60" s="1">
        <v>250.31558000000001</v>
      </c>
      <c r="K60" s="1">
        <v>138.02576999999999</v>
      </c>
      <c r="L60" s="1">
        <v>1609</v>
      </c>
      <c r="M60" s="1">
        <v>256.95094</v>
      </c>
      <c r="N60" s="1">
        <v>21.337800000000001</v>
      </c>
      <c r="O60" s="1">
        <v>4778</v>
      </c>
      <c r="P60" s="1">
        <v>250.31558000000001</v>
      </c>
      <c r="Q60" s="1">
        <v>6.6327800000000003</v>
      </c>
      <c r="R60" s="1">
        <v>96</v>
      </c>
      <c r="T60" s="1"/>
      <c r="U60" s="1"/>
      <c r="V60" s="1"/>
    </row>
    <row r="61" spans="1:43" x14ac:dyDescent="0.3">
      <c r="A61" s="1" t="s">
        <v>16</v>
      </c>
      <c r="B61" s="1">
        <v>100</v>
      </c>
      <c r="C61" s="1">
        <v>1</v>
      </c>
      <c r="D61" s="1">
        <v>246.34811999999999</v>
      </c>
      <c r="E61" s="1">
        <v>23.387260000000001</v>
      </c>
      <c r="F61" s="1">
        <v>532</v>
      </c>
      <c r="G61" s="1">
        <v>271.44648000000001</v>
      </c>
      <c r="H61" s="1">
        <v>13.76383</v>
      </c>
      <c r="I61" s="1">
        <v>1050</v>
      </c>
      <c r="J61" s="1">
        <v>250.31558000000001</v>
      </c>
      <c r="K61" s="1">
        <v>138.91112000000001</v>
      </c>
      <c r="L61" s="1">
        <v>1609</v>
      </c>
      <c r="M61" s="1">
        <v>256.05495999999999</v>
      </c>
      <c r="N61" s="1">
        <v>26.337859999999999</v>
      </c>
      <c r="O61" s="1">
        <v>6062</v>
      </c>
      <c r="P61" s="1">
        <v>250.31558000000001</v>
      </c>
      <c r="Q61" s="1">
        <v>7.2030700000000003</v>
      </c>
      <c r="R61" s="1">
        <v>96</v>
      </c>
      <c r="T61" s="1"/>
      <c r="U61" s="1"/>
      <c r="V61" s="1"/>
    </row>
    <row r="62" spans="1:43" x14ac:dyDescent="0.3">
      <c r="A62" s="1" t="s">
        <v>17</v>
      </c>
      <c r="B62" s="1">
        <v>24</v>
      </c>
      <c r="C62" s="1">
        <v>1</v>
      </c>
      <c r="D62" s="1">
        <v>2520.48</v>
      </c>
      <c r="E62" s="1">
        <v>3.3553799999999998</v>
      </c>
      <c r="F62" s="1">
        <v>245</v>
      </c>
      <c r="G62" s="1">
        <v>2542.5406400000002</v>
      </c>
      <c r="H62" s="1">
        <v>3.3247499999999999</v>
      </c>
      <c r="I62" s="1">
        <v>493</v>
      </c>
      <c r="J62" s="1">
        <v>2335.1535100000001</v>
      </c>
      <c r="K62" s="1">
        <v>4.29331</v>
      </c>
      <c r="L62" s="1">
        <v>787</v>
      </c>
      <c r="M62" s="1">
        <v>2520.48</v>
      </c>
      <c r="N62" s="1">
        <v>1.47522</v>
      </c>
      <c r="O62" s="1">
        <v>1454</v>
      </c>
      <c r="P62" s="1">
        <v>2320.9075499999999</v>
      </c>
      <c r="Q62" s="1">
        <v>1.3213200000000001</v>
      </c>
      <c r="R62" s="1">
        <v>151</v>
      </c>
      <c r="T62" s="1"/>
      <c r="U62" s="1"/>
      <c r="V62" s="1"/>
    </row>
    <row r="63" spans="1:43" x14ac:dyDescent="0.3">
      <c r="A63" s="1" t="s">
        <v>17</v>
      </c>
      <c r="B63" s="1">
        <v>24</v>
      </c>
      <c r="C63" s="1">
        <v>1</v>
      </c>
      <c r="D63" s="1">
        <v>2522.2831799999999</v>
      </c>
      <c r="E63" s="1">
        <v>3.5230399999999999</v>
      </c>
      <c r="F63" s="1">
        <v>260</v>
      </c>
      <c r="G63" s="1">
        <v>2320.9075499999999</v>
      </c>
      <c r="H63" s="1">
        <v>2.4340000000000002</v>
      </c>
      <c r="I63" s="1">
        <v>363</v>
      </c>
      <c r="J63" s="1">
        <v>2334.29351</v>
      </c>
      <c r="K63" s="1">
        <v>4.3413599999999999</v>
      </c>
      <c r="L63" s="1">
        <v>792</v>
      </c>
      <c r="M63" s="1">
        <v>2520.48</v>
      </c>
      <c r="N63" s="1">
        <v>2.0103</v>
      </c>
      <c r="O63" s="1">
        <v>1989</v>
      </c>
      <c r="P63" s="1">
        <v>2321.3453199999999</v>
      </c>
      <c r="Q63" s="1">
        <v>0.89002000000000003</v>
      </c>
      <c r="R63" s="1">
        <v>99</v>
      </c>
      <c r="T63" s="1"/>
      <c r="U63" s="1"/>
      <c r="V63" s="1"/>
    </row>
    <row r="64" spans="1:43" x14ac:dyDescent="0.3">
      <c r="A64" s="1" t="s">
        <v>17</v>
      </c>
      <c r="B64" s="1">
        <v>24</v>
      </c>
      <c r="C64" s="1">
        <v>1</v>
      </c>
      <c r="D64" s="1">
        <v>2320.9075499999999</v>
      </c>
      <c r="E64" s="1">
        <v>3.4655100000000001</v>
      </c>
      <c r="F64" s="1">
        <v>251</v>
      </c>
      <c r="G64" s="1">
        <v>2323.9586300000001</v>
      </c>
      <c r="H64" s="1">
        <v>2.54182</v>
      </c>
      <c r="I64" s="1">
        <v>387</v>
      </c>
      <c r="J64" s="1">
        <v>2333.5068500000002</v>
      </c>
      <c r="K64" s="1">
        <v>4.3597900000000003</v>
      </c>
      <c r="L64" s="1">
        <v>795</v>
      </c>
      <c r="M64" s="1">
        <v>2320.9075499999999</v>
      </c>
      <c r="N64" s="1">
        <v>1.88801</v>
      </c>
      <c r="O64" s="1">
        <v>1869</v>
      </c>
      <c r="P64" s="1">
        <v>2320.9075499999999</v>
      </c>
      <c r="Q64" s="1">
        <v>1.01583</v>
      </c>
      <c r="R64" s="1">
        <v>114</v>
      </c>
      <c r="T64" s="1"/>
      <c r="U64" s="1"/>
      <c r="V64" s="1"/>
    </row>
    <row r="65" spans="1:22" x14ac:dyDescent="0.3">
      <c r="A65" s="1" t="s">
        <v>17</v>
      </c>
      <c r="B65" s="1">
        <v>24</v>
      </c>
      <c r="C65" s="1">
        <v>1</v>
      </c>
      <c r="D65" s="1">
        <v>2522.2831799999999</v>
      </c>
      <c r="E65" s="1">
        <v>3.4428800000000002</v>
      </c>
      <c r="F65" s="1">
        <v>248</v>
      </c>
      <c r="G65" s="1">
        <v>2321.3453199999999</v>
      </c>
      <c r="H65" s="1">
        <v>3.4179499999999998</v>
      </c>
      <c r="I65" s="1">
        <v>524</v>
      </c>
      <c r="J65" s="1">
        <v>2333.5068500000002</v>
      </c>
      <c r="K65" s="1">
        <v>4.42265</v>
      </c>
      <c r="L65" s="1">
        <v>789</v>
      </c>
      <c r="M65" s="1">
        <v>2520.48</v>
      </c>
      <c r="N65" s="1">
        <v>1.4067700000000001</v>
      </c>
      <c r="O65" s="1">
        <v>1393</v>
      </c>
      <c r="P65" s="1">
        <v>2320.9075499999999</v>
      </c>
      <c r="Q65" s="1">
        <v>1.1169500000000001</v>
      </c>
      <c r="R65" s="1">
        <v>127</v>
      </c>
      <c r="T65" s="1"/>
      <c r="U65" s="1"/>
      <c r="V65" s="1"/>
    </row>
    <row r="66" spans="1:22" x14ac:dyDescent="0.3">
      <c r="A66" s="1" t="s">
        <v>17</v>
      </c>
      <c r="B66" s="1">
        <v>24</v>
      </c>
      <c r="C66" s="1">
        <v>1</v>
      </c>
      <c r="D66" s="1">
        <v>2379.7649700000002</v>
      </c>
      <c r="E66" s="1">
        <v>4.0347600000000003</v>
      </c>
      <c r="F66" s="1">
        <v>285</v>
      </c>
      <c r="G66" s="1">
        <v>2320.9075499999999</v>
      </c>
      <c r="H66" s="1">
        <v>4.0460700000000003</v>
      </c>
      <c r="I66" s="1">
        <v>604</v>
      </c>
      <c r="J66" s="1">
        <v>2333.9035100000001</v>
      </c>
      <c r="K66" s="1">
        <v>4.3357700000000001</v>
      </c>
      <c r="L66" s="1">
        <v>786</v>
      </c>
      <c r="M66" s="1">
        <v>2520.48</v>
      </c>
      <c r="N66" s="1">
        <v>1.6185</v>
      </c>
      <c r="O66" s="1">
        <v>1586</v>
      </c>
      <c r="P66" s="1">
        <v>2320.9075499999999</v>
      </c>
      <c r="Q66" s="1">
        <v>1.4847399999999999</v>
      </c>
      <c r="R66" s="1">
        <v>165</v>
      </c>
      <c r="T66" s="1"/>
      <c r="U66" s="1"/>
      <c r="V66" s="1"/>
    </row>
    <row r="67" spans="1:22" x14ac:dyDescent="0.3">
      <c r="A67" s="1" t="s">
        <v>17</v>
      </c>
      <c r="B67" s="1">
        <v>24</v>
      </c>
      <c r="C67" s="1">
        <v>1</v>
      </c>
      <c r="D67" s="1">
        <v>2520.48</v>
      </c>
      <c r="E67" s="1">
        <v>3.3869199999999999</v>
      </c>
      <c r="F67" s="1">
        <v>243</v>
      </c>
      <c r="G67" s="1">
        <v>2320.9075499999999</v>
      </c>
      <c r="H67" s="1">
        <v>3.9490500000000002</v>
      </c>
      <c r="I67" s="1">
        <v>609</v>
      </c>
      <c r="J67" s="1">
        <v>2336.2235099999998</v>
      </c>
      <c r="K67" s="1">
        <v>4.2593300000000003</v>
      </c>
      <c r="L67" s="1">
        <v>791</v>
      </c>
      <c r="M67" s="1">
        <v>2520.48</v>
      </c>
      <c r="N67" s="1">
        <v>2.3249300000000002</v>
      </c>
      <c r="O67" s="1">
        <v>2287</v>
      </c>
      <c r="P67" s="1">
        <v>2321.3453199999999</v>
      </c>
      <c r="Q67" s="1">
        <v>1.2740100000000001</v>
      </c>
      <c r="R67" s="1">
        <v>140</v>
      </c>
      <c r="T67" s="1"/>
      <c r="U67" s="1"/>
      <c r="V67" s="1"/>
    </row>
    <row r="68" spans="1:22" x14ac:dyDescent="0.3">
      <c r="A68" s="1" t="s">
        <v>17</v>
      </c>
      <c r="B68" s="1">
        <v>24</v>
      </c>
      <c r="C68" s="1">
        <v>1</v>
      </c>
      <c r="D68" s="1">
        <v>2340.6260499999999</v>
      </c>
      <c r="E68" s="1">
        <v>7.6871799999999997</v>
      </c>
      <c r="F68" s="1">
        <v>500</v>
      </c>
      <c r="G68" s="1">
        <v>2320.9075499999999</v>
      </c>
      <c r="H68" s="1">
        <v>4.5393600000000003</v>
      </c>
      <c r="I68" s="1">
        <v>670</v>
      </c>
      <c r="J68" s="1">
        <v>2335.1535100000001</v>
      </c>
      <c r="K68" s="1">
        <v>4.1867700000000001</v>
      </c>
      <c r="L68" s="1">
        <v>791</v>
      </c>
      <c r="M68" s="1">
        <v>2320.9075499999999</v>
      </c>
      <c r="N68" s="1">
        <v>2.1343899999999998</v>
      </c>
      <c r="O68" s="1">
        <v>2043</v>
      </c>
      <c r="P68" s="1">
        <v>2321.3453199999999</v>
      </c>
      <c r="Q68" s="1">
        <v>1.1697299999999999</v>
      </c>
      <c r="R68" s="1">
        <v>135</v>
      </c>
      <c r="T68" s="1"/>
      <c r="U68" s="1"/>
      <c r="V68" s="1"/>
    </row>
    <row r="69" spans="1:22" x14ac:dyDescent="0.3">
      <c r="A69" s="1" t="s">
        <v>17</v>
      </c>
      <c r="B69" s="1">
        <v>24</v>
      </c>
      <c r="C69" s="1">
        <v>1</v>
      </c>
      <c r="D69" s="1">
        <v>2520.48</v>
      </c>
      <c r="E69" s="1">
        <v>3.3595100000000002</v>
      </c>
      <c r="F69" s="1">
        <v>246</v>
      </c>
      <c r="G69" s="1">
        <v>2320.9075499999999</v>
      </c>
      <c r="H69" s="1">
        <v>3.3489800000000001</v>
      </c>
      <c r="I69" s="1">
        <v>511</v>
      </c>
      <c r="J69" s="1">
        <v>2334.5668500000002</v>
      </c>
      <c r="K69" s="1">
        <v>4.2674700000000003</v>
      </c>
      <c r="L69" s="1">
        <v>794</v>
      </c>
      <c r="M69" s="1">
        <v>2320.9075499999999</v>
      </c>
      <c r="N69" s="1">
        <v>1.9822</v>
      </c>
      <c r="O69" s="1">
        <v>1939</v>
      </c>
      <c r="P69" s="1">
        <v>2320.9075499999999</v>
      </c>
      <c r="Q69" s="1">
        <v>1.05471</v>
      </c>
      <c r="R69" s="1">
        <v>113</v>
      </c>
      <c r="T69" s="1"/>
      <c r="U69" s="1"/>
      <c r="V69" s="1"/>
    </row>
    <row r="70" spans="1:22" x14ac:dyDescent="0.3">
      <c r="A70" s="1" t="s">
        <v>17</v>
      </c>
      <c r="B70" s="1">
        <v>24</v>
      </c>
      <c r="C70" s="1">
        <v>1</v>
      </c>
      <c r="D70" s="1">
        <v>2520.48</v>
      </c>
      <c r="E70" s="1">
        <v>5.6286199999999997</v>
      </c>
      <c r="F70" s="1">
        <v>240</v>
      </c>
      <c r="G70" s="1">
        <v>2380.5346599999998</v>
      </c>
      <c r="H70" s="1">
        <v>3.0003799999999998</v>
      </c>
      <c r="I70" s="1">
        <v>464</v>
      </c>
      <c r="J70" s="1">
        <v>2333.5068500000002</v>
      </c>
      <c r="K70" s="1">
        <v>4.3047199999999997</v>
      </c>
      <c r="L70" s="1">
        <v>791</v>
      </c>
      <c r="M70" s="1">
        <v>2320.9075499999999</v>
      </c>
      <c r="N70" s="1">
        <v>1.55904</v>
      </c>
      <c r="O70" s="1">
        <v>1540</v>
      </c>
      <c r="P70" s="1">
        <v>2323.9586300000001</v>
      </c>
      <c r="Q70" s="1">
        <v>0.76854</v>
      </c>
      <c r="R70" s="1">
        <v>87</v>
      </c>
      <c r="T70" s="1"/>
      <c r="U70" s="1"/>
      <c r="V70" s="1"/>
    </row>
    <row r="71" spans="1:22" x14ac:dyDescent="0.3">
      <c r="A71" s="1" t="s">
        <v>17</v>
      </c>
      <c r="B71" s="1">
        <v>24</v>
      </c>
      <c r="C71" s="1">
        <v>1</v>
      </c>
      <c r="D71" s="1">
        <v>2520.48</v>
      </c>
      <c r="E71" s="1">
        <v>3.3304900000000002</v>
      </c>
      <c r="F71" s="1">
        <v>244</v>
      </c>
      <c r="G71" s="1">
        <v>2542.5406400000002</v>
      </c>
      <c r="H71" s="1">
        <v>2.9490799999999999</v>
      </c>
      <c r="I71" s="1">
        <v>448</v>
      </c>
      <c r="J71" s="1">
        <v>2335.5601799999999</v>
      </c>
      <c r="K71" s="1">
        <v>4.3405699999999996</v>
      </c>
      <c r="L71" s="1">
        <v>803</v>
      </c>
      <c r="M71" s="1">
        <v>2320.9075499999999</v>
      </c>
      <c r="N71" s="1">
        <v>1.6013599999999999</v>
      </c>
      <c r="O71" s="1">
        <v>1581</v>
      </c>
      <c r="P71" s="1">
        <v>2323.9586300000001</v>
      </c>
      <c r="Q71" s="1">
        <v>1.18198</v>
      </c>
      <c r="R71" s="1">
        <v>128</v>
      </c>
      <c r="T71" s="1"/>
      <c r="U71" s="1"/>
      <c r="V71" s="1"/>
    </row>
    <row r="72" spans="1:22" x14ac:dyDescent="0.3">
      <c r="A72" s="1" t="s">
        <v>17</v>
      </c>
      <c r="B72" s="1">
        <v>47</v>
      </c>
      <c r="C72" s="1">
        <v>1</v>
      </c>
      <c r="D72" s="1">
        <v>4318.4876800000002</v>
      </c>
      <c r="E72" s="1">
        <v>20.060169999999999</v>
      </c>
      <c r="F72" s="1">
        <v>881</v>
      </c>
      <c r="G72" s="1">
        <v>4404.1019500000002</v>
      </c>
      <c r="H72" s="1">
        <v>5.23576</v>
      </c>
      <c r="I72" s="1">
        <v>618</v>
      </c>
      <c r="J72" s="1">
        <v>4327.8750099999997</v>
      </c>
      <c r="K72" s="1">
        <v>13.01163</v>
      </c>
      <c r="L72" s="1">
        <v>1124</v>
      </c>
      <c r="M72" s="1">
        <v>4340.7072200000002</v>
      </c>
      <c r="N72" s="1">
        <v>4.9675799999999999</v>
      </c>
      <c r="O72" s="1">
        <v>2561</v>
      </c>
      <c r="P72" s="1">
        <v>4346.2297200000003</v>
      </c>
      <c r="Q72" s="1">
        <v>0.88190999999999997</v>
      </c>
      <c r="R72" s="1">
        <v>66</v>
      </c>
      <c r="T72" s="1"/>
      <c r="U72" s="1"/>
      <c r="V72" s="1"/>
    </row>
    <row r="73" spans="1:22" x14ac:dyDescent="0.3">
      <c r="A73" s="1" t="s">
        <v>17</v>
      </c>
      <c r="B73" s="1">
        <v>47</v>
      </c>
      <c r="C73" s="1">
        <v>1</v>
      </c>
      <c r="D73" s="1">
        <v>4334.4023399999996</v>
      </c>
      <c r="E73" s="1">
        <v>8.1469299999999993</v>
      </c>
      <c r="F73" s="1">
        <v>343</v>
      </c>
      <c r="G73" s="1">
        <v>4356.8390600000002</v>
      </c>
      <c r="H73" s="1">
        <v>6.3810700000000002</v>
      </c>
      <c r="I73" s="1">
        <v>740</v>
      </c>
      <c r="J73" s="1">
        <v>4333.3192200000003</v>
      </c>
      <c r="K73" s="1">
        <v>13.272019999999999</v>
      </c>
      <c r="L73" s="1">
        <v>1125</v>
      </c>
      <c r="M73" s="1">
        <v>4343.8772200000003</v>
      </c>
      <c r="N73" s="1">
        <v>4.5850999999999997</v>
      </c>
      <c r="O73" s="1">
        <v>2377</v>
      </c>
      <c r="P73" s="1">
        <v>4324.3000099999999</v>
      </c>
      <c r="Q73" s="1">
        <v>2.4716</v>
      </c>
      <c r="R73" s="1">
        <v>179</v>
      </c>
      <c r="T73" s="1"/>
      <c r="U73" s="1"/>
      <c r="V73" s="1"/>
    </row>
    <row r="74" spans="1:22" x14ac:dyDescent="0.3">
      <c r="A74" s="1" t="s">
        <v>17</v>
      </c>
      <c r="B74" s="1">
        <v>47</v>
      </c>
      <c r="C74" s="1">
        <v>1</v>
      </c>
      <c r="D74" s="1">
        <v>4321.0236500000001</v>
      </c>
      <c r="E74" s="1">
        <v>9.2221499999999992</v>
      </c>
      <c r="F74" s="1">
        <v>396</v>
      </c>
      <c r="G74" s="1">
        <v>4356.8390600000002</v>
      </c>
      <c r="H74" s="1">
        <v>6.7819500000000001</v>
      </c>
      <c r="I74" s="1">
        <v>729</v>
      </c>
      <c r="J74" s="1">
        <v>4327.28143</v>
      </c>
      <c r="K74" s="1">
        <v>13.35263</v>
      </c>
      <c r="L74" s="1">
        <v>1121</v>
      </c>
      <c r="M74" s="1">
        <v>4340.7072200000002</v>
      </c>
      <c r="N74" s="1">
        <v>6.20878</v>
      </c>
      <c r="O74" s="1">
        <v>3158</v>
      </c>
      <c r="P74" s="1">
        <v>4346.2297200000003</v>
      </c>
      <c r="Q74" s="1">
        <v>0.88199000000000005</v>
      </c>
      <c r="R74" s="1">
        <v>66</v>
      </c>
      <c r="T74" s="1"/>
      <c r="U74" s="1"/>
      <c r="V74" s="1"/>
    </row>
    <row r="75" spans="1:22" x14ac:dyDescent="0.3">
      <c r="A75" s="1" t="s">
        <v>17</v>
      </c>
      <c r="B75" s="1">
        <v>47</v>
      </c>
      <c r="C75" s="1">
        <v>1</v>
      </c>
      <c r="D75" s="1">
        <v>4336.1856200000002</v>
      </c>
      <c r="E75" s="1">
        <v>7.8890900000000004</v>
      </c>
      <c r="F75" s="1">
        <v>343</v>
      </c>
      <c r="G75" s="1">
        <v>4321.0236500000001</v>
      </c>
      <c r="H75" s="1">
        <v>12.45978</v>
      </c>
      <c r="I75" s="1">
        <v>1426</v>
      </c>
      <c r="J75" s="1">
        <v>4336.1832299999996</v>
      </c>
      <c r="K75" s="1">
        <v>13.1709</v>
      </c>
      <c r="L75" s="1">
        <v>1105</v>
      </c>
      <c r="M75" s="1">
        <v>4340.7072200000002</v>
      </c>
      <c r="N75" s="1">
        <v>5.7944300000000002</v>
      </c>
      <c r="O75" s="1">
        <v>2969</v>
      </c>
      <c r="P75" s="1">
        <v>4346.2297200000003</v>
      </c>
      <c r="Q75" s="1">
        <v>0.86943999999999999</v>
      </c>
      <c r="R75" s="1">
        <v>66</v>
      </c>
      <c r="T75" s="1"/>
      <c r="U75" s="1"/>
      <c r="V75" s="1"/>
    </row>
    <row r="76" spans="1:22" x14ac:dyDescent="0.3">
      <c r="A76" s="1" t="s">
        <v>17</v>
      </c>
      <c r="B76" s="1">
        <v>47</v>
      </c>
      <c r="C76" s="1">
        <v>1</v>
      </c>
      <c r="D76" s="1">
        <v>4313.60977</v>
      </c>
      <c r="E76" s="1">
        <v>16.081019999999999</v>
      </c>
      <c r="F76" s="1">
        <v>697</v>
      </c>
      <c r="G76" s="1">
        <v>4356.8390600000002</v>
      </c>
      <c r="H76" s="1">
        <v>4.9458900000000003</v>
      </c>
      <c r="I76" s="1">
        <v>571</v>
      </c>
      <c r="J76" s="1">
        <v>4335.8133600000001</v>
      </c>
      <c r="K76" s="1">
        <v>13.10247</v>
      </c>
      <c r="L76" s="1">
        <v>1111</v>
      </c>
      <c r="M76" s="1">
        <v>4340.7072200000002</v>
      </c>
      <c r="N76" s="1">
        <v>4.5084400000000002</v>
      </c>
      <c r="O76" s="1">
        <v>2308</v>
      </c>
      <c r="P76" s="1">
        <v>4346.2297200000003</v>
      </c>
      <c r="Q76" s="1">
        <v>0.89651999999999998</v>
      </c>
      <c r="R76" s="1">
        <v>66</v>
      </c>
      <c r="T76" s="1"/>
      <c r="U76" s="1"/>
      <c r="V76" s="1"/>
    </row>
    <row r="77" spans="1:22" x14ac:dyDescent="0.3">
      <c r="A77" s="1" t="s">
        <v>17</v>
      </c>
      <c r="B77" s="1">
        <v>47</v>
      </c>
      <c r="C77" s="1">
        <v>1</v>
      </c>
      <c r="D77" s="1">
        <v>4346.2297200000003</v>
      </c>
      <c r="E77" s="1">
        <v>8.1940200000000001</v>
      </c>
      <c r="F77" s="1">
        <v>330</v>
      </c>
      <c r="G77" s="1">
        <v>4327.0055899999998</v>
      </c>
      <c r="H77" s="1">
        <v>9.0663099999999996</v>
      </c>
      <c r="I77" s="1">
        <v>1033</v>
      </c>
      <c r="J77" s="1">
        <v>4334.92256</v>
      </c>
      <c r="K77" s="1">
        <v>13.11218</v>
      </c>
      <c r="L77" s="1">
        <v>1135</v>
      </c>
      <c r="M77" s="1">
        <v>4340.7072200000002</v>
      </c>
      <c r="N77" s="1">
        <v>4.8571299999999997</v>
      </c>
      <c r="O77" s="1">
        <v>2470</v>
      </c>
      <c r="P77" s="1">
        <v>4346.2297200000003</v>
      </c>
      <c r="Q77" s="1">
        <v>0.89761999999999997</v>
      </c>
      <c r="R77" s="1">
        <v>66</v>
      </c>
      <c r="T77" s="1"/>
      <c r="U77" s="1"/>
      <c r="V77" s="1"/>
    </row>
    <row r="78" spans="1:22" x14ac:dyDescent="0.3">
      <c r="A78" s="1" t="s">
        <v>17</v>
      </c>
      <c r="B78" s="1">
        <v>47</v>
      </c>
      <c r="C78" s="1">
        <v>1</v>
      </c>
      <c r="D78" s="1">
        <v>4327.0055899999998</v>
      </c>
      <c r="E78" s="1">
        <v>10.24761</v>
      </c>
      <c r="F78" s="1">
        <v>462</v>
      </c>
      <c r="G78" s="1">
        <v>4408.7981</v>
      </c>
      <c r="H78" s="1">
        <v>7.3400299999999996</v>
      </c>
      <c r="I78" s="1">
        <v>846</v>
      </c>
      <c r="J78" s="1">
        <v>4330.88501</v>
      </c>
      <c r="K78" s="1">
        <v>12.88767</v>
      </c>
      <c r="L78" s="1">
        <v>1112</v>
      </c>
      <c r="M78" s="1">
        <v>4340.7072200000002</v>
      </c>
      <c r="N78" s="1">
        <v>5.31595</v>
      </c>
      <c r="O78" s="1">
        <v>2728</v>
      </c>
      <c r="P78" s="1">
        <v>4346.2297200000003</v>
      </c>
      <c r="Q78" s="1">
        <v>0.89688999999999997</v>
      </c>
      <c r="R78" s="1">
        <v>66</v>
      </c>
      <c r="T78" s="1"/>
      <c r="U78" s="1"/>
      <c r="V78" s="1"/>
    </row>
    <row r="79" spans="1:22" x14ac:dyDescent="0.3">
      <c r="A79" s="1" t="s">
        <v>17</v>
      </c>
      <c r="B79" s="1">
        <v>47</v>
      </c>
      <c r="C79" s="1">
        <v>1</v>
      </c>
      <c r="D79" s="1">
        <v>4335.0195599999997</v>
      </c>
      <c r="E79" s="1">
        <v>10.58323</v>
      </c>
      <c r="F79" s="1">
        <v>450</v>
      </c>
      <c r="G79" s="1">
        <v>4590.7716300000002</v>
      </c>
      <c r="H79" s="1">
        <v>5.6729399999999996</v>
      </c>
      <c r="I79" s="1">
        <v>661</v>
      </c>
      <c r="J79" s="1">
        <v>4326.60124</v>
      </c>
      <c r="K79" s="1">
        <v>13.55181</v>
      </c>
      <c r="L79" s="1">
        <v>1138</v>
      </c>
      <c r="M79" s="1">
        <v>4340.7072200000002</v>
      </c>
      <c r="N79" s="1">
        <v>4.4317900000000003</v>
      </c>
      <c r="O79" s="1">
        <v>2259</v>
      </c>
      <c r="P79" s="1">
        <v>4346.2297200000003</v>
      </c>
      <c r="Q79" s="1">
        <v>0.86626000000000003</v>
      </c>
      <c r="R79" s="1">
        <v>66</v>
      </c>
      <c r="T79" s="1"/>
      <c r="U79" s="1"/>
      <c r="V79" s="1"/>
    </row>
    <row r="80" spans="1:22" x14ac:dyDescent="0.3">
      <c r="A80" s="1" t="s">
        <v>17</v>
      </c>
      <c r="B80" s="1">
        <v>47</v>
      </c>
      <c r="C80" s="1">
        <v>1</v>
      </c>
      <c r="D80" s="1">
        <v>4324.3000099999999</v>
      </c>
      <c r="E80" s="1">
        <v>18.26201</v>
      </c>
      <c r="F80" s="1">
        <v>678</v>
      </c>
      <c r="G80" s="1">
        <v>4327.6853099999998</v>
      </c>
      <c r="H80" s="1">
        <v>6.1237399999999997</v>
      </c>
      <c r="I80" s="1">
        <v>710</v>
      </c>
      <c r="J80" s="1">
        <v>4331.6369400000003</v>
      </c>
      <c r="K80" s="1">
        <v>12.989710000000001</v>
      </c>
      <c r="L80" s="1">
        <v>1121</v>
      </c>
      <c r="M80" s="1">
        <v>4340.7072200000002</v>
      </c>
      <c r="N80" s="1">
        <v>4.0620799999999999</v>
      </c>
      <c r="O80" s="1">
        <v>2086</v>
      </c>
      <c r="P80" s="1">
        <v>4323.4497700000002</v>
      </c>
      <c r="Q80" s="1">
        <v>3.3081</v>
      </c>
      <c r="R80" s="1">
        <v>251</v>
      </c>
      <c r="T80" s="1"/>
      <c r="U80" s="1"/>
      <c r="V80" s="1"/>
    </row>
    <row r="81" spans="1:22" x14ac:dyDescent="0.3">
      <c r="A81" s="1" t="s">
        <v>17</v>
      </c>
      <c r="B81" s="1">
        <v>47</v>
      </c>
      <c r="C81" s="1">
        <v>1</v>
      </c>
      <c r="D81" s="1">
        <v>4345.0925800000005</v>
      </c>
      <c r="E81" s="1">
        <v>7.4887100000000002</v>
      </c>
      <c r="F81" s="1">
        <v>338</v>
      </c>
      <c r="G81" s="1">
        <v>4320.2714299999998</v>
      </c>
      <c r="H81" s="1">
        <v>4.5307000000000004</v>
      </c>
      <c r="I81" s="1">
        <v>525</v>
      </c>
      <c r="J81" s="1">
        <v>4322.5862900000002</v>
      </c>
      <c r="K81" s="1">
        <v>13.44182</v>
      </c>
      <c r="L81" s="1">
        <v>1120</v>
      </c>
      <c r="M81" s="1">
        <v>4340.7072200000002</v>
      </c>
      <c r="N81" s="1">
        <v>5.9588000000000001</v>
      </c>
      <c r="O81" s="1">
        <v>3032</v>
      </c>
      <c r="P81" s="1">
        <v>4346.2297200000003</v>
      </c>
      <c r="Q81" s="1">
        <v>0.89981999999999995</v>
      </c>
      <c r="R81" s="1">
        <v>66</v>
      </c>
      <c r="T81" s="1"/>
      <c r="U81" s="1"/>
      <c r="V81" s="1"/>
    </row>
    <row r="82" spans="1:22" x14ac:dyDescent="0.3">
      <c r="A82" s="1" t="s">
        <v>17</v>
      </c>
      <c r="B82" s="1">
        <v>100</v>
      </c>
      <c r="C82" s="1">
        <v>1</v>
      </c>
      <c r="D82" s="1">
        <v>35669.694770000002</v>
      </c>
      <c r="E82" s="1">
        <v>22.03557</v>
      </c>
      <c r="F82" s="1">
        <v>480</v>
      </c>
      <c r="G82" s="1">
        <v>35532.914369999999</v>
      </c>
      <c r="H82" s="1">
        <v>31.97842</v>
      </c>
      <c r="I82" s="1">
        <v>2272</v>
      </c>
      <c r="J82" s="1">
        <v>35352.625240000001</v>
      </c>
      <c r="K82" s="1">
        <v>54.753300000000003</v>
      </c>
      <c r="L82" s="1">
        <v>1640</v>
      </c>
      <c r="M82" s="1">
        <v>35669.694770000002</v>
      </c>
      <c r="N82" s="1">
        <v>10.31073</v>
      </c>
      <c r="O82" s="1">
        <v>2400</v>
      </c>
      <c r="P82" s="1">
        <v>35669.694770000002</v>
      </c>
      <c r="Q82" s="1">
        <v>3.9555799999999999</v>
      </c>
      <c r="R82" s="1">
        <v>96</v>
      </c>
      <c r="T82" s="1"/>
      <c r="U82" s="1"/>
      <c r="V82" s="1"/>
    </row>
    <row r="83" spans="1:22" x14ac:dyDescent="0.3">
      <c r="A83" s="1" t="s">
        <v>17</v>
      </c>
      <c r="B83" s="1">
        <v>100</v>
      </c>
      <c r="C83" s="1">
        <v>1</v>
      </c>
      <c r="D83" s="1">
        <v>35669.694770000002</v>
      </c>
      <c r="E83" s="1">
        <v>23.107510000000001</v>
      </c>
      <c r="F83" s="1">
        <v>480</v>
      </c>
      <c r="G83" s="1">
        <v>36805.64572</v>
      </c>
      <c r="H83" s="1">
        <v>16.039709999999999</v>
      </c>
      <c r="I83" s="1">
        <v>1176</v>
      </c>
      <c r="J83" s="1">
        <v>35299.139430000003</v>
      </c>
      <c r="K83" s="1">
        <v>55.477539999999998</v>
      </c>
      <c r="L83" s="1">
        <v>1629</v>
      </c>
      <c r="M83" s="1">
        <v>35668.79636</v>
      </c>
      <c r="N83" s="1">
        <v>23.775010000000002</v>
      </c>
      <c r="O83" s="1">
        <v>5549</v>
      </c>
      <c r="P83" s="1">
        <v>35669.694770000002</v>
      </c>
      <c r="Q83" s="1">
        <v>4.03566</v>
      </c>
      <c r="R83" s="1">
        <v>96</v>
      </c>
      <c r="T83" s="1"/>
      <c r="U83" s="1"/>
      <c r="V83" s="1"/>
    </row>
    <row r="84" spans="1:22" x14ac:dyDescent="0.3">
      <c r="A84" s="1" t="s">
        <v>17</v>
      </c>
      <c r="B84" s="1">
        <v>100</v>
      </c>
      <c r="C84" s="1">
        <v>1</v>
      </c>
      <c r="D84" s="1">
        <v>35669.694770000002</v>
      </c>
      <c r="E84" s="1">
        <v>22.588270000000001</v>
      </c>
      <c r="F84" s="1">
        <v>480</v>
      </c>
      <c r="G84" s="1">
        <v>35477.398659999999</v>
      </c>
      <c r="H84" s="1">
        <v>53.436869999999999</v>
      </c>
      <c r="I84" s="1">
        <v>3787</v>
      </c>
      <c r="J84" s="1">
        <v>35300.432079999999</v>
      </c>
      <c r="K84" s="1">
        <v>55.752809999999997</v>
      </c>
      <c r="L84" s="1">
        <v>1662</v>
      </c>
      <c r="M84" s="1">
        <v>35669.694770000002</v>
      </c>
      <c r="N84" s="1">
        <v>10.32258</v>
      </c>
      <c r="O84" s="1">
        <v>2400</v>
      </c>
      <c r="P84" s="1">
        <v>35669.694770000002</v>
      </c>
      <c r="Q84" s="1">
        <v>4.0947500000000003</v>
      </c>
      <c r="R84" s="1">
        <v>96</v>
      </c>
      <c r="T84" s="1"/>
      <c r="U84" s="1"/>
      <c r="V84" s="1"/>
    </row>
    <row r="85" spans="1:22" x14ac:dyDescent="0.3">
      <c r="A85" s="1" t="s">
        <v>17</v>
      </c>
      <c r="B85" s="1">
        <v>100</v>
      </c>
      <c r="C85" s="1">
        <v>1</v>
      </c>
      <c r="D85" s="1">
        <v>35669.694770000002</v>
      </c>
      <c r="E85" s="1">
        <v>20.43751</v>
      </c>
      <c r="F85" s="1">
        <v>480</v>
      </c>
      <c r="G85" s="1">
        <v>35938.080000000002</v>
      </c>
      <c r="H85" s="1">
        <v>21.570530000000002</v>
      </c>
      <c r="I85" s="1">
        <v>1569</v>
      </c>
      <c r="J85" s="1">
        <v>35277.165910000003</v>
      </c>
      <c r="K85" s="1">
        <v>54.18112</v>
      </c>
      <c r="L85" s="1">
        <v>1628</v>
      </c>
      <c r="M85" s="1">
        <v>35669.694770000002</v>
      </c>
      <c r="N85" s="1">
        <v>11.31002</v>
      </c>
      <c r="O85" s="1">
        <v>2400</v>
      </c>
      <c r="P85" s="1">
        <v>35669.694770000002</v>
      </c>
      <c r="Q85" s="1">
        <v>4.0036199999999997</v>
      </c>
      <c r="R85" s="1">
        <v>96</v>
      </c>
      <c r="T85" s="1"/>
      <c r="U85" s="1"/>
      <c r="V85" s="1"/>
    </row>
    <row r="86" spans="1:22" x14ac:dyDescent="0.3">
      <c r="A86" s="1" t="s">
        <v>17</v>
      </c>
      <c r="B86" s="1">
        <v>100</v>
      </c>
      <c r="C86" s="1">
        <v>1</v>
      </c>
      <c r="D86" s="1">
        <v>35669.694770000002</v>
      </c>
      <c r="E86" s="1">
        <v>20.963619999999999</v>
      </c>
      <c r="F86" s="1">
        <v>480</v>
      </c>
      <c r="G86" s="1">
        <v>35732.527569999998</v>
      </c>
      <c r="H86" s="1">
        <v>31.20795</v>
      </c>
      <c r="I86" s="1">
        <v>2277</v>
      </c>
      <c r="J86" s="1">
        <v>35282.722999999998</v>
      </c>
      <c r="K86" s="1">
        <v>56.235329999999998</v>
      </c>
      <c r="L86" s="1">
        <v>1636</v>
      </c>
      <c r="M86" s="1">
        <v>35669.694770000002</v>
      </c>
      <c r="N86" s="1">
        <v>12.8345</v>
      </c>
      <c r="O86" s="1">
        <v>2400</v>
      </c>
      <c r="P86" s="1">
        <v>35669.694770000002</v>
      </c>
      <c r="Q86" s="1">
        <v>3.9708199999999998</v>
      </c>
      <c r="R86" s="1">
        <v>96</v>
      </c>
      <c r="T86" s="1"/>
      <c r="U86" s="1"/>
      <c r="V86" s="1"/>
    </row>
    <row r="87" spans="1:22" x14ac:dyDescent="0.3">
      <c r="A87" s="1" t="s">
        <v>17</v>
      </c>
      <c r="B87" s="1">
        <v>100</v>
      </c>
      <c r="C87" s="1">
        <v>1</v>
      </c>
      <c r="D87" s="1">
        <v>35669.694770000002</v>
      </c>
      <c r="E87" s="1">
        <v>22.546669999999999</v>
      </c>
      <c r="F87" s="1">
        <v>480</v>
      </c>
      <c r="G87" s="1">
        <v>35460.575049999999</v>
      </c>
      <c r="H87" s="1">
        <v>22.691410000000001</v>
      </c>
      <c r="I87" s="1">
        <v>1653</v>
      </c>
      <c r="J87" s="1">
        <v>35347.880499999999</v>
      </c>
      <c r="K87" s="1">
        <v>54.335369999999998</v>
      </c>
      <c r="L87" s="1">
        <v>1633</v>
      </c>
      <c r="M87" s="1">
        <v>35669.019110000001</v>
      </c>
      <c r="N87" s="1">
        <v>17.554089999999999</v>
      </c>
      <c r="O87" s="1">
        <v>3814</v>
      </c>
      <c r="P87" s="1">
        <v>35669.694770000002</v>
      </c>
      <c r="Q87" s="1">
        <v>4.0455800000000002</v>
      </c>
      <c r="R87" s="1">
        <v>96</v>
      </c>
      <c r="T87" s="1"/>
      <c r="U87" s="1"/>
      <c r="V87" s="1"/>
    </row>
    <row r="88" spans="1:22" x14ac:dyDescent="0.3">
      <c r="A88" s="1" t="s">
        <v>17</v>
      </c>
      <c r="B88" s="1">
        <v>100</v>
      </c>
      <c r="C88" s="1">
        <v>1</v>
      </c>
      <c r="D88" s="1">
        <v>35669.694770000002</v>
      </c>
      <c r="E88" s="1">
        <v>21.393910000000002</v>
      </c>
      <c r="F88" s="1">
        <v>480</v>
      </c>
      <c r="G88" s="1">
        <v>35622.276989999998</v>
      </c>
      <c r="H88" s="1">
        <v>25.628440000000001</v>
      </c>
      <c r="I88" s="1">
        <v>1860</v>
      </c>
      <c r="J88" s="1">
        <v>35252.365400000002</v>
      </c>
      <c r="K88" s="1">
        <v>56.60971</v>
      </c>
      <c r="L88" s="1">
        <v>1641</v>
      </c>
      <c r="M88" s="1">
        <v>35669.694770000002</v>
      </c>
      <c r="N88" s="1">
        <v>10.88191</v>
      </c>
      <c r="O88" s="1">
        <v>2400</v>
      </c>
      <c r="P88" s="1">
        <v>35669.694770000002</v>
      </c>
      <c r="Q88" s="1">
        <v>3.9929000000000001</v>
      </c>
      <c r="R88" s="1">
        <v>96</v>
      </c>
      <c r="T88" s="1"/>
      <c r="U88" s="1"/>
      <c r="V88" s="1"/>
    </row>
    <row r="89" spans="1:22" x14ac:dyDescent="0.3">
      <c r="A89" s="1" t="s">
        <v>17</v>
      </c>
      <c r="B89" s="1">
        <v>100</v>
      </c>
      <c r="C89" s="1">
        <v>1</v>
      </c>
      <c r="D89" s="1">
        <v>35669.694770000002</v>
      </c>
      <c r="E89" s="1">
        <v>21.558350000000001</v>
      </c>
      <c r="F89" s="1">
        <v>480</v>
      </c>
      <c r="G89" s="1">
        <v>35796.57129</v>
      </c>
      <c r="H89" s="1">
        <v>21.136389999999999</v>
      </c>
      <c r="I89" s="1">
        <v>1531</v>
      </c>
      <c r="J89" s="1">
        <v>35412.873160000003</v>
      </c>
      <c r="K89" s="1">
        <v>52.257109999999997</v>
      </c>
      <c r="L89" s="1">
        <v>1628</v>
      </c>
      <c r="M89" s="1">
        <v>35669.694770000002</v>
      </c>
      <c r="N89" s="1">
        <v>11.282970000000001</v>
      </c>
      <c r="O89" s="1">
        <v>2400</v>
      </c>
      <c r="P89" s="1">
        <v>35452.186670000003</v>
      </c>
      <c r="Q89" s="1">
        <v>16.75442</v>
      </c>
      <c r="R89" s="1">
        <v>491</v>
      </c>
      <c r="T89" s="1"/>
      <c r="U89" s="1"/>
      <c r="V89" s="1"/>
    </row>
    <row r="90" spans="1:22" x14ac:dyDescent="0.3">
      <c r="A90" s="1" t="s">
        <v>17</v>
      </c>
      <c r="B90" s="1">
        <v>100</v>
      </c>
      <c r="C90" s="1">
        <v>1</v>
      </c>
      <c r="D90" s="1">
        <v>35669.694770000002</v>
      </c>
      <c r="E90" s="1">
        <v>21.289449999999999</v>
      </c>
      <c r="F90" s="1">
        <v>480</v>
      </c>
      <c r="G90" s="1">
        <v>35582.944510000001</v>
      </c>
      <c r="H90" s="1">
        <v>41.042569999999998</v>
      </c>
      <c r="I90" s="1">
        <v>2957</v>
      </c>
      <c r="J90" s="1">
        <v>35365.9274</v>
      </c>
      <c r="K90" s="1">
        <v>52.108089999999997</v>
      </c>
      <c r="L90" s="1">
        <v>1623</v>
      </c>
      <c r="M90" s="1">
        <v>35669.694770000002</v>
      </c>
      <c r="N90" s="1">
        <v>10.44397</v>
      </c>
      <c r="O90" s="1">
        <v>2400</v>
      </c>
      <c r="P90" s="1">
        <v>35669.694770000002</v>
      </c>
      <c r="Q90" s="1">
        <v>3.9523000000000001</v>
      </c>
      <c r="R90" s="1">
        <v>96</v>
      </c>
      <c r="T90" s="1"/>
      <c r="U90" s="1"/>
      <c r="V90" s="1"/>
    </row>
    <row r="91" spans="1:22" x14ac:dyDescent="0.3">
      <c r="A91" s="1" t="s">
        <v>17</v>
      </c>
      <c r="B91" s="1">
        <v>100</v>
      </c>
      <c r="C91" s="1">
        <v>1</v>
      </c>
      <c r="D91" s="1">
        <v>35669.694770000002</v>
      </c>
      <c r="E91" s="1">
        <v>21.875879999999999</v>
      </c>
      <c r="F91" s="1">
        <v>480</v>
      </c>
      <c r="G91" s="1">
        <v>35852.991499999996</v>
      </c>
      <c r="H91" s="1">
        <v>32.617759999999997</v>
      </c>
      <c r="I91" s="1">
        <v>2391</v>
      </c>
      <c r="J91" s="1">
        <v>35367.81136</v>
      </c>
      <c r="K91" s="1">
        <v>56.209339999999997</v>
      </c>
      <c r="L91" s="1">
        <v>1646</v>
      </c>
      <c r="M91" s="1">
        <v>35669.694770000002</v>
      </c>
      <c r="N91" s="1">
        <v>10.300649999999999</v>
      </c>
      <c r="O91" s="1">
        <v>2400</v>
      </c>
      <c r="P91" s="1">
        <v>35669.694770000002</v>
      </c>
      <c r="Q91" s="1">
        <v>3.9598399999999998</v>
      </c>
      <c r="R91" s="1">
        <v>96</v>
      </c>
      <c r="T91" s="1"/>
      <c r="U91" s="1"/>
      <c r="V91" s="1"/>
    </row>
    <row r="92" spans="1:22" x14ac:dyDescent="0.3">
      <c r="A92" s="1" t="s">
        <v>18</v>
      </c>
      <c r="B92" s="1">
        <v>30</v>
      </c>
      <c r="C92" s="1">
        <v>1</v>
      </c>
      <c r="D92" s="1">
        <v>676.84279000000004</v>
      </c>
      <c r="E92" s="1">
        <v>4.1553599999999999</v>
      </c>
      <c r="F92" s="1">
        <v>275</v>
      </c>
      <c r="G92" s="1">
        <v>655.43295999999998</v>
      </c>
      <c r="H92" s="1">
        <v>7.8107100000000003</v>
      </c>
      <c r="I92" s="1">
        <v>1121</v>
      </c>
      <c r="J92" s="1">
        <v>662.63017000000002</v>
      </c>
      <c r="K92" s="1">
        <v>6.4099599999999999</v>
      </c>
      <c r="L92" s="1">
        <v>908</v>
      </c>
      <c r="M92" s="1">
        <v>681.04678999999999</v>
      </c>
      <c r="N92" s="1">
        <v>5.7960200000000004</v>
      </c>
      <c r="O92" s="1">
        <v>2248</v>
      </c>
      <c r="P92" s="1">
        <v>661.53393000000005</v>
      </c>
      <c r="Q92" s="1">
        <v>1.3615699999999999</v>
      </c>
      <c r="R92" s="1">
        <v>135</v>
      </c>
      <c r="T92" s="1"/>
      <c r="U92" s="1"/>
      <c r="V92" s="1"/>
    </row>
    <row r="93" spans="1:22" x14ac:dyDescent="0.3">
      <c r="A93" s="1" t="s">
        <v>18</v>
      </c>
      <c r="B93" s="1">
        <v>30</v>
      </c>
      <c r="C93" s="1">
        <v>1</v>
      </c>
      <c r="D93" s="1">
        <v>681.48333000000002</v>
      </c>
      <c r="E93" s="1">
        <v>6.1124299999999998</v>
      </c>
      <c r="F93" s="1">
        <v>404</v>
      </c>
      <c r="G93" s="1">
        <v>676.20681999999999</v>
      </c>
      <c r="H93" s="1">
        <v>7.1732699999999996</v>
      </c>
      <c r="I93" s="1">
        <v>1064</v>
      </c>
      <c r="J93" s="1">
        <v>658.71364000000005</v>
      </c>
      <c r="K93" s="1">
        <v>6.32972</v>
      </c>
      <c r="L93" s="1">
        <v>895</v>
      </c>
      <c r="M93" s="1">
        <v>681.04678999999999</v>
      </c>
      <c r="N93" s="1">
        <v>2.8785500000000002</v>
      </c>
      <c r="O93" s="1">
        <v>2415</v>
      </c>
      <c r="P93" s="1">
        <v>657.45713999999998</v>
      </c>
      <c r="Q93" s="1">
        <v>2.9912000000000001</v>
      </c>
      <c r="R93" s="1">
        <v>300</v>
      </c>
      <c r="T93" s="1"/>
      <c r="U93" s="1"/>
      <c r="V93" s="1"/>
    </row>
    <row r="94" spans="1:22" x14ac:dyDescent="0.3">
      <c r="A94" s="1" t="s">
        <v>18</v>
      </c>
      <c r="B94" s="1">
        <v>30</v>
      </c>
      <c r="C94" s="1">
        <v>1</v>
      </c>
      <c r="D94" s="1">
        <v>676.83973000000003</v>
      </c>
      <c r="E94" s="1">
        <v>8.9494399999999992</v>
      </c>
      <c r="F94" s="1">
        <v>579</v>
      </c>
      <c r="G94" s="1">
        <v>662.5059</v>
      </c>
      <c r="H94" s="1">
        <v>7.1205999999999996</v>
      </c>
      <c r="I94" s="1">
        <v>1049</v>
      </c>
      <c r="J94" s="1">
        <v>658.73105999999996</v>
      </c>
      <c r="K94" s="1">
        <v>6.3849299999999998</v>
      </c>
      <c r="L94" s="1">
        <v>898</v>
      </c>
      <c r="M94" s="1">
        <v>686.46361999999999</v>
      </c>
      <c r="N94" s="1">
        <v>1.73912</v>
      </c>
      <c r="O94" s="1">
        <v>1481</v>
      </c>
      <c r="P94" s="1">
        <v>655.43295999999998</v>
      </c>
      <c r="Q94" s="1">
        <v>3.2776900000000002</v>
      </c>
      <c r="R94" s="1">
        <v>332</v>
      </c>
      <c r="T94" s="1"/>
      <c r="U94" s="1"/>
      <c r="V94" s="1"/>
    </row>
    <row r="95" spans="1:22" x14ac:dyDescent="0.3">
      <c r="A95" s="1" t="s">
        <v>18</v>
      </c>
      <c r="B95" s="1">
        <v>30</v>
      </c>
      <c r="C95" s="1">
        <v>1</v>
      </c>
      <c r="D95" s="1">
        <v>661.66488000000004</v>
      </c>
      <c r="E95" s="1">
        <v>4.1860299999999997</v>
      </c>
      <c r="F95" s="1">
        <v>271</v>
      </c>
      <c r="G95" s="1">
        <v>668.46346000000005</v>
      </c>
      <c r="H95" s="1">
        <v>6.5390499999999996</v>
      </c>
      <c r="I95" s="1">
        <v>971</v>
      </c>
      <c r="J95" s="1">
        <v>662.63017000000002</v>
      </c>
      <c r="K95" s="1">
        <v>6.4259000000000004</v>
      </c>
      <c r="L95" s="1">
        <v>900</v>
      </c>
      <c r="M95" s="1">
        <v>681.05291</v>
      </c>
      <c r="N95" s="1">
        <v>1.7991200000000001</v>
      </c>
      <c r="O95" s="1">
        <v>1537</v>
      </c>
      <c r="P95" s="1">
        <v>655.43295999999998</v>
      </c>
      <c r="Q95" s="1">
        <v>2.8545799999999999</v>
      </c>
      <c r="R95" s="1">
        <v>290</v>
      </c>
      <c r="T95" s="1"/>
      <c r="U95" s="1"/>
      <c r="V95" s="1"/>
    </row>
    <row r="96" spans="1:22" x14ac:dyDescent="0.3">
      <c r="A96" s="1" t="s">
        <v>18</v>
      </c>
      <c r="B96" s="1">
        <v>30</v>
      </c>
      <c r="C96" s="1">
        <v>1</v>
      </c>
      <c r="D96" s="1">
        <v>677.75391000000002</v>
      </c>
      <c r="E96" s="1">
        <v>4.3619199999999996</v>
      </c>
      <c r="F96" s="1">
        <v>282</v>
      </c>
      <c r="G96" s="1">
        <v>676.10681999999997</v>
      </c>
      <c r="H96" s="1">
        <v>2.8143400000000001</v>
      </c>
      <c r="I96" s="1">
        <v>418</v>
      </c>
      <c r="J96" s="1">
        <v>662.91385000000002</v>
      </c>
      <c r="K96" s="1">
        <v>7.4955400000000001</v>
      </c>
      <c r="L96" s="1">
        <v>1048</v>
      </c>
      <c r="M96" s="1">
        <v>656.08929999999998</v>
      </c>
      <c r="N96" s="1">
        <v>5.2992299999999997</v>
      </c>
      <c r="O96" s="1">
        <v>4525</v>
      </c>
      <c r="P96" s="1">
        <v>655.43907999999999</v>
      </c>
      <c r="Q96" s="1">
        <v>2.3746999999999998</v>
      </c>
      <c r="R96" s="1">
        <v>224</v>
      </c>
      <c r="T96" s="1"/>
      <c r="U96" s="1"/>
      <c r="V96" s="1"/>
    </row>
    <row r="97" spans="1:22" x14ac:dyDescent="0.3">
      <c r="A97" s="1" t="s">
        <v>18</v>
      </c>
      <c r="B97" s="1">
        <v>30</v>
      </c>
      <c r="C97" s="1">
        <v>1</v>
      </c>
      <c r="D97" s="1">
        <v>664.28349000000003</v>
      </c>
      <c r="E97" s="1">
        <v>4.3606299999999996</v>
      </c>
      <c r="F97" s="1">
        <v>286</v>
      </c>
      <c r="G97" s="1">
        <v>657.32380999999998</v>
      </c>
      <c r="H97" s="1">
        <v>7.1249099999999999</v>
      </c>
      <c r="I97" s="1">
        <v>1059</v>
      </c>
      <c r="J97" s="1">
        <v>662.60576000000003</v>
      </c>
      <c r="K97" s="1">
        <v>6.2961600000000004</v>
      </c>
      <c r="L97" s="1">
        <v>884</v>
      </c>
      <c r="M97" s="1">
        <v>681.04678999999999</v>
      </c>
      <c r="N97" s="1">
        <v>2.9641700000000002</v>
      </c>
      <c r="O97" s="1">
        <v>2536</v>
      </c>
      <c r="P97" s="1">
        <v>657.35562000000004</v>
      </c>
      <c r="Q97" s="1">
        <v>1.6619999999999999</v>
      </c>
      <c r="R97" s="1">
        <v>165</v>
      </c>
      <c r="T97" s="1"/>
      <c r="U97" s="1"/>
      <c r="V97" s="1"/>
    </row>
    <row r="98" spans="1:22" x14ac:dyDescent="0.3">
      <c r="A98" s="1" t="s">
        <v>18</v>
      </c>
      <c r="B98" s="1">
        <v>30</v>
      </c>
      <c r="C98" s="1">
        <v>1</v>
      </c>
      <c r="D98" s="1">
        <v>677.03524000000004</v>
      </c>
      <c r="E98" s="1">
        <v>7.3746999999999998</v>
      </c>
      <c r="F98" s="1">
        <v>389</v>
      </c>
      <c r="G98" s="1">
        <v>662.39264000000003</v>
      </c>
      <c r="H98" s="1">
        <v>3.0522399999999998</v>
      </c>
      <c r="I98" s="1">
        <v>440</v>
      </c>
      <c r="J98" s="1">
        <v>662.85441000000003</v>
      </c>
      <c r="K98" s="1">
        <v>6.3315900000000003</v>
      </c>
      <c r="L98" s="1">
        <v>899</v>
      </c>
      <c r="M98" s="1">
        <v>681.04984999999999</v>
      </c>
      <c r="N98" s="1">
        <v>2.32694</v>
      </c>
      <c r="O98" s="1">
        <v>1999</v>
      </c>
      <c r="P98" s="1">
        <v>657.32992999999999</v>
      </c>
      <c r="Q98" s="1">
        <v>1.2859100000000001</v>
      </c>
      <c r="R98" s="1">
        <v>130</v>
      </c>
      <c r="T98" s="1"/>
      <c r="U98" s="1"/>
      <c r="V98" s="1"/>
    </row>
    <row r="99" spans="1:22" x14ac:dyDescent="0.3">
      <c r="A99" s="1" t="s">
        <v>18</v>
      </c>
      <c r="B99" s="1">
        <v>30</v>
      </c>
      <c r="C99" s="1">
        <v>1</v>
      </c>
      <c r="D99" s="1">
        <v>676.84279000000004</v>
      </c>
      <c r="E99" s="1">
        <v>4.2346199999999996</v>
      </c>
      <c r="F99" s="1">
        <v>274</v>
      </c>
      <c r="G99" s="1">
        <v>659.37660000000005</v>
      </c>
      <c r="H99" s="1">
        <v>2.7278600000000002</v>
      </c>
      <c r="I99" s="1">
        <v>407</v>
      </c>
      <c r="J99" s="1">
        <v>662.60576000000003</v>
      </c>
      <c r="K99" s="1">
        <v>6.46976</v>
      </c>
      <c r="L99" s="1">
        <v>901</v>
      </c>
      <c r="M99" s="1">
        <v>668.50187000000005</v>
      </c>
      <c r="N99" s="1">
        <v>3.2307800000000002</v>
      </c>
      <c r="O99" s="1">
        <v>2756</v>
      </c>
      <c r="P99" s="1">
        <v>657.32380999999998</v>
      </c>
      <c r="Q99" s="1">
        <v>1.71454</v>
      </c>
      <c r="R99" s="1">
        <v>172</v>
      </c>
      <c r="T99" s="1"/>
      <c r="U99" s="1"/>
      <c r="V99" s="1"/>
    </row>
    <row r="100" spans="1:22" x14ac:dyDescent="0.3">
      <c r="A100" s="1" t="s">
        <v>18</v>
      </c>
      <c r="B100" s="1">
        <v>30</v>
      </c>
      <c r="C100" s="1">
        <v>1</v>
      </c>
      <c r="D100" s="1">
        <v>689.67723999999998</v>
      </c>
      <c r="E100" s="1">
        <v>4.4187900000000004</v>
      </c>
      <c r="F100" s="1">
        <v>282</v>
      </c>
      <c r="G100" s="1">
        <v>676.20681999999999</v>
      </c>
      <c r="H100" s="1">
        <v>2.84626</v>
      </c>
      <c r="I100" s="1">
        <v>420</v>
      </c>
      <c r="J100" s="1">
        <v>658.71364000000005</v>
      </c>
      <c r="K100" s="1">
        <v>6.3327200000000001</v>
      </c>
      <c r="L100" s="1">
        <v>892</v>
      </c>
      <c r="M100" s="1">
        <v>680.80667000000005</v>
      </c>
      <c r="N100" s="1">
        <v>3.4614799999999999</v>
      </c>
      <c r="O100" s="1">
        <v>2951</v>
      </c>
      <c r="P100" s="1">
        <v>661.53393000000005</v>
      </c>
      <c r="Q100" s="1">
        <v>1.69831</v>
      </c>
      <c r="R100" s="1">
        <v>157</v>
      </c>
      <c r="T100" s="1"/>
      <c r="U100" s="1"/>
      <c r="V100" s="1"/>
    </row>
    <row r="101" spans="1:22" x14ac:dyDescent="0.3">
      <c r="A101" s="1" t="s">
        <v>18</v>
      </c>
      <c r="B101" s="1">
        <v>30</v>
      </c>
      <c r="C101" s="1">
        <v>1</v>
      </c>
      <c r="D101" s="1">
        <v>699.02291000000002</v>
      </c>
      <c r="E101" s="1">
        <v>3.9982199999999999</v>
      </c>
      <c r="F101" s="1">
        <v>263</v>
      </c>
      <c r="G101" s="1">
        <v>688.60654</v>
      </c>
      <c r="H101" s="1">
        <v>5.20512</v>
      </c>
      <c r="I101" s="1">
        <v>772</v>
      </c>
      <c r="J101" s="1">
        <v>660.53638000000001</v>
      </c>
      <c r="K101" s="1">
        <v>6.1755100000000001</v>
      </c>
      <c r="L101" s="1">
        <v>890</v>
      </c>
      <c r="M101" s="1">
        <v>681.04984999999999</v>
      </c>
      <c r="N101" s="1">
        <v>3.13361</v>
      </c>
      <c r="O101" s="1">
        <v>2670</v>
      </c>
      <c r="P101" s="1">
        <v>655.43295999999998</v>
      </c>
      <c r="Q101" s="1">
        <v>1.9104399999999999</v>
      </c>
      <c r="R101" s="1">
        <v>196</v>
      </c>
      <c r="T101" s="1"/>
      <c r="U101" s="1"/>
      <c r="V101" s="1"/>
    </row>
    <row r="102" spans="1:22" x14ac:dyDescent="0.3">
      <c r="A102" s="1" t="s">
        <v>18</v>
      </c>
      <c r="B102" s="1">
        <v>50</v>
      </c>
      <c r="C102" s="1">
        <v>1</v>
      </c>
      <c r="D102" s="1">
        <v>1027.0157400000001</v>
      </c>
      <c r="E102" s="1">
        <v>7.5572800000000004</v>
      </c>
      <c r="F102" s="1">
        <v>340</v>
      </c>
      <c r="G102" s="1">
        <v>1086.6779799999999</v>
      </c>
      <c r="H102" s="1">
        <v>7.4140699999999997</v>
      </c>
      <c r="I102" s="1">
        <v>790</v>
      </c>
      <c r="J102" s="1">
        <v>995.83891000000006</v>
      </c>
      <c r="K102" s="1">
        <v>14.60121</v>
      </c>
      <c r="L102" s="1">
        <v>1172</v>
      </c>
      <c r="M102" s="1">
        <v>1091.2948100000001</v>
      </c>
      <c r="N102" s="1">
        <v>16.234190000000002</v>
      </c>
      <c r="O102" s="1">
        <v>8827</v>
      </c>
      <c r="P102" s="1">
        <v>1002.75758</v>
      </c>
      <c r="Q102" s="1">
        <v>2.8829400000000001</v>
      </c>
      <c r="R102" s="1">
        <v>215</v>
      </c>
      <c r="T102" s="1"/>
      <c r="U102" s="1"/>
      <c r="V102" s="1"/>
    </row>
    <row r="103" spans="1:22" x14ac:dyDescent="0.3">
      <c r="A103" s="1" t="s">
        <v>18</v>
      </c>
      <c r="B103" s="1">
        <v>50</v>
      </c>
      <c r="C103" s="1">
        <v>1</v>
      </c>
      <c r="D103" s="1">
        <v>1027.0157400000001</v>
      </c>
      <c r="E103" s="1">
        <v>7.7778099999999997</v>
      </c>
      <c r="F103" s="1">
        <v>340</v>
      </c>
      <c r="G103" s="1">
        <v>1088.3476800000001</v>
      </c>
      <c r="H103" s="1">
        <v>11.953860000000001</v>
      </c>
      <c r="I103" s="1">
        <v>1472</v>
      </c>
      <c r="J103" s="1">
        <v>997.53237999999999</v>
      </c>
      <c r="K103" s="1">
        <v>14.915150000000001</v>
      </c>
      <c r="L103" s="1">
        <v>1177</v>
      </c>
      <c r="M103" s="1">
        <v>1041.68722</v>
      </c>
      <c r="N103" s="1">
        <v>14.106</v>
      </c>
      <c r="O103" s="1">
        <v>6697</v>
      </c>
      <c r="P103" s="1">
        <v>1002.75758</v>
      </c>
      <c r="Q103" s="1">
        <v>3.5564300000000002</v>
      </c>
      <c r="R103" s="1">
        <v>258</v>
      </c>
      <c r="T103" s="1"/>
      <c r="U103" s="1"/>
      <c r="V103" s="1"/>
    </row>
    <row r="104" spans="1:22" x14ac:dyDescent="0.3">
      <c r="A104" s="1" t="s">
        <v>18</v>
      </c>
      <c r="B104" s="1">
        <v>50</v>
      </c>
      <c r="C104" s="1">
        <v>1</v>
      </c>
      <c r="D104" s="1">
        <v>1027.0157400000001</v>
      </c>
      <c r="E104" s="1">
        <v>7.6394599999999997</v>
      </c>
      <c r="F104" s="1">
        <v>340</v>
      </c>
      <c r="G104" s="1">
        <v>1040.53269</v>
      </c>
      <c r="H104" s="1">
        <v>10.74119</v>
      </c>
      <c r="I104" s="1">
        <v>1327</v>
      </c>
      <c r="J104" s="1">
        <v>996.71132</v>
      </c>
      <c r="K104" s="1">
        <v>14.88359</v>
      </c>
      <c r="L104" s="1">
        <v>1181</v>
      </c>
      <c r="M104" s="1">
        <v>1067.0056500000001</v>
      </c>
      <c r="N104" s="1">
        <v>10.492620000000001</v>
      </c>
      <c r="O104" s="1">
        <v>5739</v>
      </c>
      <c r="P104" s="1">
        <v>1002.75758</v>
      </c>
      <c r="Q104" s="1">
        <v>2.351</v>
      </c>
      <c r="R104" s="1">
        <v>171</v>
      </c>
      <c r="T104" s="1"/>
      <c r="U104" s="1"/>
      <c r="V104" s="1"/>
    </row>
    <row r="105" spans="1:22" x14ac:dyDescent="0.3">
      <c r="A105" s="1" t="s">
        <v>18</v>
      </c>
      <c r="B105" s="1">
        <v>50</v>
      </c>
      <c r="C105" s="1">
        <v>1</v>
      </c>
      <c r="D105" s="1">
        <v>1027.0157400000001</v>
      </c>
      <c r="E105" s="1">
        <v>7.9121499999999996</v>
      </c>
      <c r="F105" s="1">
        <v>340</v>
      </c>
      <c r="G105" s="1">
        <v>1072.01208</v>
      </c>
      <c r="H105" s="1">
        <v>15.306150000000001</v>
      </c>
      <c r="I105" s="1">
        <v>1889</v>
      </c>
      <c r="J105" s="1">
        <v>1009.98395</v>
      </c>
      <c r="K105" s="1">
        <v>14.1098</v>
      </c>
      <c r="L105" s="1">
        <v>1142</v>
      </c>
      <c r="M105" s="1">
        <v>1044.6833300000001</v>
      </c>
      <c r="N105" s="1">
        <v>12.23124</v>
      </c>
      <c r="O105" s="1">
        <v>6710</v>
      </c>
      <c r="P105" s="1">
        <v>1002.75758</v>
      </c>
      <c r="Q105" s="1">
        <v>3.1545299999999998</v>
      </c>
      <c r="R105" s="1">
        <v>233</v>
      </c>
      <c r="T105" s="1"/>
      <c r="U105" s="1"/>
      <c r="V105" s="1"/>
    </row>
    <row r="106" spans="1:22" x14ac:dyDescent="0.3">
      <c r="A106" s="1" t="s">
        <v>18</v>
      </c>
      <c r="B106" s="1">
        <v>50</v>
      </c>
      <c r="C106" s="1">
        <v>1</v>
      </c>
      <c r="D106" s="1">
        <v>1027.0157400000001</v>
      </c>
      <c r="E106" s="1">
        <v>7.9316399999999998</v>
      </c>
      <c r="F106" s="1">
        <v>340</v>
      </c>
      <c r="G106" s="1">
        <v>1072.56</v>
      </c>
      <c r="H106" s="1">
        <v>7.02867</v>
      </c>
      <c r="I106" s="1">
        <v>772</v>
      </c>
      <c r="J106" s="1">
        <v>996.98541999999998</v>
      </c>
      <c r="K106" s="1">
        <v>15.43379</v>
      </c>
      <c r="L106" s="1">
        <v>1228</v>
      </c>
      <c r="M106" s="1">
        <v>1076.9179099999999</v>
      </c>
      <c r="N106" s="1">
        <v>11.10791</v>
      </c>
      <c r="O106" s="1">
        <v>4774</v>
      </c>
      <c r="P106" s="1">
        <v>1002.75758</v>
      </c>
      <c r="Q106" s="1">
        <v>3.76945</v>
      </c>
      <c r="R106" s="1">
        <v>277</v>
      </c>
      <c r="T106" s="1"/>
      <c r="U106" s="1"/>
      <c r="V106" s="1"/>
    </row>
    <row r="107" spans="1:22" x14ac:dyDescent="0.3">
      <c r="A107" s="1" t="s">
        <v>18</v>
      </c>
      <c r="B107" s="1">
        <v>50</v>
      </c>
      <c r="C107" s="1">
        <v>1</v>
      </c>
      <c r="D107" s="1">
        <v>1027.0157400000001</v>
      </c>
      <c r="E107" s="1">
        <v>7.7452399999999999</v>
      </c>
      <c r="F107" s="1">
        <v>340</v>
      </c>
      <c r="G107" s="1">
        <v>1029.653</v>
      </c>
      <c r="H107" s="1">
        <v>13.78955</v>
      </c>
      <c r="I107" s="1">
        <v>1698</v>
      </c>
      <c r="J107" s="1">
        <v>996.76318000000003</v>
      </c>
      <c r="K107" s="1">
        <v>14.97085</v>
      </c>
      <c r="L107" s="1">
        <v>1185</v>
      </c>
      <c r="M107" s="1">
        <v>1045.5920000000001</v>
      </c>
      <c r="N107" s="1">
        <v>15.554209999999999</v>
      </c>
      <c r="O107" s="1">
        <v>7752</v>
      </c>
      <c r="P107" s="1">
        <v>1002.75758</v>
      </c>
      <c r="Q107" s="1">
        <v>2.5561199999999999</v>
      </c>
      <c r="R107" s="1">
        <v>187</v>
      </c>
      <c r="T107" s="1"/>
      <c r="U107" s="1"/>
      <c r="V107" s="1"/>
    </row>
    <row r="108" spans="1:22" x14ac:dyDescent="0.3">
      <c r="A108" s="1" t="s">
        <v>18</v>
      </c>
      <c r="B108" s="1">
        <v>50</v>
      </c>
      <c r="C108" s="1">
        <v>1</v>
      </c>
      <c r="D108" s="1">
        <v>1010.63661</v>
      </c>
      <c r="E108" s="1">
        <v>9.0260800000000003</v>
      </c>
      <c r="F108" s="1">
        <v>412</v>
      </c>
      <c r="G108" s="1">
        <v>1031.1533300000001</v>
      </c>
      <c r="H108" s="1">
        <v>7.8961100000000002</v>
      </c>
      <c r="I108" s="1">
        <v>977</v>
      </c>
      <c r="J108" s="1">
        <v>999.60771</v>
      </c>
      <c r="K108" s="1">
        <v>14.545170000000001</v>
      </c>
      <c r="L108" s="1">
        <v>1157</v>
      </c>
      <c r="M108" s="1">
        <v>1111.05943</v>
      </c>
      <c r="N108" s="1">
        <v>8.5133299999999998</v>
      </c>
      <c r="O108" s="1">
        <v>4683</v>
      </c>
      <c r="P108" s="1">
        <v>1002.75758</v>
      </c>
      <c r="Q108" s="1">
        <v>3.27807</v>
      </c>
      <c r="R108" s="1">
        <v>241</v>
      </c>
      <c r="T108" s="1"/>
      <c r="U108" s="1"/>
      <c r="V108" s="1"/>
    </row>
    <row r="109" spans="1:22" x14ac:dyDescent="0.3">
      <c r="A109" s="1" t="s">
        <v>18</v>
      </c>
      <c r="B109" s="1">
        <v>50</v>
      </c>
      <c r="C109" s="1">
        <v>1</v>
      </c>
      <c r="D109" s="1">
        <v>1027.0157400000001</v>
      </c>
      <c r="E109" s="1">
        <v>8.7149000000000001</v>
      </c>
      <c r="F109" s="1">
        <v>340</v>
      </c>
      <c r="G109" s="1">
        <v>1063.53404</v>
      </c>
      <c r="H109" s="1">
        <v>7.7676699999999999</v>
      </c>
      <c r="I109" s="1">
        <v>957</v>
      </c>
      <c r="J109" s="1">
        <v>996.60275999999999</v>
      </c>
      <c r="K109" s="1">
        <v>14.3964</v>
      </c>
      <c r="L109" s="1">
        <v>1176</v>
      </c>
      <c r="M109" s="1">
        <v>1056.64454</v>
      </c>
      <c r="N109" s="1">
        <v>10.02664</v>
      </c>
      <c r="O109" s="1">
        <v>5310</v>
      </c>
      <c r="P109" s="1">
        <v>1002.75758</v>
      </c>
      <c r="Q109" s="1">
        <v>2.8064800000000001</v>
      </c>
      <c r="R109" s="1">
        <v>208</v>
      </c>
      <c r="T109" s="1"/>
      <c r="U109" s="1"/>
      <c r="V109" s="1"/>
    </row>
    <row r="110" spans="1:22" x14ac:dyDescent="0.3">
      <c r="A110" s="1" t="s">
        <v>18</v>
      </c>
      <c r="B110" s="1">
        <v>50</v>
      </c>
      <c r="C110" s="1">
        <v>1</v>
      </c>
      <c r="D110" s="1">
        <v>1027.0157400000001</v>
      </c>
      <c r="E110" s="1">
        <v>7.7305299999999999</v>
      </c>
      <c r="F110" s="1">
        <v>340</v>
      </c>
      <c r="G110" s="1">
        <v>1047.7129600000001</v>
      </c>
      <c r="H110" s="1">
        <v>13.00999</v>
      </c>
      <c r="I110" s="1">
        <v>1618</v>
      </c>
      <c r="J110" s="1">
        <v>998.66908000000001</v>
      </c>
      <c r="K110" s="1">
        <v>14.38688</v>
      </c>
      <c r="L110" s="1">
        <v>1154</v>
      </c>
      <c r="M110" s="1">
        <v>1059.81882</v>
      </c>
      <c r="N110" s="1">
        <v>10.969150000000001</v>
      </c>
      <c r="O110" s="1">
        <v>5362</v>
      </c>
      <c r="P110" s="1">
        <v>1002.75758</v>
      </c>
      <c r="Q110" s="1">
        <v>2.54793</v>
      </c>
      <c r="R110" s="1">
        <v>188</v>
      </c>
      <c r="T110" s="1"/>
      <c r="U110" s="1"/>
      <c r="V110" s="1"/>
    </row>
    <row r="111" spans="1:22" x14ac:dyDescent="0.3">
      <c r="A111" s="1" t="s">
        <v>18</v>
      </c>
      <c r="B111" s="1">
        <v>50</v>
      </c>
      <c r="C111" s="1">
        <v>1</v>
      </c>
      <c r="D111" s="1">
        <v>1027.0157400000001</v>
      </c>
      <c r="E111" s="1">
        <v>7.59673</v>
      </c>
      <c r="F111" s="1">
        <v>340</v>
      </c>
      <c r="G111" s="1">
        <v>1192.15445</v>
      </c>
      <c r="H111" s="1">
        <v>4.5468000000000002</v>
      </c>
      <c r="I111" s="1">
        <v>560</v>
      </c>
      <c r="J111" s="1">
        <v>998.67205000000001</v>
      </c>
      <c r="K111" s="1">
        <v>14.578480000000001</v>
      </c>
      <c r="L111" s="1">
        <v>1159</v>
      </c>
      <c r="M111" s="1">
        <v>1102.70877</v>
      </c>
      <c r="N111" s="1">
        <v>10.378399999999999</v>
      </c>
      <c r="O111" s="1">
        <v>5724</v>
      </c>
      <c r="P111" s="1">
        <v>1002.75758</v>
      </c>
      <c r="Q111" s="1">
        <v>2.7031000000000001</v>
      </c>
      <c r="R111" s="1">
        <v>195</v>
      </c>
      <c r="T111" s="1"/>
      <c r="U111" s="1"/>
      <c r="V111" s="1"/>
    </row>
    <row r="112" spans="1:22" x14ac:dyDescent="0.3">
      <c r="A112" s="1" t="s">
        <v>18</v>
      </c>
      <c r="B112" s="1">
        <v>100</v>
      </c>
      <c r="C112" s="1">
        <v>1</v>
      </c>
      <c r="D112" s="1">
        <v>1774.48</v>
      </c>
      <c r="E112" s="1">
        <v>20.940930000000002</v>
      </c>
      <c r="F112" s="1">
        <v>480</v>
      </c>
      <c r="G112" s="1">
        <v>1816.9480900000001</v>
      </c>
      <c r="H112" s="1">
        <v>21.669640000000001</v>
      </c>
      <c r="I112" s="1">
        <v>1909</v>
      </c>
      <c r="J112" s="1">
        <v>1758.05564</v>
      </c>
      <c r="K112" s="1">
        <v>51.568069999999999</v>
      </c>
      <c r="L112" s="1">
        <v>1635</v>
      </c>
      <c r="M112" s="1">
        <v>1815.7</v>
      </c>
      <c r="N112" s="1">
        <v>16.567540000000001</v>
      </c>
      <c r="O112" s="1">
        <v>4372</v>
      </c>
      <c r="P112" s="1">
        <v>1763.1766700000001</v>
      </c>
      <c r="Q112" s="1">
        <v>10.67567</v>
      </c>
      <c r="R112" s="1">
        <v>326</v>
      </c>
      <c r="T112" s="1"/>
      <c r="U112" s="1"/>
      <c r="V112" s="1"/>
    </row>
    <row r="113" spans="1:22" x14ac:dyDescent="0.3">
      <c r="A113" s="1" t="s">
        <v>18</v>
      </c>
      <c r="B113" s="1">
        <v>100</v>
      </c>
      <c r="C113" s="1">
        <v>1</v>
      </c>
      <c r="D113" s="1">
        <v>1774.48</v>
      </c>
      <c r="E113" s="1">
        <v>20.309899999999999</v>
      </c>
      <c r="F113" s="1">
        <v>480</v>
      </c>
      <c r="G113" s="1">
        <v>1837.5566699999999</v>
      </c>
      <c r="H113" s="1">
        <v>11.629300000000001</v>
      </c>
      <c r="I113" s="1">
        <v>1018</v>
      </c>
      <c r="J113" s="1">
        <v>1756.04097</v>
      </c>
      <c r="K113" s="1">
        <v>55.087879999999998</v>
      </c>
      <c r="L113" s="1">
        <v>1695</v>
      </c>
      <c r="M113" s="1">
        <v>1824.5767000000001</v>
      </c>
      <c r="N113" s="1">
        <v>21.131270000000001</v>
      </c>
      <c r="O113" s="1">
        <v>5437</v>
      </c>
      <c r="P113" s="1">
        <v>1762.73613</v>
      </c>
      <c r="Q113" s="1">
        <v>25.361499999999999</v>
      </c>
      <c r="R113" s="1">
        <v>775</v>
      </c>
      <c r="T113" s="1"/>
      <c r="U113" s="1"/>
      <c r="V113" s="1"/>
    </row>
    <row r="114" spans="1:22" x14ac:dyDescent="0.3">
      <c r="A114" s="1" t="s">
        <v>18</v>
      </c>
      <c r="B114" s="1">
        <v>100</v>
      </c>
      <c r="C114" s="1">
        <v>1</v>
      </c>
      <c r="D114" s="1">
        <v>1774.48</v>
      </c>
      <c r="E114" s="1">
        <v>20.143360000000001</v>
      </c>
      <c r="F114" s="1">
        <v>480</v>
      </c>
      <c r="G114" s="1">
        <v>1787.6337699999999</v>
      </c>
      <c r="H114" s="1">
        <v>43.901319999999998</v>
      </c>
      <c r="I114" s="1">
        <v>3863</v>
      </c>
      <c r="J114" s="1">
        <v>1758.39633</v>
      </c>
      <c r="K114" s="1">
        <v>51.916330000000002</v>
      </c>
      <c r="L114" s="1">
        <v>1652</v>
      </c>
      <c r="M114" s="1">
        <v>1795.3419100000001</v>
      </c>
      <c r="N114" s="1">
        <v>26.819590000000002</v>
      </c>
      <c r="O114" s="1">
        <v>7082</v>
      </c>
      <c r="P114" s="1">
        <v>1764.27612</v>
      </c>
      <c r="Q114" s="1">
        <v>8.4851700000000001</v>
      </c>
      <c r="R114" s="1">
        <v>260</v>
      </c>
      <c r="T114" s="1"/>
      <c r="U114" s="1"/>
      <c r="V114" s="1"/>
    </row>
    <row r="115" spans="1:22" x14ac:dyDescent="0.3">
      <c r="A115" s="1" t="s">
        <v>18</v>
      </c>
      <c r="B115" s="1">
        <v>100</v>
      </c>
      <c r="C115" s="1">
        <v>1</v>
      </c>
      <c r="D115" s="1">
        <v>1774.48</v>
      </c>
      <c r="E115" s="1">
        <v>23.503640000000001</v>
      </c>
      <c r="F115" s="1">
        <v>480</v>
      </c>
      <c r="G115" s="1">
        <v>1803.3338799999999</v>
      </c>
      <c r="H115" s="1">
        <v>33.711039999999997</v>
      </c>
      <c r="I115" s="1">
        <v>2933</v>
      </c>
      <c r="J115" s="1">
        <v>1758.8599099999999</v>
      </c>
      <c r="K115" s="1">
        <v>50.191020000000002</v>
      </c>
      <c r="L115" s="1">
        <v>1635</v>
      </c>
      <c r="M115" s="1">
        <v>1799.1719399999999</v>
      </c>
      <c r="N115" s="1">
        <v>30.128879999999999</v>
      </c>
      <c r="O115" s="1">
        <v>7935</v>
      </c>
      <c r="P115" s="1">
        <v>1765.79</v>
      </c>
      <c r="Q115" s="1">
        <v>15.66929</v>
      </c>
      <c r="R115" s="1">
        <v>480</v>
      </c>
      <c r="T115" s="1"/>
      <c r="U115" s="1"/>
      <c r="V115" s="1"/>
    </row>
    <row r="116" spans="1:22" x14ac:dyDescent="0.3">
      <c r="A116" s="1" t="s">
        <v>18</v>
      </c>
      <c r="B116" s="1">
        <v>100</v>
      </c>
      <c r="C116" s="1">
        <v>1</v>
      </c>
      <c r="D116" s="1">
        <v>1774.48</v>
      </c>
      <c r="E116" s="1">
        <v>20.813099999999999</v>
      </c>
      <c r="F116" s="1">
        <v>480</v>
      </c>
      <c r="G116" s="1">
        <v>1811.6988799999999</v>
      </c>
      <c r="H116" s="1">
        <v>27.193760000000001</v>
      </c>
      <c r="I116" s="1">
        <v>2431</v>
      </c>
      <c r="J116" s="1">
        <v>1757.5296000000001</v>
      </c>
      <c r="K116" s="1">
        <v>49.323189999999997</v>
      </c>
      <c r="L116" s="1">
        <v>1643</v>
      </c>
      <c r="M116" s="1">
        <v>1870.64273</v>
      </c>
      <c r="N116" s="1">
        <v>9.3945699999999999</v>
      </c>
      <c r="O116" s="1">
        <v>2441</v>
      </c>
      <c r="P116" s="1">
        <v>1761.9752000000001</v>
      </c>
      <c r="Q116" s="1">
        <v>16.136759999999999</v>
      </c>
      <c r="R116" s="1">
        <v>495</v>
      </c>
      <c r="T116" s="1"/>
      <c r="U116" s="1"/>
      <c r="V116" s="1"/>
    </row>
    <row r="117" spans="1:22" x14ac:dyDescent="0.3">
      <c r="A117" s="1" t="s">
        <v>18</v>
      </c>
      <c r="B117" s="1">
        <v>100</v>
      </c>
      <c r="C117" s="1">
        <v>1</v>
      </c>
      <c r="D117" s="1">
        <v>1774.48</v>
      </c>
      <c r="E117" s="1">
        <v>19.323129999999999</v>
      </c>
      <c r="F117" s="1">
        <v>480</v>
      </c>
      <c r="G117" s="1">
        <v>1867.04296</v>
      </c>
      <c r="H117" s="1">
        <v>13.962809999999999</v>
      </c>
      <c r="I117" s="1">
        <v>1214</v>
      </c>
      <c r="J117" s="1">
        <v>1758.4223</v>
      </c>
      <c r="K117" s="1">
        <v>54.29665</v>
      </c>
      <c r="L117" s="1">
        <v>1760</v>
      </c>
      <c r="M117" s="1">
        <v>1787.0433599999999</v>
      </c>
      <c r="N117" s="1">
        <v>48.529820000000001</v>
      </c>
      <c r="O117" s="1">
        <v>12541</v>
      </c>
      <c r="P117" s="1">
        <v>1764.18</v>
      </c>
      <c r="Q117" s="1">
        <v>17.11458</v>
      </c>
      <c r="R117" s="1">
        <v>522</v>
      </c>
      <c r="T117" s="1"/>
      <c r="U117" s="1"/>
      <c r="V117" s="1"/>
    </row>
    <row r="118" spans="1:22" x14ac:dyDescent="0.3">
      <c r="A118" s="1" t="s">
        <v>18</v>
      </c>
      <c r="B118" s="1">
        <v>100</v>
      </c>
      <c r="C118" s="1">
        <v>1</v>
      </c>
      <c r="D118" s="1">
        <v>1774.48</v>
      </c>
      <c r="E118" s="1">
        <v>19.743130000000001</v>
      </c>
      <c r="F118" s="1">
        <v>480</v>
      </c>
      <c r="G118" s="1">
        <v>1789.9333300000001</v>
      </c>
      <c r="H118" s="1">
        <v>24.02223</v>
      </c>
      <c r="I118" s="1">
        <v>2154</v>
      </c>
      <c r="J118" s="1">
        <v>1757.87409</v>
      </c>
      <c r="K118" s="1">
        <v>50.413240000000002</v>
      </c>
      <c r="L118" s="1">
        <v>1676</v>
      </c>
      <c r="M118" s="1">
        <v>1863.87112</v>
      </c>
      <c r="N118" s="1">
        <v>20.453040000000001</v>
      </c>
      <c r="O118" s="1">
        <v>4864</v>
      </c>
      <c r="P118" s="1">
        <v>1766.29</v>
      </c>
      <c r="Q118" s="1">
        <v>8.6049500000000005</v>
      </c>
      <c r="R118" s="1">
        <v>264</v>
      </c>
      <c r="T118" s="1"/>
      <c r="U118" s="1"/>
      <c r="V118" s="1"/>
    </row>
    <row r="119" spans="1:22" x14ac:dyDescent="0.3">
      <c r="A119" s="1" t="s">
        <v>18</v>
      </c>
      <c r="B119" s="1">
        <v>100</v>
      </c>
      <c r="C119" s="1">
        <v>1</v>
      </c>
      <c r="D119" s="1">
        <v>1774.48</v>
      </c>
      <c r="E119" s="1">
        <v>19.623360000000002</v>
      </c>
      <c r="F119" s="1">
        <v>480</v>
      </c>
      <c r="G119" s="1">
        <v>1791.45047</v>
      </c>
      <c r="H119" s="1">
        <v>31.327529999999999</v>
      </c>
      <c r="I119" s="1">
        <v>2583</v>
      </c>
      <c r="J119" s="1">
        <v>1757.32177</v>
      </c>
      <c r="K119" s="1">
        <v>50.768340000000002</v>
      </c>
      <c r="L119" s="1">
        <v>1670</v>
      </c>
      <c r="M119" s="1">
        <v>1792.75</v>
      </c>
      <c r="N119" s="1">
        <v>16.847020000000001</v>
      </c>
      <c r="O119" s="1">
        <v>4425</v>
      </c>
      <c r="P119" s="1">
        <v>1761.6833300000001</v>
      </c>
      <c r="Q119" s="1">
        <v>20.241530000000001</v>
      </c>
      <c r="R119" s="1">
        <v>621</v>
      </c>
      <c r="T119" s="1"/>
      <c r="U119" s="1"/>
      <c r="V119" s="1"/>
    </row>
    <row r="120" spans="1:22" x14ac:dyDescent="0.3">
      <c r="A120" s="1" t="s">
        <v>18</v>
      </c>
      <c r="B120" s="1">
        <v>100</v>
      </c>
      <c r="C120" s="1">
        <v>1</v>
      </c>
      <c r="D120" s="1">
        <v>1774.48</v>
      </c>
      <c r="E120" s="1">
        <v>19.917649999999998</v>
      </c>
      <c r="F120" s="1">
        <v>480</v>
      </c>
      <c r="G120" s="1">
        <v>1775.15969</v>
      </c>
      <c r="H120" s="1">
        <v>48.226379999999999</v>
      </c>
      <c r="I120" s="1">
        <v>4255</v>
      </c>
      <c r="J120" s="1">
        <v>1758.37589</v>
      </c>
      <c r="K120" s="1">
        <v>49.349649999999997</v>
      </c>
      <c r="L120" s="1">
        <v>1626</v>
      </c>
      <c r="M120" s="1">
        <v>1796.65003</v>
      </c>
      <c r="N120" s="1">
        <v>17.386780000000002</v>
      </c>
      <c r="O120" s="1">
        <v>4519</v>
      </c>
      <c r="P120" s="1">
        <v>1763.1766700000001</v>
      </c>
      <c r="Q120" s="1">
        <v>19.41451</v>
      </c>
      <c r="R120" s="1">
        <v>599</v>
      </c>
      <c r="T120" s="1"/>
      <c r="U120" s="1"/>
      <c r="V120" s="1"/>
    </row>
    <row r="121" spans="1:22" x14ac:dyDescent="0.3">
      <c r="A121" s="1" t="s">
        <v>18</v>
      </c>
      <c r="B121" s="1">
        <v>100</v>
      </c>
      <c r="C121" s="1">
        <v>1</v>
      </c>
      <c r="D121" s="1">
        <v>1774.48</v>
      </c>
      <c r="E121" s="1">
        <v>19.440460000000002</v>
      </c>
      <c r="F121" s="1">
        <v>480</v>
      </c>
      <c r="G121" s="1">
        <v>1775.33</v>
      </c>
      <c r="H121" s="1">
        <v>39.191429999999997</v>
      </c>
      <c r="I121" s="1">
        <v>3445</v>
      </c>
      <c r="J121" s="1">
        <v>1760.8468</v>
      </c>
      <c r="K121" s="1">
        <v>51.242080000000001</v>
      </c>
      <c r="L121" s="1">
        <v>1637</v>
      </c>
      <c r="M121" s="1">
        <v>1859.68336</v>
      </c>
      <c r="N121" s="1">
        <v>28.343579999999999</v>
      </c>
      <c r="O121" s="1">
        <v>7189</v>
      </c>
      <c r="P121" s="1">
        <v>1764.18</v>
      </c>
      <c r="Q121" s="1">
        <v>15.46078</v>
      </c>
      <c r="R121" s="1">
        <v>471</v>
      </c>
      <c r="T121" s="1"/>
      <c r="U121" s="1"/>
      <c r="V121" s="1"/>
    </row>
    <row r="122" spans="1:22" x14ac:dyDescent="0.3">
      <c r="A122" t="s">
        <v>19</v>
      </c>
      <c r="B122">
        <v>9</v>
      </c>
      <c r="C122">
        <v>1</v>
      </c>
      <c r="D122">
        <v>8.5424299999999995</v>
      </c>
      <c r="E122">
        <v>1.2530600000000001</v>
      </c>
      <c r="F122">
        <v>144</v>
      </c>
      <c r="G122">
        <v>8.5425000000000004</v>
      </c>
      <c r="H122">
        <v>1.1716</v>
      </c>
      <c r="I122">
        <v>215</v>
      </c>
      <c r="J122">
        <v>8.5424299999999995</v>
      </c>
      <c r="K122">
        <v>1.2012100000000001</v>
      </c>
      <c r="L122">
        <v>481</v>
      </c>
      <c r="M122">
        <v>8.5424299999999995</v>
      </c>
      <c r="N122">
        <v>0.34633999999999998</v>
      </c>
      <c r="O122">
        <v>720</v>
      </c>
      <c r="P122">
        <v>8.5424299999999995</v>
      </c>
      <c r="Q122">
        <v>0.18659000000000001</v>
      </c>
      <c r="R122">
        <v>29</v>
      </c>
    </row>
    <row r="123" spans="1:22" x14ac:dyDescent="0.3">
      <c r="A123" t="s">
        <v>19</v>
      </c>
      <c r="B123">
        <v>9</v>
      </c>
      <c r="C123">
        <v>1</v>
      </c>
      <c r="D123">
        <v>8.5424299999999995</v>
      </c>
      <c r="E123">
        <v>1.2684599999999999</v>
      </c>
      <c r="F123">
        <v>144</v>
      </c>
      <c r="G123">
        <v>8.5424299999999995</v>
      </c>
      <c r="H123">
        <v>1.13188</v>
      </c>
      <c r="I123">
        <v>215</v>
      </c>
      <c r="J123">
        <v>8.5424299999999995</v>
      </c>
      <c r="K123">
        <v>1.19476</v>
      </c>
      <c r="L123">
        <v>481</v>
      </c>
      <c r="M123">
        <v>8.5424299999999995</v>
      </c>
      <c r="N123">
        <v>0.34214</v>
      </c>
      <c r="O123">
        <v>720</v>
      </c>
      <c r="P123">
        <v>8.5424299999999995</v>
      </c>
      <c r="Q123">
        <v>0.19176000000000001</v>
      </c>
      <c r="R123">
        <v>29</v>
      </c>
    </row>
    <row r="124" spans="1:22" x14ac:dyDescent="0.3">
      <c r="A124" t="s">
        <v>19</v>
      </c>
      <c r="B124">
        <v>9</v>
      </c>
      <c r="C124">
        <v>1</v>
      </c>
      <c r="D124">
        <v>8.5424299999999995</v>
      </c>
      <c r="E124">
        <v>1.2022699999999999</v>
      </c>
      <c r="F124">
        <v>144</v>
      </c>
      <c r="G124">
        <v>8.5424299999999995</v>
      </c>
      <c r="H124">
        <v>1.12182</v>
      </c>
      <c r="I124">
        <v>214</v>
      </c>
      <c r="J124">
        <v>8.5424299999999995</v>
      </c>
      <c r="K124">
        <v>1.1871400000000001</v>
      </c>
      <c r="L124">
        <v>481</v>
      </c>
      <c r="M124">
        <v>8.5424299999999995</v>
      </c>
      <c r="N124">
        <v>0.34450999999999998</v>
      </c>
      <c r="O124">
        <v>720</v>
      </c>
      <c r="P124">
        <v>8.5424299999999995</v>
      </c>
      <c r="Q124">
        <v>0.18851999999999999</v>
      </c>
      <c r="R124">
        <v>29</v>
      </c>
    </row>
    <row r="125" spans="1:22" x14ac:dyDescent="0.3">
      <c r="A125" t="s">
        <v>19</v>
      </c>
      <c r="B125">
        <v>9</v>
      </c>
      <c r="C125">
        <v>1</v>
      </c>
      <c r="D125">
        <v>8.5424299999999995</v>
      </c>
      <c r="E125">
        <v>1.22024</v>
      </c>
      <c r="F125">
        <v>144</v>
      </c>
      <c r="G125">
        <v>8.5424299999999995</v>
      </c>
      <c r="H125">
        <v>1.1408499999999999</v>
      </c>
      <c r="I125">
        <v>217</v>
      </c>
      <c r="J125">
        <v>8.5424299999999995</v>
      </c>
      <c r="K125">
        <v>1.2001200000000001</v>
      </c>
      <c r="L125">
        <v>481</v>
      </c>
      <c r="M125">
        <v>8.5424299999999995</v>
      </c>
      <c r="N125">
        <v>0.34254000000000001</v>
      </c>
      <c r="O125">
        <v>720</v>
      </c>
      <c r="P125">
        <v>8.5424299999999995</v>
      </c>
      <c r="Q125">
        <v>0.18697</v>
      </c>
      <c r="R125">
        <v>29</v>
      </c>
    </row>
    <row r="126" spans="1:22" x14ac:dyDescent="0.3">
      <c r="A126" t="s">
        <v>19</v>
      </c>
      <c r="B126">
        <v>9</v>
      </c>
      <c r="C126">
        <v>1</v>
      </c>
      <c r="D126">
        <v>8.5424299999999995</v>
      </c>
      <c r="E126">
        <v>1.24038</v>
      </c>
      <c r="F126">
        <v>144</v>
      </c>
      <c r="G126">
        <v>8.5424299999999995</v>
      </c>
      <c r="H126">
        <v>1.15513</v>
      </c>
      <c r="I126">
        <v>220</v>
      </c>
      <c r="J126">
        <v>8.5424299999999995</v>
      </c>
      <c r="K126">
        <v>1.1916</v>
      </c>
      <c r="L126">
        <v>481</v>
      </c>
      <c r="M126">
        <v>8.5424299999999995</v>
      </c>
      <c r="N126">
        <v>0.35004999999999997</v>
      </c>
      <c r="O126">
        <v>720</v>
      </c>
      <c r="P126">
        <v>8.5424299999999995</v>
      </c>
      <c r="Q126">
        <v>0.18709999999999999</v>
      </c>
      <c r="R126">
        <v>29</v>
      </c>
    </row>
    <row r="127" spans="1:22" x14ac:dyDescent="0.3">
      <c r="A127" t="s">
        <v>19</v>
      </c>
      <c r="B127">
        <v>9</v>
      </c>
      <c r="C127">
        <v>1</v>
      </c>
      <c r="D127">
        <v>8.5424299999999995</v>
      </c>
      <c r="E127">
        <v>1.20164</v>
      </c>
      <c r="F127">
        <v>144</v>
      </c>
      <c r="G127">
        <v>8.5424299999999995</v>
      </c>
      <c r="H127">
        <v>1.1233900000000001</v>
      </c>
      <c r="I127">
        <v>214</v>
      </c>
      <c r="J127">
        <v>8.5424299999999995</v>
      </c>
      <c r="K127">
        <v>1.19831</v>
      </c>
      <c r="L127">
        <v>481</v>
      </c>
      <c r="M127">
        <v>8.5424299999999995</v>
      </c>
      <c r="N127">
        <v>0.34686</v>
      </c>
      <c r="O127">
        <v>720</v>
      </c>
      <c r="P127">
        <v>8.5424299999999995</v>
      </c>
      <c r="Q127">
        <v>0.18965000000000001</v>
      </c>
      <c r="R127">
        <v>29</v>
      </c>
    </row>
    <row r="128" spans="1:22" x14ac:dyDescent="0.3">
      <c r="A128" t="s">
        <v>19</v>
      </c>
      <c r="B128">
        <v>9</v>
      </c>
      <c r="C128">
        <v>1</v>
      </c>
      <c r="D128">
        <v>8.5424299999999995</v>
      </c>
      <c r="E128">
        <v>1.7006300000000001</v>
      </c>
      <c r="F128">
        <v>144</v>
      </c>
      <c r="G128">
        <v>8.5425000000000004</v>
      </c>
      <c r="H128">
        <v>3.0523500000000001</v>
      </c>
      <c r="I128">
        <v>211</v>
      </c>
      <c r="J128">
        <v>8.5424299999999995</v>
      </c>
      <c r="K128">
        <v>1.1859500000000001</v>
      </c>
      <c r="L128">
        <v>481</v>
      </c>
      <c r="M128">
        <v>8.5424299999999995</v>
      </c>
      <c r="N128">
        <v>0.56655</v>
      </c>
      <c r="O128">
        <v>720</v>
      </c>
      <c r="P128">
        <v>8.5424299999999995</v>
      </c>
      <c r="Q128">
        <v>0.18726999999999999</v>
      </c>
      <c r="R128">
        <v>29</v>
      </c>
    </row>
    <row r="129" spans="1:18" x14ac:dyDescent="0.3">
      <c r="A129" t="s">
        <v>19</v>
      </c>
      <c r="B129">
        <v>9</v>
      </c>
      <c r="C129">
        <v>1</v>
      </c>
      <c r="D129">
        <v>8.5424299999999995</v>
      </c>
      <c r="E129">
        <v>1.2178</v>
      </c>
      <c r="F129">
        <v>144</v>
      </c>
      <c r="G129">
        <v>8.5424299999999995</v>
      </c>
      <c r="H129">
        <v>1.1761999999999999</v>
      </c>
      <c r="I129">
        <v>223</v>
      </c>
      <c r="J129">
        <v>8.5424299999999995</v>
      </c>
      <c r="K129">
        <v>1.1996899999999999</v>
      </c>
      <c r="L129">
        <v>481</v>
      </c>
      <c r="M129">
        <v>8.5424299999999995</v>
      </c>
      <c r="N129">
        <v>0.35091</v>
      </c>
      <c r="O129">
        <v>720</v>
      </c>
      <c r="P129">
        <v>8.5424299999999995</v>
      </c>
      <c r="Q129">
        <v>0.19497999999999999</v>
      </c>
      <c r="R129">
        <v>29</v>
      </c>
    </row>
    <row r="130" spans="1:18" x14ac:dyDescent="0.3">
      <c r="A130" t="s">
        <v>19</v>
      </c>
      <c r="B130">
        <v>9</v>
      </c>
      <c r="C130">
        <v>1</v>
      </c>
      <c r="D130">
        <v>8.5424299999999995</v>
      </c>
      <c r="E130">
        <v>1.3886499999999999</v>
      </c>
      <c r="F130">
        <v>144</v>
      </c>
      <c r="G130">
        <v>8.5424299999999995</v>
      </c>
      <c r="H130">
        <v>1.3484100000000001</v>
      </c>
      <c r="I130">
        <v>256</v>
      </c>
      <c r="J130">
        <v>8.5424299999999995</v>
      </c>
      <c r="K130">
        <v>1.19503</v>
      </c>
      <c r="L130">
        <v>481</v>
      </c>
      <c r="M130">
        <v>8.5424299999999995</v>
      </c>
      <c r="N130">
        <v>0.35518</v>
      </c>
      <c r="O130">
        <v>720</v>
      </c>
      <c r="P130">
        <v>8.5424299999999995</v>
      </c>
      <c r="Q130">
        <v>0.18912999999999999</v>
      </c>
      <c r="R130">
        <v>29</v>
      </c>
    </row>
    <row r="131" spans="1:18" x14ac:dyDescent="0.3">
      <c r="A131" t="s">
        <v>19</v>
      </c>
      <c r="B131">
        <v>9</v>
      </c>
      <c r="C131">
        <v>1</v>
      </c>
      <c r="D131">
        <v>8.5424299999999995</v>
      </c>
      <c r="E131">
        <v>1.2286699999999999</v>
      </c>
      <c r="F131">
        <v>144</v>
      </c>
      <c r="G131">
        <v>8.5424299999999995</v>
      </c>
      <c r="H131">
        <v>1.2090099999999999</v>
      </c>
      <c r="I131">
        <v>223</v>
      </c>
      <c r="J131">
        <v>8.5424299999999995</v>
      </c>
      <c r="K131">
        <v>1.18967</v>
      </c>
      <c r="L131">
        <v>481</v>
      </c>
      <c r="M131">
        <v>8.5424299999999995</v>
      </c>
      <c r="N131">
        <v>0.34676000000000001</v>
      </c>
      <c r="O131">
        <v>720</v>
      </c>
      <c r="P131">
        <v>8.5424299999999995</v>
      </c>
      <c r="Q131">
        <v>0.189</v>
      </c>
      <c r="R131">
        <v>29</v>
      </c>
    </row>
    <row r="132" spans="1:18" x14ac:dyDescent="0.3">
      <c r="A132" t="s">
        <v>19</v>
      </c>
      <c r="B132">
        <v>209</v>
      </c>
      <c r="C132">
        <v>1</v>
      </c>
      <c r="D132">
        <v>80.126320000000007</v>
      </c>
      <c r="E132">
        <v>80.187529999999995</v>
      </c>
      <c r="F132">
        <v>694</v>
      </c>
      <c r="G132">
        <v>81.081980000000001</v>
      </c>
      <c r="H132">
        <v>77.634069999999994</v>
      </c>
      <c r="I132">
        <v>3279</v>
      </c>
      <c r="J132">
        <v>76.81232</v>
      </c>
      <c r="K132">
        <v>176.61984000000001</v>
      </c>
      <c r="L132">
        <v>2385</v>
      </c>
      <c r="M132">
        <v>84.020229999999998</v>
      </c>
      <c r="N132">
        <v>78.81814</v>
      </c>
      <c r="O132">
        <v>6761</v>
      </c>
      <c r="P132">
        <v>78.063990000000004</v>
      </c>
      <c r="Q132">
        <v>87.078530000000001</v>
      </c>
      <c r="R132">
        <v>1725</v>
      </c>
    </row>
    <row r="133" spans="1:18" x14ac:dyDescent="0.3">
      <c r="A133" t="s">
        <v>19</v>
      </c>
      <c r="B133">
        <v>209</v>
      </c>
      <c r="C133">
        <v>1</v>
      </c>
      <c r="D133">
        <v>80.126320000000007</v>
      </c>
      <c r="E133">
        <v>82.620590000000007</v>
      </c>
      <c r="F133">
        <v>694</v>
      </c>
      <c r="G133">
        <v>81.808480000000003</v>
      </c>
      <c r="H133">
        <v>219.61198999999999</v>
      </c>
      <c r="I133">
        <v>8979</v>
      </c>
      <c r="J133">
        <v>76.717929999999996</v>
      </c>
      <c r="K133">
        <v>182.33475000000001</v>
      </c>
      <c r="L133">
        <v>2383</v>
      </c>
      <c r="M133">
        <v>83.43929</v>
      </c>
      <c r="N133">
        <v>121.03309</v>
      </c>
      <c r="O133">
        <v>10517</v>
      </c>
      <c r="P133">
        <v>77.987480000000005</v>
      </c>
      <c r="Q133">
        <v>86.189769999999996</v>
      </c>
      <c r="R133">
        <v>1706</v>
      </c>
    </row>
    <row r="134" spans="1:18" x14ac:dyDescent="0.3">
      <c r="A134" t="s">
        <v>19</v>
      </c>
      <c r="B134">
        <v>209</v>
      </c>
      <c r="C134">
        <v>1</v>
      </c>
      <c r="D134">
        <v>80.126320000000007</v>
      </c>
      <c r="E134">
        <v>82.634200000000007</v>
      </c>
      <c r="F134">
        <v>694</v>
      </c>
      <c r="G134">
        <v>87.347629999999995</v>
      </c>
      <c r="H134">
        <v>82.069149999999993</v>
      </c>
      <c r="I134">
        <v>3303</v>
      </c>
      <c r="J134">
        <v>76.743690000000001</v>
      </c>
      <c r="K134">
        <v>187.72962999999999</v>
      </c>
      <c r="L134">
        <v>2409</v>
      </c>
      <c r="M134">
        <v>82.833389999999994</v>
      </c>
      <c r="N134">
        <v>126.31928000000001</v>
      </c>
      <c r="O134">
        <v>10800</v>
      </c>
      <c r="P134">
        <v>79.561549999999997</v>
      </c>
      <c r="Q134">
        <v>13.38991</v>
      </c>
      <c r="R134">
        <v>263</v>
      </c>
    </row>
    <row r="135" spans="1:18" x14ac:dyDescent="0.3">
      <c r="A135" t="s">
        <v>19</v>
      </c>
      <c r="B135">
        <v>209</v>
      </c>
      <c r="C135">
        <v>1</v>
      </c>
      <c r="D135">
        <v>80.126320000000007</v>
      </c>
      <c r="E135">
        <v>83.014110000000002</v>
      </c>
      <c r="F135">
        <v>694</v>
      </c>
      <c r="G135">
        <v>84.3904</v>
      </c>
      <c r="H135">
        <v>75.354150000000004</v>
      </c>
      <c r="I135">
        <v>2986</v>
      </c>
      <c r="J135">
        <v>76.567490000000006</v>
      </c>
      <c r="K135">
        <v>183.49465000000001</v>
      </c>
      <c r="L135">
        <v>2389</v>
      </c>
      <c r="M135">
        <v>82.573170000000005</v>
      </c>
      <c r="N135">
        <v>198.47193999999999</v>
      </c>
      <c r="O135">
        <v>17202</v>
      </c>
      <c r="P135">
        <v>78.193550000000002</v>
      </c>
      <c r="Q135">
        <v>62.356319999999997</v>
      </c>
      <c r="R135">
        <v>1232</v>
      </c>
    </row>
    <row r="136" spans="1:18" x14ac:dyDescent="0.3">
      <c r="A136" t="s">
        <v>19</v>
      </c>
      <c r="B136">
        <v>209</v>
      </c>
      <c r="C136">
        <v>1</v>
      </c>
      <c r="D136">
        <v>80.126320000000007</v>
      </c>
      <c r="E136">
        <v>81.491159999999994</v>
      </c>
      <c r="F136">
        <v>694</v>
      </c>
      <c r="G136">
        <v>83.143010000000004</v>
      </c>
      <c r="H136">
        <v>131.63141999999999</v>
      </c>
      <c r="I136">
        <v>4957</v>
      </c>
      <c r="J136">
        <v>76.478499999999997</v>
      </c>
      <c r="K136">
        <v>179.56477000000001</v>
      </c>
      <c r="L136">
        <v>2394</v>
      </c>
      <c r="M136">
        <v>83.08466</v>
      </c>
      <c r="N136">
        <v>146.13388</v>
      </c>
      <c r="O136">
        <v>12523</v>
      </c>
      <c r="P136">
        <v>78.105819999999994</v>
      </c>
      <c r="Q136">
        <v>54.735109999999999</v>
      </c>
      <c r="R136">
        <v>1081</v>
      </c>
    </row>
    <row r="137" spans="1:18" x14ac:dyDescent="0.3">
      <c r="A137" t="s">
        <v>19</v>
      </c>
      <c r="B137">
        <v>209</v>
      </c>
      <c r="C137">
        <v>1</v>
      </c>
      <c r="D137">
        <v>80.126320000000007</v>
      </c>
      <c r="E137">
        <v>80.213009999999997</v>
      </c>
      <c r="F137">
        <v>694</v>
      </c>
      <c r="G137">
        <v>82.809430000000006</v>
      </c>
      <c r="H137">
        <v>81.110889999999998</v>
      </c>
      <c r="I137">
        <v>3273</v>
      </c>
      <c r="J137">
        <v>76.597899999999996</v>
      </c>
      <c r="K137">
        <v>174.92819</v>
      </c>
      <c r="L137">
        <v>2357</v>
      </c>
      <c r="M137">
        <v>83.337410000000006</v>
      </c>
      <c r="N137">
        <v>158.8451</v>
      </c>
      <c r="O137">
        <v>13904</v>
      </c>
      <c r="P137">
        <v>78.105649999999997</v>
      </c>
      <c r="Q137">
        <v>89.790800000000004</v>
      </c>
      <c r="R137">
        <v>1788</v>
      </c>
    </row>
    <row r="138" spans="1:18" x14ac:dyDescent="0.3">
      <c r="A138" t="s">
        <v>19</v>
      </c>
      <c r="B138">
        <v>209</v>
      </c>
      <c r="C138">
        <v>1</v>
      </c>
      <c r="D138">
        <v>80.126320000000007</v>
      </c>
      <c r="E138">
        <v>80.97466</v>
      </c>
      <c r="F138">
        <v>694</v>
      </c>
      <c r="G138">
        <v>85.737729999999999</v>
      </c>
      <c r="H138">
        <v>107.18080999999999</v>
      </c>
      <c r="I138">
        <v>4020</v>
      </c>
      <c r="J138">
        <v>76.745769999999993</v>
      </c>
      <c r="K138">
        <v>176.12654000000001</v>
      </c>
      <c r="L138">
        <v>2389</v>
      </c>
      <c r="M138">
        <v>84.148750000000007</v>
      </c>
      <c r="N138">
        <v>93.873850000000004</v>
      </c>
      <c r="O138">
        <v>7965</v>
      </c>
      <c r="P138">
        <v>78.894239999999996</v>
      </c>
      <c r="Q138">
        <v>37.819189999999999</v>
      </c>
      <c r="R138">
        <v>752</v>
      </c>
    </row>
    <row r="139" spans="1:18" x14ac:dyDescent="0.3">
      <c r="A139" t="s">
        <v>19</v>
      </c>
      <c r="B139">
        <v>209</v>
      </c>
      <c r="C139">
        <v>1</v>
      </c>
      <c r="D139">
        <v>80.126320000000007</v>
      </c>
      <c r="E139">
        <v>79.464820000000003</v>
      </c>
      <c r="F139">
        <v>694</v>
      </c>
      <c r="G139">
        <v>83.173389999999998</v>
      </c>
      <c r="H139">
        <v>85.258349999999993</v>
      </c>
      <c r="I139">
        <v>3495</v>
      </c>
      <c r="J139">
        <v>76.857659999999996</v>
      </c>
      <c r="K139">
        <v>186.78013999999999</v>
      </c>
      <c r="L139">
        <v>2386</v>
      </c>
      <c r="M139">
        <v>82.872550000000004</v>
      </c>
      <c r="N139">
        <v>84.451580000000007</v>
      </c>
      <c r="O139">
        <v>7133</v>
      </c>
      <c r="P139">
        <v>77.651150000000001</v>
      </c>
      <c r="Q139">
        <v>97.00103</v>
      </c>
      <c r="R139">
        <v>1911</v>
      </c>
    </row>
    <row r="140" spans="1:18" x14ac:dyDescent="0.3">
      <c r="A140" t="s">
        <v>19</v>
      </c>
      <c r="B140">
        <v>209</v>
      </c>
      <c r="C140">
        <v>1</v>
      </c>
      <c r="D140">
        <v>80.126320000000007</v>
      </c>
      <c r="E140">
        <v>80.939949999999996</v>
      </c>
      <c r="F140">
        <v>694</v>
      </c>
      <c r="G140">
        <v>82.144080000000002</v>
      </c>
      <c r="H140">
        <v>95.433890000000005</v>
      </c>
      <c r="I140">
        <v>3722</v>
      </c>
      <c r="J140">
        <v>76.906469999999999</v>
      </c>
      <c r="K140">
        <v>183.46779000000001</v>
      </c>
      <c r="L140">
        <v>2359</v>
      </c>
      <c r="M140">
        <v>83.877089999999995</v>
      </c>
      <c r="N140">
        <v>118.15608</v>
      </c>
      <c r="O140">
        <v>10201</v>
      </c>
      <c r="P140">
        <v>79.519769999999994</v>
      </c>
      <c r="Q140">
        <v>14.60989</v>
      </c>
      <c r="R140">
        <v>289</v>
      </c>
    </row>
    <row r="141" spans="1:18" x14ac:dyDescent="0.3">
      <c r="A141" t="s">
        <v>19</v>
      </c>
      <c r="B141">
        <v>209</v>
      </c>
      <c r="C141">
        <v>1</v>
      </c>
      <c r="D141">
        <v>80.126320000000007</v>
      </c>
      <c r="E141">
        <v>80.56568</v>
      </c>
      <c r="F141">
        <v>694</v>
      </c>
      <c r="G141">
        <v>84.698030000000003</v>
      </c>
      <c r="H141">
        <v>81.191990000000004</v>
      </c>
      <c r="I141">
        <v>3201</v>
      </c>
      <c r="J141">
        <v>76.535399999999996</v>
      </c>
      <c r="K141">
        <v>176.03955999999999</v>
      </c>
      <c r="L141">
        <v>2361</v>
      </c>
      <c r="M141">
        <v>82.844449999999995</v>
      </c>
      <c r="N141">
        <v>163.44779</v>
      </c>
      <c r="O141">
        <v>14106</v>
      </c>
      <c r="P141">
        <v>78.211349999999996</v>
      </c>
      <c r="Q141">
        <v>55.983060000000002</v>
      </c>
      <c r="R141">
        <v>1099</v>
      </c>
    </row>
    <row r="142" spans="1:18" x14ac:dyDescent="0.3">
      <c r="A142" t="s">
        <v>19</v>
      </c>
      <c r="B142">
        <v>324</v>
      </c>
      <c r="C142">
        <v>1</v>
      </c>
      <c r="D142">
        <v>123.43652</v>
      </c>
      <c r="E142">
        <v>224.38094000000001</v>
      </c>
      <c r="F142">
        <v>864</v>
      </c>
      <c r="G142">
        <v>128.32534000000001</v>
      </c>
      <c r="H142">
        <v>327.74468000000002</v>
      </c>
      <c r="I142">
        <v>8514</v>
      </c>
      <c r="J142">
        <v>119.61978000000001</v>
      </c>
      <c r="K142">
        <v>426.17862000000002</v>
      </c>
      <c r="L142">
        <v>3024</v>
      </c>
      <c r="M142">
        <v>129.5667</v>
      </c>
      <c r="N142">
        <v>286.27620999999999</v>
      </c>
      <c r="O142">
        <v>13255</v>
      </c>
      <c r="P142">
        <v>120.52911</v>
      </c>
      <c r="Q142">
        <v>179.29587000000001</v>
      </c>
      <c r="R142">
        <v>2011</v>
      </c>
    </row>
    <row r="143" spans="1:18" x14ac:dyDescent="0.3">
      <c r="A143" t="s">
        <v>19</v>
      </c>
      <c r="B143">
        <v>324</v>
      </c>
      <c r="C143">
        <v>1</v>
      </c>
      <c r="D143">
        <v>123.43652</v>
      </c>
      <c r="E143">
        <v>225.07061999999999</v>
      </c>
      <c r="F143">
        <v>864</v>
      </c>
      <c r="G143">
        <v>131.90645000000001</v>
      </c>
      <c r="H143">
        <v>144.33000000000001</v>
      </c>
      <c r="I143">
        <v>3575</v>
      </c>
      <c r="J143">
        <v>119.7277</v>
      </c>
      <c r="K143">
        <v>421.95093000000003</v>
      </c>
      <c r="L143">
        <v>3056</v>
      </c>
      <c r="M143">
        <v>130.43825000000001</v>
      </c>
      <c r="N143">
        <v>371.19733000000002</v>
      </c>
      <c r="O143">
        <v>17087</v>
      </c>
      <c r="P143">
        <v>120.85458</v>
      </c>
      <c r="Q143">
        <v>235.10956999999999</v>
      </c>
      <c r="R143">
        <v>2633</v>
      </c>
    </row>
    <row r="144" spans="1:18" x14ac:dyDescent="0.3">
      <c r="A144" t="s">
        <v>19</v>
      </c>
      <c r="B144">
        <v>324</v>
      </c>
      <c r="C144">
        <v>1</v>
      </c>
      <c r="D144">
        <v>123.43652</v>
      </c>
      <c r="E144">
        <v>229.39924999999999</v>
      </c>
      <c r="F144">
        <v>864</v>
      </c>
      <c r="G144">
        <v>130.61333999999999</v>
      </c>
      <c r="H144">
        <v>194.18352999999999</v>
      </c>
      <c r="I144">
        <v>4671</v>
      </c>
      <c r="J144">
        <v>120.05974000000001</v>
      </c>
      <c r="K144">
        <v>407.21075999999999</v>
      </c>
      <c r="L144">
        <v>2935</v>
      </c>
      <c r="M144">
        <v>130.25030000000001</v>
      </c>
      <c r="N144">
        <v>264.65235000000001</v>
      </c>
      <c r="O144">
        <v>12288</v>
      </c>
      <c r="P144">
        <v>121.48766000000001</v>
      </c>
      <c r="Q144">
        <v>148.52234000000001</v>
      </c>
      <c r="R144">
        <v>1669</v>
      </c>
    </row>
    <row r="145" spans="1:18" x14ac:dyDescent="0.3">
      <c r="A145" t="s">
        <v>19</v>
      </c>
      <c r="B145">
        <v>324</v>
      </c>
      <c r="C145">
        <v>1</v>
      </c>
      <c r="D145">
        <v>123.43652</v>
      </c>
      <c r="E145">
        <v>225.70295999999999</v>
      </c>
      <c r="F145">
        <v>864</v>
      </c>
      <c r="G145">
        <v>132.23093</v>
      </c>
      <c r="H145">
        <v>303.40983</v>
      </c>
      <c r="I145">
        <v>7272</v>
      </c>
      <c r="J145">
        <v>120.01586</v>
      </c>
      <c r="K145">
        <v>420.82393999999999</v>
      </c>
      <c r="L145">
        <v>2963</v>
      </c>
      <c r="M145">
        <v>129.81612000000001</v>
      </c>
      <c r="N145">
        <v>251.33815000000001</v>
      </c>
      <c r="O145">
        <v>11683</v>
      </c>
      <c r="P145">
        <v>120.90063000000001</v>
      </c>
      <c r="Q145">
        <v>218.36009999999999</v>
      </c>
      <c r="R145">
        <v>2450</v>
      </c>
    </row>
    <row r="146" spans="1:18" x14ac:dyDescent="0.3">
      <c r="A146" t="s">
        <v>19</v>
      </c>
      <c r="B146">
        <v>324</v>
      </c>
      <c r="C146">
        <v>1</v>
      </c>
      <c r="D146">
        <v>123.43652</v>
      </c>
      <c r="E146">
        <v>222.20273</v>
      </c>
      <c r="F146">
        <v>864</v>
      </c>
      <c r="G146">
        <v>133.50708</v>
      </c>
      <c r="H146">
        <v>337.76506000000001</v>
      </c>
      <c r="I146">
        <v>8169</v>
      </c>
      <c r="J146">
        <v>118.88267</v>
      </c>
      <c r="K146">
        <v>387.36896999999999</v>
      </c>
      <c r="L146">
        <v>2966</v>
      </c>
      <c r="M146">
        <v>131.17581999999999</v>
      </c>
      <c r="N146">
        <v>240.26203000000001</v>
      </c>
      <c r="O146">
        <v>11160</v>
      </c>
      <c r="P146">
        <v>121.17023</v>
      </c>
      <c r="Q146">
        <v>184.02806000000001</v>
      </c>
      <c r="R146">
        <v>2053</v>
      </c>
    </row>
    <row r="147" spans="1:18" x14ac:dyDescent="0.3">
      <c r="A147" t="s">
        <v>19</v>
      </c>
      <c r="B147">
        <v>324</v>
      </c>
      <c r="C147">
        <v>1</v>
      </c>
      <c r="D147">
        <v>123.43652</v>
      </c>
      <c r="E147">
        <v>225.18517</v>
      </c>
      <c r="F147">
        <v>864</v>
      </c>
      <c r="G147">
        <v>130.80446000000001</v>
      </c>
      <c r="H147">
        <v>215.70644999999999</v>
      </c>
      <c r="I147">
        <v>5379</v>
      </c>
      <c r="J147">
        <v>119.89915000000001</v>
      </c>
      <c r="K147">
        <v>429.02098000000001</v>
      </c>
      <c r="L147">
        <v>2949</v>
      </c>
      <c r="M147">
        <v>130.65946</v>
      </c>
      <c r="N147">
        <v>261.74943000000002</v>
      </c>
      <c r="O147">
        <v>11958</v>
      </c>
      <c r="P147">
        <v>121.28031</v>
      </c>
      <c r="Q147">
        <v>187.37073000000001</v>
      </c>
      <c r="R147">
        <v>2097</v>
      </c>
    </row>
    <row r="148" spans="1:18" x14ac:dyDescent="0.3">
      <c r="A148" t="s">
        <v>19</v>
      </c>
      <c r="B148">
        <v>324</v>
      </c>
      <c r="C148">
        <v>1</v>
      </c>
      <c r="D148">
        <v>123.43652</v>
      </c>
      <c r="E148">
        <v>221.94272000000001</v>
      </c>
      <c r="F148">
        <v>864</v>
      </c>
      <c r="G148">
        <v>130.45402000000001</v>
      </c>
      <c r="H148">
        <v>255.68550999999999</v>
      </c>
      <c r="I148">
        <v>6572</v>
      </c>
      <c r="J148">
        <v>120.09039</v>
      </c>
      <c r="K148">
        <v>417.12103999999999</v>
      </c>
      <c r="L148">
        <v>2936</v>
      </c>
      <c r="M148">
        <v>129.28277</v>
      </c>
      <c r="N148">
        <v>329.08848999999998</v>
      </c>
      <c r="O148">
        <v>15362</v>
      </c>
      <c r="P148">
        <v>121.04756</v>
      </c>
      <c r="Q148">
        <v>125.19913</v>
      </c>
      <c r="R148">
        <v>1405</v>
      </c>
    </row>
    <row r="149" spans="1:18" x14ac:dyDescent="0.3">
      <c r="A149" t="s">
        <v>19</v>
      </c>
      <c r="B149">
        <v>324</v>
      </c>
      <c r="C149">
        <v>1</v>
      </c>
      <c r="D149">
        <v>123.43652</v>
      </c>
      <c r="E149">
        <v>226.06115</v>
      </c>
      <c r="F149">
        <v>864</v>
      </c>
      <c r="G149">
        <v>133.84281999999999</v>
      </c>
      <c r="H149">
        <v>189.88142999999999</v>
      </c>
      <c r="I149">
        <v>4461</v>
      </c>
      <c r="J149">
        <v>119.83794</v>
      </c>
      <c r="K149">
        <v>425.98369000000002</v>
      </c>
      <c r="L149">
        <v>2940</v>
      </c>
      <c r="M149">
        <v>129.09880000000001</v>
      </c>
      <c r="N149">
        <v>265.36149</v>
      </c>
      <c r="O149">
        <v>12391</v>
      </c>
      <c r="P149">
        <v>121.48829000000001</v>
      </c>
      <c r="Q149">
        <v>131.40950000000001</v>
      </c>
      <c r="R149">
        <v>1476</v>
      </c>
    </row>
    <row r="150" spans="1:18" x14ac:dyDescent="0.3">
      <c r="A150" t="s">
        <v>19</v>
      </c>
      <c r="B150">
        <v>324</v>
      </c>
      <c r="C150">
        <v>1</v>
      </c>
      <c r="D150">
        <v>123.43652</v>
      </c>
      <c r="E150">
        <v>224.58163999999999</v>
      </c>
      <c r="F150">
        <v>864</v>
      </c>
      <c r="G150">
        <v>128.14157</v>
      </c>
      <c r="H150">
        <v>325.39321000000001</v>
      </c>
      <c r="I150">
        <v>8292</v>
      </c>
      <c r="J150">
        <v>119.20637000000001</v>
      </c>
      <c r="K150">
        <v>433.75745999999998</v>
      </c>
      <c r="L150">
        <v>3026</v>
      </c>
      <c r="M150">
        <v>131.70328000000001</v>
      </c>
      <c r="N150">
        <v>253.89474000000001</v>
      </c>
      <c r="O150">
        <v>11366</v>
      </c>
      <c r="P150">
        <v>121.21342</v>
      </c>
      <c r="Q150">
        <v>158.25110000000001</v>
      </c>
      <c r="R150">
        <v>1776</v>
      </c>
    </row>
    <row r="151" spans="1:18" x14ac:dyDescent="0.3">
      <c r="A151" t="s">
        <v>19</v>
      </c>
      <c r="B151">
        <v>324</v>
      </c>
      <c r="C151">
        <v>1</v>
      </c>
      <c r="D151">
        <v>123.43652</v>
      </c>
      <c r="E151">
        <v>223.2929</v>
      </c>
      <c r="F151">
        <v>864</v>
      </c>
      <c r="G151">
        <v>129.8304</v>
      </c>
      <c r="H151">
        <v>136.71601999999999</v>
      </c>
      <c r="I151">
        <v>3489</v>
      </c>
      <c r="J151">
        <v>119.91267999999999</v>
      </c>
      <c r="K151">
        <v>423.92365999999998</v>
      </c>
      <c r="L151">
        <v>2969</v>
      </c>
      <c r="M151">
        <v>130.89567</v>
      </c>
      <c r="N151">
        <v>373.78805</v>
      </c>
      <c r="O151">
        <v>17286</v>
      </c>
      <c r="P151">
        <v>122.26644</v>
      </c>
      <c r="Q151">
        <v>46.218780000000002</v>
      </c>
      <c r="R151">
        <v>516</v>
      </c>
    </row>
    <row r="152" spans="1:18" x14ac:dyDescent="0.3">
      <c r="A152" t="s">
        <v>20</v>
      </c>
      <c r="B152">
        <v>40</v>
      </c>
      <c r="C152">
        <v>1</v>
      </c>
      <c r="D152">
        <v>17.839659999999999</v>
      </c>
      <c r="E152">
        <v>6.2600100000000003</v>
      </c>
      <c r="F152">
        <v>304</v>
      </c>
      <c r="G152">
        <v>18.581389999999999</v>
      </c>
      <c r="H152">
        <v>5.0107799999999996</v>
      </c>
      <c r="I152">
        <v>630</v>
      </c>
      <c r="J152">
        <v>16.8537</v>
      </c>
      <c r="K152">
        <v>11.50361</v>
      </c>
      <c r="L152">
        <v>1042</v>
      </c>
      <c r="M152">
        <v>19.092300000000002</v>
      </c>
      <c r="N152">
        <v>2.80735</v>
      </c>
      <c r="O152">
        <v>1664</v>
      </c>
      <c r="P152">
        <v>17.0318</v>
      </c>
      <c r="Q152">
        <v>2.5863900000000002</v>
      </c>
      <c r="R152">
        <v>213</v>
      </c>
    </row>
    <row r="153" spans="1:18" x14ac:dyDescent="0.3">
      <c r="A153" t="s">
        <v>20</v>
      </c>
      <c r="B153">
        <v>40</v>
      </c>
      <c r="C153">
        <v>1</v>
      </c>
      <c r="D153">
        <v>17.839659999999999</v>
      </c>
      <c r="E153">
        <v>6.3823800000000004</v>
      </c>
      <c r="F153">
        <v>304</v>
      </c>
      <c r="G153">
        <v>17.69415</v>
      </c>
      <c r="H153">
        <v>8.6399399999999993</v>
      </c>
      <c r="I153">
        <v>1107</v>
      </c>
      <c r="J153">
        <v>16.942640000000001</v>
      </c>
      <c r="K153">
        <v>12.3795</v>
      </c>
      <c r="L153">
        <v>1084</v>
      </c>
      <c r="M153">
        <v>18.090869999999999</v>
      </c>
      <c r="N153">
        <v>4.72018</v>
      </c>
      <c r="O153">
        <v>2804</v>
      </c>
      <c r="P153">
        <v>17.03172</v>
      </c>
      <c r="Q153">
        <v>3.9901900000000001</v>
      </c>
      <c r="R153">
        <v>337</v>
      </c>
    </row>
    <row r="154" spans="1:18" x14ac:dyDescent="0.3">
      <c r="A154" t="s">
        <v>20</v>
      </c>
      <c r="B154">
        <v>40</v>
      </c>
      <c r="C154">
        <v>1</v>
      </c>
      <c r="D154">
        <v>17.56353</v>
      </c>
      <c r="E154">
        <v>6.6453699999999998</v>
      </c>
      <c r="F154">
        <v>325</v>
      </c>
      <c r="G154">
        <v>17.17773</v>
      </c>
      <c r="H154">
        <v>16.210260000000002</v>
      </c>
      <c r="I154">
        <v>1933</v>
      </c>
      <c r="J154">
        <v>16.811330000000002</v>
      </c>
      <c r="K154">
        <v>11.350709999999999</v>
      </c>
      <c r="L154">
        <v>1040</v>
      </c>
      <c r="M154">
        <v>19.25543</v>
      </c>
      <c r="N154">
        <v>2.5524399999999998</v>
      </c>
      <c r="O154">
        <v>1518</v>
      </c>
      <c r="P154">
        <v>17.416609999999999</v>
      </c>
      <c r="Q154">
        <v>2.5774400000000002</v>
      </c>
      <c r="R154">
        <v>214</v>
      </c>
    </row>
    <row r="155" spans="1:18" x14ac:dyDescent="0.3">
      <c r="A155" t="s">
        <v>20</v>
      </c>
      <c r="B155">
        <v>40</v>
      </c>
      <c r="C155">
        <v>1</v>
      </c>
      <c r="D155">
        <v>17.768049999999999</v>
      </c>
      <c r="E155">
        <v>11.761760000000001</v>
      </c>
      <c r="F155">
        <v>573</v>
      </c>
      <c r="G155">
        <v>17.79186</v>
      </c>
      <c r="H155">
        <v>10.76629</v>
      </c>
      <c r="I155">
        <v>1344</v>
      </c>
      <c r="J155">
        <v>16.602889999999999</v>
      </c>
      <c r="K155">
        <v>11.25034</v>
      </c>
      <c r="L155">
        <v>1039</v>
      </c>
      <c r="M155">
        <v>19.033850000000001</v>
      </c>
      <c r="N155">
        <v>2.7426200000000001</v>
      </c>
      <c r="O155">
        <v>1596</v>
      </c>
      <c r="P155">
        <v>17.03172</v>
      </c>
      <c r="Q155">
        <v>2.7688600000000001</v>
      </c>
      <c r="R155">
        <v>230</v>
      </c>
    </row>
    <row r="156" spans="1:18" x14ac:dyDescent="0.3">
      <c r="A156" t="s">
        <v>20</v>
      </c>
      <c r="B156">
        <v>40</v>
      </c>
      <c r="C156">
        <v>1</v>
      </c>
      <c r="D156">
        <v>17.679929999999999</v>
      </c>
      <c r="E156">
        <v>7.1384299999999996</v>
      </c>
      <c r="F156">
        <v>353</v>
      </c>
      <c r="G156">
        <v>18.20834</v>
      </c>
      <c r="H156">
        <v>11.550689999999999</v>
      </c>
      <c r="I156">
        <v>1460</v>
      </c>
      <c r="J156">
        <v>16.970849999999999</v>
      </c>
      <c r="K156">
        <v>11.83881</v>
      </c>
      <c r="L156">
        <v>1047</v>
      </c>
      <c r="M156">
        <v>19.25543</v>
      </c>
      <c r="N156">
        <v>2.61714</v>
      </c>
      <c r="O156">
        <v>1518</v>
      </c>
      <c r="P156">
        <v>17.544039999999999</v>
      </c>
      <c r="Q156">
        <v>1.64527</v>
      </c>
      <c r="R156">
        <v>135</v>
      </c>
    </row>
    <row r="157" spans="1:18" x14ac:dyDescent="0.3">
      <c r="A157" t="s">
        <v>20</v>
      </c>
      <c r="B157">
        <v>40</v>
      </c>
      <c r="C157">
        <v>1</v>
      </c>
      <c r="D157">
        <v>17.839659999999999</v>
      </c>
      <c r="E157">
        <v>6.2687999999999997</v>
      </c>
      <c r="F157">
        <v>304</v>
      </c>
      <c r="G157">
        <v>17.669799999999999</v>
      </c>
      <c r="H157">
        <v>17.15408</v>
      </c>
      <c r="I157">
        <v>2022</v>
      </c>
      <c r="J157">
        <v>16.97439</v>
      </c>
      <c r="K157">
        <v>11.743869999999999</v>
      </c>
      <c r="L157">
        <v>1059</v>
      </c>
      <c r="M157">
        <v>18.606059999999999</v>
      </c>
      <c r="N157">
        <v>4.8913200000000003</v>
      </c>
      <c r="O157">
        <v>2810</v>
      </c>
      <c r="P157">
        <v>17.544039999999999</v>
      </c>
      <c r="Q157">
        <v>2.4484599999999999</v>
      </c>
      <c r="R157">
        <v>204</v>
      </c>
    </row>
    <row r="158" spans="1:18" x14ac:dyDescent="0.3">
      <c r="A158" t="s">
        <v>20</v>
      </c>
      <c r="B158">
        <v>40</v>
      </c>
      <c r="C158">
        <v>1</v>
      </c>
      <c r="D158">
        <v>17.839659999999999</v>
      </c>
      <c r="E158">
        <v>6.2251099999999999</v>
      </c>
      <c r="F158">
        <v>304</v>
      </c>
      <c r="G158">
        <v>18.28088</v>
      </c>
      <c r="H158">
        <v>5.0705400000000003</v>
      </c>
      <c r="I158">
        <v>661</v>
      </c>
      <c r="J158">
        <v>17.025459999999999</v>
      </c>
      <c r="K158">
        <v>11.33893</v>
      </c>
      <c r="L158">
        <v>1029</v>
      </c>
      <c r="M158">
        <v>18.671050000000001</v>
      </c>
      <c r="N158">
        <v>5.5542800000000003</v>
      </c>
      <c r="O158">
        <v>3279</v>
      </c>
      <c r="P158">
        <v>17.56353</v>
      </c>
      <c r="Q158">
        <v>1.4658800000000001</v>
      </c>
      <c r="R158">
        <v>120</v>
      </c>
    </row>
    <row r="159" spans="1:18" x14ac:dyDescent="0.3">
      <c r="A159" t="s">
        <v>20</v>
      </c>
      <c r="B159">
        <v>40</v>
      </c>
      <c r="C159">
        <v>1</v>
      </c>
      <c r="D159">
        <v>17.839659999999999</v>
      </c>
      <c r="E159">
        <v>6.2169699999999999</v>
      </c>
      <c r="F159">
        <v>304</v>
      </c>
      <c r="G159">
        <v>17.35473</v>
      </c>
      <c r="H159">
        <v>12.79458</v>
      </c>
      <c r="I159">
        <v>1642</v>
      </c>
      <c r="J159">
        <v>16.633520000000001</v>
      </c>
      <c r="K159">
        <v>11.72931</v>
      </c>
      <c r="L159">
        <v>1051</v>
      </c>
      <c r="M159">
        <v>19.092369999999999</v>
      </c>
      <c r="N159">
        <v>4.3837900000000003</v>
      </c>
      <c r="O159">
        <v>2559</v>
      </c>
      <c r="P159">
        <v>17.374459999999999</v>
      </c>
      <c r="Q159">
        <v>1.94519</v>
      </c>
      <c r="R159">
        <v>163</v>
      </c>
    </row>
    <row r="160" spans="1:18" x14ac:dyDescent="0.3">
      <c r="A160" t="s">
        <v>20</v>
      </c>
      <c r="B160">
        <v>40</v>
      </c>
      <c r="C160">
        <v>1</v>
      </c>
      <c r="D160">
        <v>17.839659999999999</v>
      </c>
      <c r="E160">
        <v>6.1273999999999997</v>
      </c>
      <c r="F160">
        <v>304</v>
      </c>
      <c r="G160">
        <v>17.57873</v>
      </c>
      <c r="H160">
        <v>5.0680300000000003</v>
      </c>
      <c r="I160">
        <v>649</v>
      </c>
      <c r="J160">
        <v>16.807700000000001</v>
      </c>
      <c r="K160">
        <v>11.67665</v>
      </c>
      <c r="L160">
        <v>1058</v>
      </c>
      <c r="M160">
        <v>19.25543</v>
      </c>
      <c r="N160">
        <v>2.5408300000000001</v>
      </c>
      <c r="O160">
        <v>1518</v>
      </c>
      <c r="P160">
        <v>17.03172</v>
      </c>
      <c r="Q160">
        <v>4.2834399999999997</v>
      </c>
      <c r="R160">
        <v>349</v>
      </c>
    </row>
    <row r="161" spans="1:18" x14ac:dyDescent="0.3">
      <c r="A161" t="s">
        <v>20</v>
      </c>
      <c r="B161">
        <v>40</v>
      </c>
      <c r="C161">
        <v>1</v>
      </c>
      <c r="D161">
        <v>17.41189</v>
      </c>
      <c r="E161">
        <v>11.31537</v>
      </c>
      <c r="F161">
        <v>515</v>
      </c>
      <c r="G161">
        <v>17.962340000000001</v>
      </c>
      <c r="H161">
        <v>7.3432000000000004</v>
      </c>
      <c r="I161">
        <v>919</v>
      </c>
      <c r="J161">
        <v>16.75085</v>
      </c>
      <c r="K161">
        <v>11.27042</v>
      </c>
      <c r="L161">
        <v>1032</v>
      </c>
      <c r="M161">
        <v>18.839729999999999</v>
      </c>
      <c r="N161">
        <v>4.4454000000000002</v>
      </c>
      <c r="O161">
        <v>2595</v>
      </c>
      <c r="P161">
        <v>17.382729999999999</v>
      </c>
      <c r="Q161">
        <v>2.4655900000000002</v>
      </c>
      <c r="R161">
        <v>203</v>
      </c>
    </row>
    <row r="162" spans="1:18" x14ac:dyDescent="0.3">
      <c r="A162" t="s">
        <v>20</v>
      </c>
      <c r="B162">
        <v>96</v>
      </c>
      <c r="C162">
        <v>1</v>
      </c>
      <c r="D162">
        <v>35.648919999999997</v>
      </c>
      <c r="E162">
        <v>19.76108</v>
      </c>
      <c r="F162">
        <v>471</v>
      </c>
      <c r="G162">
        <v>37.784129999999998</v>
      </c>
      <c r="H162">
        <v>18.164840000000002</v>
      </c>
      <c r="I162">
        <v>1411</v>
      </c>
      <c r="J162">
        <v>35.241590000000002</v>
      </c>
      <c r="K162">
        <v>49.507300000000001</v>
      </c>
      <c r="L162">
        <v>1623</v>
      </c>
      <c r="M162">
        <v>35.72383</v>
      </c>
      <c r="N162">
        <v>19.042539999999999</v>
      </c>
      <c r="O162">
        <v>4331</v>
      </c>
      <c r="P162">
        <v>35.648919999999997</v>
      </c>
      <c r="Q162">
        <v>2.5724100000000001</v>
      </c>
      <c r="R162">
        <v>95</v>
      </c>
    </row>
    <row r="163" spans="1:18" x14ac:dyDescent="0.3">
      <c r="A163" t="s">
        <v>20</v>
      </c>
      <c r="B163">
        <v>96</v>
      </c>
      <c r="C163">
        <v>1</v>
      </c>
      <c r="D163">
        <v>35.648919999999997</v>
      </c>
      <c r="E163">
        <v>19.30808</v>
      </c>
      <c r="F163">
        <v>471</v>
      </c>
      <c r="G163">
        <v>37.277790000000003</v>
      </c>
      <c r="H163">
        <v>19.27075</v>
      </c>
      <c r="I163">
        <v>1434</v>
      </c>
      <c r="J163">
        <v>35.26052</v>
      </c>
      <c r="K163">
        <v>50.261000000000003</v>
      </c>
      <c r="L163">
        <v>1634</v>
      </c>
      <c r="M163">
        <v>35.674599999999998</v>
      </c>
      <c r="N163">
        <v>15.488189999999999</v>
      </c>
      <c r="O163">
        <v>3767</v>
      </c>
      <c r="P163">
        <v>35.544690000000003</v>
      </c>
      <c r="Q163">
        <v>7.2132500000000004</v>
      </c>
      <c r="R163">
        <v>271</v>
      </c>
    </row>
    <row r="164" spans="1:18" x14ac:dyDescent="0.3">
      <c r="A164" t="s">
        <v>20</v>
      </c>
      <c r="B164">
        <v>96</v>
      </c>
      <c r="C164">
        <v>1</v>
      </c>
      <c r="D164">
        <v>35.648919999999997</v>
      </c>
      <c r="E164">
        <v>19.487909999999999</v>
      </c>
      <c r="F164">
        <v>471</v>
      </c>
      <c r="G164">
        <v>36.86139</v>
      </c>
      <c r="H164">
        <v>28.809899999999999</v>
      </c>
      <c r="I164">
        <v>2160</v>
      </c>
      <c r="J164">
        <v>35.2425</v>
      </c>
      <c r="K164">
        <v>50.969160000000002</v>
      </c>
      <c r="L164">
        <v>1624</v>
      </c>
      <c r="M164">
        <v>35.892429999999997</v>
      </c>
      <c r="N164">
        <v>17.183399999999999</v>
      </c>
      <c r="O164">
        <v>4254</v>
      </c>
      <c r="P164">
        <v>35.4968</v>
      </c>
      <c r="Q164">
        <v>13.11328</v>
      </c>
      <c r="R164">
        <v>490</v>
      </c>
    </row>
    <row r="165" spans="1:18" x14ac:dyDescent="0.3">
      <c r="A165" t="s">
        <v>20</v>
      </c>
      <c r="B165">
        <v>96</v>
      </c>
      <c r="C165">
        <v>1</v>
      </c>
      <c r="D165">
        <v>35.648919999999997</v>
      </c>
      <c r="E165">
        <v>20.72242</v>
      </c>
      <c r="F165">
        <v>471</v>
      </c>
      <c r="G165">
        <v>36.272109999999998</v>
      </c>
      <c r="H165">
        <v>21.77731</v>
      </c>
      <c r="I165">
        <v>1752</v>
      </c>
      <c r="J165">
        <v>35.204169999999998</v>
      </c>
      <c r="K165">
        <v>50.969329999999999</v>
      </c>
      <c r="L165">
        <v>1626</v>
      </c>
      <c r="M165">
        <v>35.782260000000001</v>
      </c>
      <c r="N165">
        <v>17.896640000000001</v>
      </c>
      <c r="O165">
        <v>4361</v>
      </c>
      <c r="P165">
        <v>35.490839999999999</v>
      </c>
      <c r="Q165">
        <v>11.579840000000001</v>
      </c>
      <c r="R165">
        <v>429</v>
      </c>
    </row>
    <row r="166" spans="1:18" x14ac:dyDescent="0.3">
      <c r="A166" t="s">
        <v>20</v>
      </c>
      <c r="B166">
        <v>96</v>
      </c>
      <c r="C166">
        <v>1</v>
      </c>
      <c r="D166">
        <v>35.648919999999997</v>
      </c>
      <c r="E166">
        <v>20.0349</v>
      </c>
      <c r="F166">
        <v>471</v>
      </c>
      <c r="G166">
        <v>36.273769999999999</v>
      </c>
      <c r="H166">
        <v>19.634509999999999</v>
      </c>
      <c r="I166">
        <v>1524</v>
      </c>
      <c r="J166">
        <v>35.265270000000001</v>
      </c>
      <c r="K166">
        <v>55.057670000000002</v>
      </c>
      <c r="L166">
        <v>1797</v>
      </c>
      <c r="M166">
        <v>35.892519999999998</v>
      </c>
      <c r="N166">
        <v>9.7090499999999995</v>
      </c>
      <c r="O166">
        <v>2352</v>
      </c>
      <c r="P166">
        <v>35.529069999999997</v>
      </c>
      <c r="Q166">
        <v>7.8556900000000001</v>
      </c>
      <c r="R166">
        <v>293</v>
      </c>
    </row>
    <row r="167" spans="1:18" x14ac:dyDescent="0.3">
      <c r="A167" t="s">
        <v>20</v>
      </c>
      <c r="B167">
        <v>96</v>
      </c>
      <c r="C167">
        <v>1</v>
      </c>
      <c r="D167">
        <v>35.648919999999997</v>
      </c>
      <c r="E167">
        <v>19.461639999999999</v>
      </c>
      <c r="F167">
        <v>471</v>
      </c>
      <c r="G167">
        <v>36.098770000000002</v>
      </c>
      <c r="H167">
        <v>39.508270000000003</v>
      </c>
      <c r="I167">
        <v>3045</v>
      </c>
      <c r="J167">
        <v>35.226089999999999</v>
      </c>
      <c r="K167">
        <v>50.903269999999999</v>
      </c>
      <c r="L167">
        <v>1632</v>
      </c>
      <c r="M167">
        <v>35.892519999999998</v>
      </c>
      <c r="N167">
        <v>9.7921099999999992</v>
      </c>
      <c r="O167">
        <v>2352</v>
      </c>
      <c r="P167">
        <v>35.54007</v>
      </c>
      <c r="Q167">
        <v>5.77189</v>
      </c>
      <c r="R167">
        <v>215</v>
      </c>
    </row>
    <row r="168" spans="1:18" x14ac:dyDescent="0.3">
      <c r="A168" t="s">
        <v>20</v>
      </c>
      <c r="B168">
        <v>96</v>
      </c>
      <c r="C168">
        <v>1</v>
      </c>
      <c r="D168">
        <v>35.648919999999997</v>
      </c>
      <c r="E168">
        <v>19.306170000000002</v>
      </c>
      <c r="F168">
        <v>471</v>
      </c>
      <c r="G168">
        <v>39.715969999999999</v>
      </c>
      <c r="H168">
        <v>10.429510000000001</v>
      </c>
      <c r="I168">
        <v>795</v>
      </c>
      <c r="J168">
        <v>35.166960000000003</v>
      </c>
      <c r="K168">
        <v>51.399299999999997</v>
      </c>
      <c r="L168">
        <v>1655</v>
      </c>
      <c r="M168">
        <v>35.693910000000002</v>
      </c>
      <c r="N168">
        <v>18.372710000000001</v>
      </c>
      <c r="O168">
        <v>4498</v>
      </c>
      <c r="P168">
        <v>35.4968</v>
      </c>
      <c r="Q168">
        <v>6.8287100000000001</v>
      </c>
      <c r="R168">
        <v>255</v>
      </c>
    </row>
    <row r="169" spans="1:18" x14ac:dyDescent="0.3">
      <c r="A169" t="s">
        <v>20</v>
      </c>
      <c r="B169">
        <v>96</v>
      </c>
      <c r="C169">
        <v>1</v>
      </c>
      <c r="D169">
        <v>35.648919999999997</v>
      </c>
      <c r="E169">
        <v>20.322469999999999</v>
      </c>
      <c r="F169">
        <v>471</v>
      </c>
      <c r="G169">
        <v>36.961379999999998</v>
      </c>
      <c r="H169">
        <v>29.2075</v>
      </c>
      <c r="I169">
        <v>2269</v>
      </c>
      <c r="J169">
        <v>35.17324</v>
      </c>
      <c r="K169">
        <v>55.153669999999998</v>
      </c>
      <c r="L169">
        <v>1795</v>
      </c>
      <c r="M169">
        <v>35.892519999999998</v>
      </c>
      <c r="N169">
        <v>9.7210300000000007</v>
      </c>
      <c r="O169">
        <v>2352</v>
      </c>
      <c r="P169">
        <v>35.514270000000003</v>
      </c>
      <c r="Q169">
        <v>10.57591</v>
      </c>
      <c r="R169">
        <v>397</v>
      </c>
    </row>
    <row r="170" spans="1:18" x14ac:dyDescent="0.3">
      <c r="A170" t="s">
        <v>20</v>
      </c>
      <c r="B170">
        <v>96</v>
      </c>
      <c r="C170">
        <v>1</v>
      </c>
      <c r="D170">
        <v>35.648919999999997</v>
      </c>
      <c r="E170">
        <v>19.695730000000001</v>
      </c>
      <c r="F170">
        <v>471</v>
      </c>
      <c r="G170">
        <v>36.202120000000001</v>
      </c>
      <c r="H170">
        <v>51.000190000000003</v>
      </c>
      <c r="I170">
        <v>4103</v>
      </c>
      <c r="J170">
        <v>35.206519999999998</v>
      </c>
      <c r="K170">
        <v>48.014189999999999</v>
      </c>
      <c r="L170">
        <v>1609</v>
      </c>
      <c r="M170">
        <v>35.739579999999997</v>
      </c>
      <c r="N170">
        <v>9.8373600000000003</v>
      </c>
      <c r="O170">
        <v>2365</v>
      </c>
      <c r="P170">
        <v>35.648919999999997</v>
      </c>
      <c r="Q170">
        <v>2.55247</v>
      </c>
      <c r="R170">
        <v>95</v>
      </c>
    </row>
    <row r="171" spans="1:18" x14ac:dyDescent="0.3">
      <c r="A171" t="s">
        <v>20</v>
      </c>
      <c r="B171">
        <v>96</v>
      </c>
      <c r="C171">
        <v>1</v>
      </c>
      <c r="D171">
        <v>35.648919999999997</v>
      </c>
      <c r="E171">
        <v>21.282109999999999</v>
      </c>
      <c r="F171">
        <v>471</v>
      </c>
      <c r="G171">
        <v>35.960569999999997</v>
      </c>
      <c r="H171">
        <v>45.57208</v>
      </c>
      <c r="I171">
        <v>3718</v>
      </c>
      <c r="J171">
        <v>35.26464</v>
      </c>
      <c r="K171">
        <v>50.427590000000002</v>
      </c>
      <c r="L171">
        <v>1645</v>
      </c>
      <c r="M171">
        <v>35.892519999999998</v>
      </c>
      <c r="N171">
        <v>9.6300500000000007</v>
      </c>
      <c r="O171">
        <v>2352</v>
      </c>
      <c r="P171">
        <v>35.544690000000003</v>
      </c>
      <c r="Q171">
        <v>3.9332500000000001</v>
      </c>
      <c r="R171">
        <v>149</v>
      </c>
    </row>
    <row r="172" spans="1:18" x14ac:dyDescent="0.3">
      <c r="A172" t="s">
        <v>20</v>
      </c>
      <c r="B172">
        <v>224</v>
      </c>
      <c r="C172">
        <v>1</v>
      </c>
      <c r="D172">
        <v>72.356089999999995</v>
      </c>
      <c r="E172">
        <v>84.633279999999999</v>
      </c>
      <c r="F172">
        <v>719</v>
      </c>
      <c r="G172">
        <v>72.748369999999994</v>
      </c>
      <c r="H172">
        <v>118.78666</v>
      </c>
      <c r="I172">
        <v>5177</v>
      </c>
      <c r="J172">
        <v>71.92859</v>
      </c>
      <c r="K172">
        <v>253.17658</v>
      </c>
      <c r="L172">
        <v>2458</v>
      </c>
      <c r="M172">
        <v>72.419730000000001</v>
      </c>
      <c r="N172">
        <v>130.13149999999999</v>
      </c>
      <c r="O172">
        <v>10978</v>
      </c>
      <c r="P172">
        <v>72.356089999999995</v>
      </c>
      <c r="Q172">
        <v>14.595269999999999</v>
      </c>
      <c r="R172">
        <v>144</v>
      </c>
    </row>
    <row r="173" spans="1:18" x14ac:dyDescent="0.3">
      <c r="A173" t="s">
        <v>20</v>
      </c>
      <c r="B173">
        <v>224</v>
      </c>
      <c r="C173">
        <v>1</v>
      </c>
      <c r="D173">
        <v>72.356089999999995</v>
      </c>
      <c r="E173">
        <v>85.041899999999998</v>
      </c>
      <c r="F173">
        <v>719</v>
      </c>
      <c r="G173">
        <v>73.477260000000001</v>
      </c>
      <c r="H173">
        <v>72.445909999999998</v>
      </c>
      <c r="I173">
        <v>2948</v>
      </c>
      <c r="J173">
        <v>71.921719999999993</v>
      </c>
      <c r="K173">
        <v>255.166</v>
      </c>
      <c r="L173">
        <v>2516</v>
      </c>
      <c r="M173">
        <v>73.067229999999995</v>
      </c>
      <c r="N173">
        <v>76.422190000000001</v>
      </c>
      <c r="O173">
        <v>6419</v>
      </c>
      <c r="P173">
        <v>72.284890000000004</v>
      </c>
      <c r="Q173">
        <v>30.041340000000002</v>
      </c>
      <c r="R173">
        <v>296</v>
      </c>
    </row>
    <row r="174" spans="1:18" x14ac:dyDescent="0.3">
      <c r="A174" t="s">
        <v>20</v>
      </c>
      <c r="B174">
        <v>224</v>
      </c>
      <c r="C174">
        <v>1</v>
      </c>
      <c r="D174">
        <v>72.356089999999995</v>
      </c>
      <c r="E174">
        <v>86.553979999999996</v>
      </c>
      <c r="F174">
        <v>719</v>
      </c>
      <c r="G174">
        <v>73.116529999999997</v>
      </c>
      <c r="H174">
        <v>104.88804</v>
      </c>
      <c r="I174">
        <v>4638</v>
      </c>
      <c r="J174">
        <v>71.983239999999995</v>
      </c>
      <c r="K174">
        <v>256.57816000000003</v>
      </c>
      <c r="L174">
        <v>2455</v>
      </c>
      <c r="M174">
        <v>73.241630000000001</v>
      </c>
      <c r="N174">
        <v>86.540239999999997</v>
      </c>
      <c r="O174">
        <v>7253</v>
      </c>
      <c r="P174">
        <v>72.279259999999994</v>
      </c>
      <c r="Q174">
        <v>84.306650000000005</v>
      </c>
      <c r="R174">
        <v>828</v>
      </c>
    </row>
    <row r="175" spans="1:18" x14ac:dyDescent="0.3">
      <c r="A175" t="s">
        <v>20</v>
      </c>
      <c r="B175">
        <v>224</v>
      </c>
      <c r="C175">
        <v>1</v>
      </c>
      <c r="D175">
        <v>72.356089999999995</v>
      </c>
      <c r="E175">
        <v>86.074479999999994</v>
      </c>
      <c r="F175">
        <v>719</v>
      </c>
      <c r="G175">
        <v>74.225930000000005</v>
      </c>
      <c r="H175">
        <v>63.60078</v>
      </c>
      <c r="I175">
        <v>2562</v>
      </c>
      <c r="J175">
        <v>71.918949999999995</v>
      </c>
      <c r="K175">
        <v>262.49844999999999</v>
      </c>
      <c r="L175">
        <v>2507</v>
      </c>
      <c r="M175">
        <v>73.278800000000004</v>
      </c>
      <c r="N175">
        <v>64.633480000000006</v>
      </c>
      <c r="O175">
        <v>5472</v>
      </c>
      <c r="P175">
        <v>72.310789999999997</v>
      </c>
      <c r="Q175">
        <v>32.840299999999999</v>
      </c>
      <c r="R175">
        <v>323</v>
      </c>
    </row>
    <row r="176" spans="1:18" x14ac:dyDescent="0.3">
      <c r="A176" t="s">
        <v>20</v>
      </c>
      <c r="B176">
        <v>224</v>
      </c>
      <c r="C176">
        <v>1</v>
      </c>
      <c r="D176">
        <v>72.356089999999995</v>
      </c>
      <c r="E176">
        <v>84.558000000000007</v>
      </c>
      <c r="F176">
        <v>719</v>
      </c>
      <c r="G176">
        <v>74.230350000000001</v>
      </c>
      <c r="H176">
        <v>162.78426999999999</v>
      </c>
      <c r="I176">
        <v>6636</v>
      </c>
      <c r="J176">
        <v>72.011060000000001</v>
      </c>
      <c r="K176">
        <v>255.75685999999999</v>
      </c>
      <c r="L176">
        <v>2462</v>
      </c>
      <c r="M176">
        <v>72.729029999999995</v>
      </c>
      <c r="N176">
        <v>115.69103</v>
      </c>
      <c r="O176">
        <v>9921</v>
      </c>
      <c r="P176">
        <v>72.356089999999995</v>
      </c>
      <c r="Q176">
        <v>14.58334</v>
      </c>
      <c r="R176">
        <v>144</v>
      </c>
    </row>
    <row r="177" spans="1:18" x14ac:dyDescent="0.3">
      <c r="A177" t="s">
        <v>20</v>
      </c>
      <c r="B177">
        <v>224</v>
      </c>
      <c r="C177">
        <v>1</v>
      </c>
      <c r="D177">
        <v>72.356089999999995</v>
      </c>
      <c r="E177">
        <v>84.212710000000001</v>
      </c>
      <c r="F177">
        <v>719</v>
      </c>
      <c r="G177">
        <v>75.971559999999997</v>
      </c>
      <c r="H177">
        <v>118.80319</v>
      </c>
      <c r="I177">
        <v>4616</v>
      </c>
      <c r="J177">
        <v>71.929379999999995</v>
      </c>
      <c r="K177">
        <v>257.28728000000001</v>
      </c>
      <c r="L177">
        <v>2506</v>
      </c>
      <c r="M177">
        <v>72.981830000000002</v>
      </c>
      <c r="N177">
        <v>97.643479999999997</v>
      </c>
      <c r="O177">
        <v>8302</v>
      </c>
      <c r="P177">
        <v>72.276480000000006</v>
      </c>
      <c r="Q177">
        <v>52.557450000000003</v>
      </c>
      <c r="R177">
        <v>518</v>
      </c>
    </row>
    <row r="178" spans="1:18" x14ac:dyDescent="0.3">
      <c r="A178" t="s">
        <v>20</v>
      </c>
      <c r="B178">
        <v>224</v>
      </c>
      <c r="C178">
        <v>1</v>
      </c>
      <c r="D178">
        <v>72.356089999999995</v>
      </c>
      <c r="E178">
        <v>86.028949999999995</v>
      </c>
      <c r="F178">
        <v>719</v>
      </c>
      <c r="G178">
        <v>73.614549999999994</v>
      </c>
      <c r="H178">
        <v>61.903640000000003</v>
      </c>
      <c r="I178">
        <v>2686</v>
      </c>
      <c r="J178">
        <v>71.91865</v>
      </c>
      <c r="K178">
        <v>251.89944</v>
      </c>
      <c r="L178">
        <v>2477</v>
      </c>
      <c r="M178">
        <v>72.998580000000004</v>
      </c>
      <c r="N178">
        <v>61.21387</v>
      </c>
      <c r="O178">
        <v>5201</v>
      </c>
      <c r="P178">
        <v>72.356089999999995</v>
      </c>
      <c r="Q178">
        <v>14.614649999999999</v>
      </c>
      <c r="R178">
        <v>144</v>
      </c>
    </row>
    <row r="179" spans="1:18" x14ac:dyDescent="0.3">
      <c r="A179" t="s">
        <v>20</v>
      </c>
      <c r="B179">
        <v>224</v>
      </c>
      <c r="C179">
        <v>1</v>
      </c>
      <c r="D179">
        <v>72.356089999999995</v>
      </c>
      <c r="E179">
        <v>84.977140000000006</v>
      </c>
      <c r="F179">
        <v>719</v>
      </c>
      <c r="G179">
        <v>73.703370000000007</v>
      </c>
      <c r="H179">
        <v>80.597049999999996</v>
      </c>
      <c r="I179">
        <v>3327</v>
      </c>
      <c r="J179">
        <v>71.946079999999995</v>
      </c>
      <c r="K179">
        <v>248.33366000000001</v>
      </c>
      <c r="L179">
        <v>2461</v>
      </c>
      <c r="M179">
        <v>72.942509999999999</v>
      </c>
      <c r="N179">
        <v>76.095920000000007</v>
      </c>
      <c r="O179">
        <v>6385</v>
      </c>
      <c r="P179">
        <v>72.310789999999997</v>
      </c>
      <c r="Q179">
        <v>32.030029999999996</v>
      </c>
      <c r="R179">
        <v>315</v>
      </c>
    </row>
    <row r="180" spans="1:18" x14ac:dyDescent="0.3">
      <c r="A180" t="s">
        <v>20</v>
      </c>
      <c r="B180">
        <v>224</v>
      </c>
      <c r="C180">
        <v>1</v>
      </c>
      <c r="D180">
        <v>72.356089999999995</v>
      </c>
      <c r="E180">
        <v>85.401169999999993</v>
      </c>
      <c r="F180">
        <v>719</v>
      </c>
      <c r="G180">
        <v>73.724220000000003</v>
      </c>
      <c r="H180">
        <v>49.849339999999998</v>
      </c>
      <c r="I180">
        <v>2036</v>
      </c>
      <c r="J180">
        <v>71.995699999999999</v>
      </c>
      <c r="K180">
        <v>253.69846999999999</v>
      </c>
      <c r="L180">
        <v>2459</v>
      </c>
      <c r="M180">
        <v>72.748230000000007</v>
      </c>
      <c r="N180">
        <v>102.42319000000001</v>
      </c>
      <c r="O180">
        <v>8582</v>
      </c>
      <c r="P180">
        <v>72.287660000000002</v>
      </c>
      <c r="Q180">
        <v>28.883980000000001</v>
      </c>
      <c r="R180">
        <v>287</v>
      </c>
    </row>
    <row r="181" spans="1:18" x14ac:dyDescent="0.3">
      <c r="A181" t="s">
        <v>20</v>
      </c>
      <c r="B181">
        <v>224</v>
      </c>
      <c r="C181">
        <v>1</v>
      </c>
      <c r="D181">
        <v>72.356089999999995</v>
      </c>
      <c r="E181">
        <v>87.260840000000002</v>
      </c>
      <c r="F181">
        <v>719</v>
      </c>
      <c r="G181">
        <v>74.679069999999996</v>
      </c>
      <c r="H181">
        <v>66.079070000000002</v>
      </c>
      <c r="I181">
        <v>2628</v>
      </c>
      <c r="J181">
        <v>72.070539999999994</v>
      </c>
      <c r="K181">
        <v>259.83015999999998</v>
      </c>
      <c r="L181">
        <v>2466</v>
      </c>
      <c r="M181">
        <v>72.890289999999993</v>
      </c>
      <c r="N181">
        <v>63.909179999999999</v>
      </c>
      <c r="O181">
        <v>5380</v>
      </c>
      <c r="P181">
        <v>72.279129999999995</v>
      </c>
      <c r="Q181">
        <v>47.024520000000003</v>
      </c>
      <c r="R181">
        <v>464</v>
      </c>
    </row>
  </sheetData>
  <mergeCells count="6">
    <mergeCell ref="T1:V1"/>
    <mergeCell ref="D1:F1"/>
    <mergeCell ref="G1:I1"/>
    <mergeCell ref="J1:L1"/>
    <mergeCell ref="M1:O1"/>
    <mergeCell ref="P1:R1"/>
  </mergeCells>
  <phoneticPr fontId="6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F456-BAAB-4352-98AB-271C746CFA85}">
  <dimension ref="A1:AA181"/>
  <sheetViews>
    <sheetView tabSelected="1" zoomScale="75" zoomScaleNormal="75" workbookViewId="0">
      <selection activeCell="N15" sqref="N15:N19"/>
    </sheetView>
  </sheetViews>
  <sheetFormatPr defaultRowHeight="14" x14ac:dyDescent="0.3"/>
  <cols>
    <col min="16" max="16" width="8.6640625" style="3"/>
    <col min="17" max="17" width="5.25" customWidth="1"/>
    <col min="18" max="18" width="6.75" bestFit="1" customWidth="1"/>
    <col min="19" max="20" width="7.75" bestFit="1" customWidth="1"/>
    <col min="21" max="22" width="6.75" bestFit="1" customWidth="1"/>
    <col min="23" max="23" width="7.75" bestFit="1" customWidth="1"/>
    <col min="24" max="24" width="6.75" bestFit="1" customWidth="1"/>
    <col min="25" max="25" width="9.5" bestFit="1" customWidth="1"/>
    <col min="26" max="26" width="7.75" bestFit="1" customWidth="1"/>
    <col min="27" max="28" width="6.75" bestFit="1" customWidth="1"/>
    <col min="29" max="29" width="7.75" bestFit="1" customWidth="1"/>
  </cols>
  <sheetData>
    <row r="1" spans="1:17" x14ac:dyDescent="0.3">
      <c r="D1" s="1" t="s">
        <v>0</v>
      </c>
      <c r="E1" s="1" t="s">
        <v>1</v>
      </c>
      <c r="F1" s="1" t="s">
        <v>21</v>
      </c>
      <c r="G1" s="1" t="s">
        <v>29</v>
      </c>
      <c r="H1" s="1" t="s">
        <v>28</v>
      </c>
      <c r="I1" s="1"/>
      <c r="J1" s="2"/>
      <c r="K1" s="2" t="str">
        <f>D1</f>
        <v>HGA</v>
      </c>
      <c r="L1" s="2" t="str">
        <f>E1</f>
        <v>LWSGA</v>
      </c>
      <c r="M1" s="1" t="s">
        <v>21</v>
      </c>
      <c r="N1" s="1" t="s">
        <v>29</v>
      </c>
      <c r="O1" s="2" t="s">
        <v>28</v>
      </c>
      <c r="P1" s="3" t="s">
        <v>2</v>
      </c>
    </row>
    <row r="2" spans="1:17" x14ac:dyDescent="0.3">
      <c r="A2" s="7" t="s">
        <v>3</v>
      </c>
      <c r="B2" s="7">
        <v>25</v>
      </c>
      <c r="C2" s="7">
        <v>1</v>
      </c>
      <c r="D2" s="7">
        <f>'Original data'!E2</f>
        <v>3.8436300000000001</v>
      </c>
      <c r="E2" s="7">
        <f>'Original data'!H2</f>
        <v>4.5855199999999998</v>
      </c>
      <c r="F2" s="7">
        <f>'Original data'!K2</f>
        <v>5.2504200000000001</v>
      </c>
      <c r="G2" s="7">
        <f>'Original data'!N2</f>
        <v>2.33901</v>
      </c>
      <c r="H2" s="7">
        <f>'Original data'!Q2</f>
        <v>1.2299599999999999</v>
      </c>
      <c r="I2" s="7"/>
      <c r="J2" s="2" t="s">
        <v>4</v>
      </c>
      <c r="K2" s="2">
        <f>AVERAGE(D2:D11)</f>
        <v>3.7133609999999999</v>
      </c>
      <c r="L2" s="2">
        <f>AVERAGE(E2:E11)</f>
        <v>4.8239219999999996</v>
      </c>
      <c r="M2" s="9">
        <f>AVERAGE(F2:F11)</f>
        <v>5.2739199999999995</v>
      </c>
      <c r="N2" s="2">
        <f>AVERAGE(G2:G11)</f>
        <v>2.5967720000000005</v>
      </c>
      <c r="O2" s="2">
        <f t="shared" ref="O2" si="0">AVERAGE(H2:H11)</f>
        <v>1.003509</v>
      </c>
      <c r="P2" s="3">
        <f t="shared" ref="P2:P19" si="1">MAX(K2:O2)</f>
        <v>5.2739199999999995</v>
      </c>
      <c r="Q2" s="4"/>
    </row>
    <row r="3" spans="1:17" x14ac:dyDescent="0.3">
      <c r="A3" s="7" t="s">
        <v>3</v>
      </c>
      <c r="B3" s="7">
        <v>25</v>
      </c>
      <c r="C3" s="7">
        <v>1</v>
      </c>
      <c r="D3" s="7">
        <f>'Original data'!E3</f>
        <v>3.65225</v>
      </c>
      <c r="E3" s="7">
        <f>'Original data'!H3</f>
        <v>3.5928200000000001</v>
      </c>
      <c r="F3" s="7">
        <f>'Original data'!K3</f>
        <v>5.1711799999999997</v>
      </c>
      <c r="G3" s="7">
        <f>'Original data'!N3</f>
        <v>3.0607799999999998</v>
      </c>
      <c r="H3" s="7">
        <f>'Original data'!Q3</f>
        <v>1.1144700000000001</v>
      </c>
      <c r="I3" s="7"/>
      <c r="J3" s="2" t="s">
        <v>5</v>
      </c>
      <c r="K3" s="2">
        <f>AVERAGE(D12:D21)</f>
        <v>14.760731999999999</v>
      </c>
      <c r="L3" s="2">
        <f>AVERAGE(E12:E21)</f>
        <v>12.935264</v>
      </c>
      <c r="M3" s="9">
        <f>AVERAGE(F12:F21)</f>
        <v>19.544978</v>
      </c>
      <c r="N3" s="2">
        <f>AVERAGE(G12:G21)</f>
        <v>7.6729979999999998</v>
      </c>
      <c r="O3" s="2">
        <f t="shared" ref="O3" si="2">AVERAGE(H12:H21)</f>
        <v>6.7531190000000008</v>
      </c>
      <c r="P3" s="3">
        <f t="shared" si="1"/>
        <v>19.544978</v>
      </c>
      <c r="Q3" s="4"/>
    </row>
    <row r="4" spans="1:17" x14ac:dyDescent="0.3">
      <c r="A4" s="7" t="s">
        <v>3</v>
      </c>
      <c r="B4" s="7">
        <v>25</v>
      </c>
      <c r="C4" s="7">
        <v>1</v>
      </c>
      <c r="D4" s="7">
        <f>'Original data'!E4</f>
        <v>3.5782799999999999</v>
      </c>
      <c r="E4" s="7">
        <f>'Original data'!H4</f>
        <v>5.8430999999999997</v>
      </c>
      <c r="F4" s="7">
        <f>'Original data'!K4</f>
        <v>5.1512200000000004</v>
      </c>
      <c r="G4" s="7">
        <f>'Original data'!N4</f>
        <v>2.45085</v>
      </c>
      <c r="H4" s="7">
        <f>'Original data'!Q4</f>
        <v>1.01658</v>
      </c>
      <c r="I4" s="7"/>
      <c r="J4" s="2" t="s">
        <v>6</v>
      </c>
      <c r="K4" s="2">
        <f>AVERAGE(D22:D31)</f>
        <v>54.312058</v>
      </c>
      <c r="L4" s="2">
        <f>AVERAGE(E22:E31)</f>
        <v>21.395291</v>
      </c>
      <c r="M4" s="9">
        <f>AVERAGE(F22:F31)</f>
        <v>101.995379</v>
      </c>
      <c r="N4" s="2">
        <f>AVERAGE(G22:G31)</f>
        <v>27.130153999999997</v>
      </c>
      <c r="O4" s="2">
        <f t="shared" ref="O4" si="3">AVERAGE(H22:H31)</f>
        <v>47.453517999999995</v>
      </c>
      <c r="P4" s="3">
        <f t="shared" si="1"/>
        <v>101.995379</v>
      </c>
      <c r="Q4" s="4"/>
    </row>
    <row r="5" spans="1:17" x14ac:dyDescent="0.3">
      <c r="A5" s="7" t="s">
        <v>3</v>
      </c>
      <c r="B5" s="7">
        <v>25</v>
      </c>
      <c r="C5" s="7">
        <v>1</v>
      </c>
      <c r="D5" s="7">
        <f>'Original data'!E5</f>
        <v>3.5705900000000002</v>
      </c>
      <c r="E5" s="7">
        <f>'Original data'!H5</f>
        <v>6.21455</v>
      </c>
      <c r="F5" s="7">
        <f>'Original data'!K5</f>
        <v>5.4196499999999999</v>
      </c>
      <c r="G5" s="7">
        <f>'Original data'!N5</f>
        <v>1.7710399999999999</v>
      </c>
      <c r="H5" s="7">
        <f>'Original data'!Q5</f>
        <v>0.83606999999999998</v>
      </c>
      <c r="I5" s="7"/>
      <c r="J5" s="2" t="s">
        <v>7</v>
      </c>
      <c r="K5" s="2">
        <f>AVERAGE(D32:D41)</f>
        <v>4.4261059999999999</v>
      </c>
      <c r="L5" s="2">
        <f>AVERAGE(E32:E41)</f>
        <v>3.9920590000000002</v>
      </c>
      <c r="M5" s="9">
        <f>AVERAGE(F32:F41)</f>
        <v>7.9966940000000006</v>
      </c>
      <c r="N5" s="2">
        <f>AVERAGE(G32:G41)</f>
        <v>2.873631</v>
      </c>
      <c r="O5" s="2">
        <f t="shared" ref="O5" si="4">AVERAGE(H32:H41)</f>
        <v>1.015884</v>
      </c>
      <c r="P5" s="3">
        <f t="shared" si="1"/>
        <v>7.9966940000000006</v>
      </c>
      <c r="Q5" s="4"/>
    </row>
    <row r="6" spans="1:17" x14ac:dyDescent="0.3">
      <c r="A6" s="7" t="s">
        <v>3</v>
      </c>
      <c r="B6" s="7">
        <v>25</v>
      </c>
      <c r="C6" s="7">
        <v>1</v>
      </c>
      <c r="D6" s="7">
        <f>'Original data'!E6</f>
        <v>3.6670400000000001</v>
      </c>
      <c r="E6" s="7">
        <f>'Original data'!H6</f>
        <v>4.1136299999999997</v>
      </c>
      <c r="F6" s="7">
        <f>'Original data'!K6</f>
        <v>5.2648000000000001</v>
      </c>
      <c r="G6" s="7">
        <f>'Original data'!N6</f>
        <v>2.2484299999999999</v>
      </c>
      <c r="H6" s="7">
        <f>'Original data'!Q6</f>
        <v>1.0273600000000001</v>
      </c>
      <c r="I6" s="7"/>
      <c r="J6" s="2" t="s">
        <v>8</v>
      </c>
      <c r="K6" s="2">
        <f>AVERAGE(D42:D51)</f>
        <v>12.784376</v>
      </c>
      <c r="L6" s="2">
        <f>AVERAGE(E42:E51)</f>
        <v>8.6407409999999985</v>
      </c>
      <c r="M6" s="9">
        <f>AVERAGE(F42:F51)</f>
        <v>22.400993</v>
      </c>
      <c r="N6" s="2">
        <f>AVERAGE(G42:G51)</f>
        <v>9.7487139999999997</v>
      </c>
      <c r="O6" s="2">
        <f t="shared" ref="O6" si="5">AVERAGE(H42:H51)</f>
        <v>5.6874370000000001</v>
      </c>
      <c r="P6" s="3">
        <f t="shared" si="1"/>
        <v>22.400993</v>
      </c>
      <c r="Q6" s="4"/>
    </row>
    <row r="7" spans="1:17" x14ac:dyDescent="0.3">
      <c r="A7" s="7" t="s">
        <v>3</v>
      </c>
      <c r="B7" s="7">
        <v>25</v>
      </c>
      <c r="C7" s="7">
        <v>1</v>
      </c>
      <c r="D7" s="7">
        <f>'Original data'!E7</f>
        <v>3.5634899999999998</v>
      </c>
      <c r="E7" s="7">
        <f>'Original data'!H7</f>
        <v>5.0651900000000003</v>
      </c>
      <c r="F7" s="7">
        <f>'Original data'!K7</f>
        <v>5.2175599999999998</v>
      </c>
      <c r="G7" s="7">
        <f>'Original data'!N7</f>
        <v>2.79752</v>
      </c>
      <c r="H7" s="7">
        <f>'Original data'!Q7</f>
        <v>1.5446599999999999</v>
      </c>
      <c r="I7" s="7"/>
      <c r="J7" s="2" t="s">
        <v>9</v>
      </c>
      <c r="K7" s="2">
        <f>AVERAGE(D52:D61)</f>
        <v>27.835619999999999</v>
      </c>
      <c r="L7" s="2">
        <f>AVERAGE(E52:E61)</f>
        <v>23.375467000000004</v>
      </c>
      <c r="M7" s="9">
        <f>AVERAGE(F52:F61)</f>
        <v>138.45799600000001</v>
      </c>
      <c r="N7" s="2">
        <f>AVERAGE(G52:G61)</f>
        <v>27.537099999999999</v>
      </c>
      <c r="O7" s="2">
        <f t="shared" ref="O7" si="6">AVERAGE(H52:H61)</f>
        <v>8.3479399999999977</v>
      </c>
      <c r="P7" s="3">
        <f t="shared" si="1"/>
        <v>138.45799600000001</v>
      </c>
      <c r="Q7" s="4"/>
    </row>
    <row r="8" spans="1:17" x14ac:dyDescent="0.3">
      <c r="A8" s="7" t="s">
        <v>3</v>
      </c>
      <c r="B8" s="7">
        <v>25</v>
      </c>
      <c r="C8" s="7">
        <v>1</v>
      </c>
      <c r="D8" s="7">
        <f>'Original data'!E8</f>
        <v>3.56325</v>
      </c>
      <c r="E8" s="7">
        <f>'Original data'!H8</f>
        <v>5.33582</v>
      </c>
      <c r="F8" s="7">
        <f>'Original data'!K8</f>
        <v>5.3625699999999998</v>
      </c>
      <c r="G8" s="7">
        <f>'Original data'!N8</f>
        <v>3.08447</v>
      </c>
      <c r="H8" s="7">
        <f>'Original data'!Q8</f>
        <v>0.96730000000000005</v>
      </c>
      <c r="I8" s="7"/>
      <c r="J8" s="2" t="s">
        <v>10</v>
      </c>
      <c r="K8" s="9">
        <f>AVERAGE(D62:D71)</f>
        <v>4.121429</v>
      </c>
      <c r="L8" s="2">
        <f>AVERAGE(E62:E71)</f>
        <v>3.3551440000000001</v>
      </c>
      <c r="M8" s="2">
        <f>AVERAGE(F62:F71)</f>
        <v>4.3111739999999994</v>
      </c>
      <c r="N8" s="2">
        <f>AVERAGE(G62:G71)</f>
        <v>1.8000720000000001</v>
      </c>
      <c r="O8" s="2">
        <f t="shared" ref="O8" si="7">AVERAGE(H62:H71)</f>
        <v>1.127783</v>
      </c>
      <c r="P8" s="3">
        <f t="shared" si="1"/>
        <v>4.3111739999999994</v>
      </c>
      <c r="Q8" s="4"/>
    </row>
    <row r="9" spans="1:17" x14ac:dyDescent="0.3">
      <c r="A9" s="7" t="s">
        <v>3</v>
      </c>
      <c r="B9" s="7">
        <v>25</v>
      </c>
      <c r="C9" s="7">
        <v>1</v>
      </c>
      <c r="D9" s="7">
        <f>'Original data'!E9</f>
        <v>4.2705299999999999</v>
      </c>
      <c r="E9" s="7">
        <f>'Original data'!H9</f>
        <v>5.9832299999999998</v>
      </c>
      <c r="F9" s="7">
        <f>'Original data'!K9</f>
        <v>5.3500899999999998</v>
      </c>
      <c r="G9" s="7">
        <f>'Original data'!N9</f>
        <v>2.6048800000000001</v>
      </c>
      <c r="H9" s="7">
        <f>'Original data'!Q9</f>
        <v>0.74065999999999999</v>
      </c>
      <c r="I9" s="7"/>
      <c r="J9" s="2" t="s">
        <v>11</v>
      </c>
      <c r="K9" s="2">
        <f>AVERAGE(D72:D81)</f>
        <v>11.617493999999999</v>
      </c>
      <c r="L9" s="2">
        <f>AVERAGE(E72:E81)</f>
        <v>6.8538169999999994</v>
      </c>
      <c r="M9" s="9">
        <f>AVERAGE(F72:F81)</f>
        <v>13.189284000000001</v>
      </c>
      <c r="N9" s="2">
        <f>AVERAGE(G72:G81)</f>
        <v>5.0690079999999993</v>
      </c>
      <c r="O9" s="2">
        <f t="shared" ref="O9" si="8">AVERAGE(H72:H81)</f>
        <v>1.2870149999999998</v>
      </c>
      <c r="P9" s="3">
        <f t="shared" si="1"/>
        <v>13.189284000000001</v>
      </c>
      <c r="Q9" s="4"/>
    </row>
    <row r="10" spans="1:17" x14ac:dyDescent="0.3">
      <c r="A10" s="7" t="s">
        <v>3</v>
      </c>
      <c r="B10" s="7">
        <v>25</v>
      </c>
      <c r="C10" s="7">
        <v>1</v>
      </c>
      <c r="D10" s="7">
        <f>'Original data'!E10</f>
        <v>3.87662</v>
      </c>
      <c r="E10" s="7">
        <f>'Original data'!H10</f>
        <v>2.8413900000000001</v>
      </c>
      <c r="F10" s="7">
        <f>'Original data'!K10</f>
        <v>5.2403399999999998</v>
      </c>
      <c r="G10" s="7">
        <f>'Original data'!N10</f>
        <v>2.8699300000000001</v>
      </c>
      <c r="H10" s="7">
        <f>'Original data'!Q10</f>
        <v>0.79771999999999998</v>
      </c>
      <c r="I10" s="7"/>
      <c r="J10" s="2" t="s">
        <v>12</v>
      </c>
      <c r="K10" s="2">
        <f>AVERAGE(D82:D91)</f>
        <v>21.779673999999996</v>
      </c>
      <c r="L10" s="2">
        <f>AVERAGE(E82:E91)</f>
        <v>29.735005000000001</v>
      </c>
      <c r="M10" s="9">
        <f>AVERAGE(F82:F91)</f>
        <v>54.791972000000008</v>
      </c>
      <c r="N10" s="2">
        <f>AVERAGE(G82:G91)</f>
        <v>12.901643000000002</v>
      </c>
      <c r="O10" s="2">
        <f t="shared" ref="O10" si="9">AVERAGE(H82:H91)</f>
        <v>5.2765469999999999</v>
      </c>
      <c r="P10" s="3">
        <f t="shared" si="1"/>
        <v>54.791972000000008</v>
      </c>
      <c r="Q10" s="4"/>
    </row>
    <row r="11" spans="1:17" x14ac:dyDescent="0.3">
      <c r="A11" s="7" t="s">
        <v>3</v>
      </c>
      <c r="B11" s="7">
        <v>25</v>
      </c>
      <c r="C11" s="7">
        <v>1</v>
      </c>
      <c r="D11" s="7">
        <f>'Original data'!E11</f>
        <v>3.54793</v>
      </c>
      <c r="E11" s="7">
        <f>'Original data'!H11</f>
        <v>4.6639699999999999</v>
      </c>
      <c r="F11" s="7">
        <f>'Original data'!K11</f>
        <v>5.3113700000000001</v>
      </c>
      <c r="G11" s="7">
        <f>'Original data'!N11</f>
        <v>2.7408100000000002</v>
      </c>
      <c r="H11" s="7">
        <f>'Original data'!Q11</f>
        <v>0.76031000000000004</v>
      </c>
      <c r="I11" s="7"/>
      <c r="J11" s="2" t="s">
        <v>13</v>
      </c>
      <c r="K11" s="2">
        <f>AVERAGE(D92:D101)</f>
        <v>5.2152140000000005</v>
      </c>
      <c r="L11" s="2">
        <f>AVERAGE(E92:E101)</f>
        <v>5.2414360000000002</v>
      </c>
      <c r="M11" s="9">
        <f>AVERAGE(F92:F101)</f>
        <v>6.4651790000000009</v>
      </c>
      <c r="N11" s="2">
        <f>AVERAGE(G92:G101)</f>
        <v>3.2629019999999995</v>
      </c>
      <c r="O11" s="2">
        <f t="shared" ref="O11" si="10">AVERAGE(H92:H101)</f>
        <v>2.1130939999999998</v>
      </c>
      <c r="P11" s="3">
        <f t="shared" si="1"/>
        <v>6.4651790000000009</v>
      </c>
      <c r="Q11" s="4"/>
    </row>
    <row r="12" spans="1:17" x14ac:dyDescent="0.3">
      <c r="A12" s="7" t="s">
        <v>3</v>
      </c>
      <c r="B12" s="7">
        <v>50</v>
      </c>
      <c r="C12" s="7">
        <v>1</v>
      </c>
      <c r="D12" s="7">
        <f>'Original data'!E12</f>
        <v>14.26895</v>
      </c>
      <c r="E12" s="7">
        <f>'Original data'!H12</f>
        <v>24.07273</v>
      </c>
      <c r="F12" s="7">
        <f>'Original data'!K12</f>
        <v>20.112079999999999</v>
      </c>
      <c r="G12" s="7">
        <f>'Original data'!N12</f>
        <v>3.44584</v>
      </c>
      <c r="H12" s="7">
        <f>'Original data'!Q12</f>
        <v>5.1490999999999998</v>
      </c>
      <c r="I12" s="7"/>
      <c r="J12" s="2" t="s">
        <v>14</v>
      </c>
      <c r="K12" s="2">
        <f>AVERAGE(D102:D111)</f>
        <v>7.9631820000000006</v>
      </c>
      <c r="L12" s="2">
        <f>AVERAGE(E102:E111)</f>
        <v>9.945406000000002</v>
      </c>
      <c r="M12" s="9">
        <f>AVERAGE(F102:F111)</f>
        <v>14.682132000000001</v>
      </c>
      <c r="N12" s="2">
        <f>AVERAGE(G102:G111)</f>
        <v>11.961368999999999</v>
      </c>
      <c r="O12" s="2">
        <f t="shared" ref="O12" si="11">AVERAGE(H102:H111)</f>
        <v>2.9606050000000002</v>
      </c>
      <c r="P12" s="3">
        <f t="shared" si="1"/>
        <v>14.682132000000001</v>
      </c>
      <c r="Q12" s="4"/>
    </row>
    <row r="13" spans="1:17" x14ac:dyDescent="0.3">
      <c r="A13" s="7" t="s">
        <v>3</v>
      </c>
      <c r="B13" s="7">
        <v>50</v>
      </c>
      <c r="C13" s="7">
        <v>1</v>
      </c>
      <c r="D13" s="7">
        <f>'Original data'!E13</f>
        <v>13.59064</v>
      </c>
      <c r="E13" s="7">
        <f>'Original data'!H13</f>
        <v>22.607140000000001</v>
      </c>
      <c r="F13" s="7">
        <f>'Original data'!K13</f>
        <v>19.971509999999999</v>
      </c>
      <c r="G13" s="7">
        <f>'Original data'!N13</f>
        <v>6.8287100000000001</v>
      </c>
      <c r="H13" s="7">
        <f>'Original data'!Q13</f>
        <v>5.1519500000000003</v>
      </c>
      <c r="I13" s="7"/>
      <c r="J13" s="2" t="s">
        <v>15</v>
      </c>
      <c r="K13" s="2">
        <f>AVERAGE(D112:D121)</f>
        <v>20.375865999999998</v>
      </c>
      <c r="L13" s="2">
        <f>AVERAGE(E112:E121)</f>
        <v>29.483544000000002</v>
      </c>
      <c r="M13" s="9">
        <f>AVERAGE(F112:F121)</f>
        <v>51.415645000000005</v>
      </c>
      <c r="N13" s="2">
        <f>AVERAGE(G112:G121)</f>
        <v>23.560208999999993</v>
      </c>
      <c r="O13" s="2">
        <f t="shared" ref="O13" si="12">AVERAGE(H112:H121)</f>
        <v>15.716474</v>
      </c>
      <c r="P13" s="3">
        <f t="shared" si="1"/>
        <v>51.415645000000005</v>
      </c>
      <c r="Q13" s="4"/>
    </row>
    <row r="14" spans="1:17" x14ac:dyDescent="0.3">
      <c r="A14" s="7" t="s">
        <v>3</v>
      </c>
      <c r="B14" s="7">
        <v>50</v>
      </c>
      <c r="C14" s="7">
        <v>1</v>
      </c>
      <c r="D14" s="7">
        <f>'Original data'!E14</f>
        <v>12.16695</v>
      </c>
      <c r="E14" s="7">
        <f>'Original data'!H14</f>
        <v>11.578749999999999</v>
      </c>
      <c r="F14" s="7">
        <f>'Original data'!K14</f>
        <v>19.96058</v>
      </c>
      <c r="G14" s="7">
        <f>'Original data'!N14</f>
        <v>5.0605599999999997</v>
      </c>
      <c r="H14" s="7">
        <f>'Original data'!Q14</f>
        <v>9.9116099999999996</v>
      </c>
      <c r="I14" s="7"/>
      <c r="J14" s="2" t="s">
        <v>22</v>
      </c>
      <c r="K14" s="2">
        <f>AVERAGE(D122:D131)</f>
        <v>1.2921799999999999</v>
      </c>
      <c r="L14" s="9">
        <f>AVERAGE(E122:E131)</f>
        <v>1.3630640000000001</v>
      </c>
      <c r="M14" s="2">
        <f>AVERAGE(F122:F131)</f>
        <v>1.1943480000000002</v>
      </c>
      <c r="N14" s="2">
        <f>AVERAGE(G122:G131)</f>
        <v>0.36918399999999996</v>
      </c>
      <c r="O14" s="2">
        <f t="shared" ref="O14" si="13">AVERAGE(H122:H131)</f>
        <v>0.18909700000000002</v>
      </c>
      <c r="P14" s="3">
        <f t="shared" si="1"/>
        <v>1.3630640000000001</v>
      </c>
      <c r="Q14" s="4"/>
    </row>
    <row r="15" spans="1:17" x14ac:dyDescent="0.3">
      <c r="A15" s="7" t="s">
        <v>3</v>
      </c>
      <c r="B15" s="7">
        <v>50</v>
      </c>
      <c r="C15" s="7">
        <v>1</v>
      </c>
      <c r="D15" s="7">
        <f>'Original data'!E15</f>
        <v>9.9388500000000004</v>
      </c>
      <c r="E15" s="7">
        <f>'Original data'!H15</f>
        <v>19.503589999999999</v>
      </c>
      <c r="F15" s="7">
        <f>'Original data'!K15</f>
        <v>20.409780000000001</v>
      </c>
      <c r="G15" s="7">
        <f>'Original data'!N15</f>
        <v>9.5433599999999998</v>
      </c>
      <c r="H15" s="7">
        <f>'Original data'!Q15</f>
        <v>6.9084300000000001</v>
      </c>
      <c r="I15" s="7"/>
      <c r="J15" s="2" t="s">
        <v>23</v>
      </c>
      <c r="K15" s="2">
        <f>AVERAGE(D132:D141)</f>
        <v>81.210571000000002</v>
      </c>
      <c r="L15" s="2">
        <f>AVERAGE(E132:E141)</f>
        <v>103.64767099999999</v>
      </c>
      <c r="M15" s="9">
        <f>AVERAGE(F132:F141)</f>
        <v>180.70858600000003</v>
      </c>
      <c r="N15" s="2">
        <f>AVERAGE(G132:G141)</f>
        <v>128.955073</v>
      </c>
      <c r="O15" s="2">
        <f t="shared" ref="O15" si="14">AVERAGE(H132:H141)</f>
        <v>59.895360999999994</v>
      </c>
      <c r="P15" s="3">
        <f t="shared" si="1"/>
        <v>180.70858600000003</v>
      </c>
      <c r="Q15" s="4"/>
    </row>
    <row r="16" spans="1:17" x14ac:dyDescent="0.3">
      <c r="A16" s="7" t="s">
        <v>3</v>
      </c>
      <c r="B16" s="7">
        <v>50</v>
      </c>
      <c r="C16" s="7">
        <v>1</v>
      </c>
      <c r="D16" s="7">
        <f>'Original data'!E16</f>
        <v>22.28049</v>
      </c>
      <c r="E16" s="7">
        <f>'Original data'!H16</f>
        <v>8.8192599999999999</v>
      </c>
      <c r="F16" s="7">
        <f>'Original data'!K16</f>
        <v>19.44998</v>
      </c>
      <c r="G16" s="7">
        <f>'Original data'!N16</f>
        <v>4.9602500000000003</v>
      </c>
      <c r="H16" s="7">
        <f>'Original data'!Q16</f>
        <v>7.3470399999999998</v>
      </c>
      <c r="I16" s="7"/>
      <c r="J16" s="2" t="s">
        <v>24</v>
      </c>
      <c r="K16" s="2">
        <f>AVERAGE(D142:D151)</f>
        <v>224.78200799999999</v>
      </c>
      <c r="L16" s="2">
        <f>AVERAGE(E142:E151)</f>
        <v>243.08157199999997</v>
      </c>
      <c r="M16" s="9">
        <f>AVERAGE(F142:F151)</f>
        <v>419.33400500000005</v>
      </c>
      <c r="N16" s="2">
        <f>AVERAGE(G142:G151)</f>
        <v>289.76082700000001</v>
      </c>
      <c r="O16" s="2">
        <f t="shared" ref="O16" si="15">AVERAGE(H142:H151)</f>
        <v>161.37651799999998</v>
      </c>
      <c r="P16" s="3">
        <f t="shared" si="1"/>
        <v>419.33400500000005</v>
      </c>
      <c r="Q16" s="4"/>
    </row>
    <row r="17" spans="1:27" x14ac:dyDescent="0.3">
      <c r="A17" s="7" t="s">
        <v>3</v>
      </c>
      <c r="B17" s="7">
        <v>50</v>
      </c>
      <c r="C17" s="7">
        <v>1</v>
      </c>
      <c r="D17" s="7">
        <f>'Original data'!E17</f>
        <v>9.1752300000000009</v>
      </c>
      <c r="E17" s="7">
        <f>'Original data'!H17</f>
        <v>5.0690999999999997</v>
      </c>
      <c r="F17" s="7">
        <f>'Original data'!K17</f>
        <v>19.178360000000001</v>
      </c>
      <c r="G17" s="7">
        <f>'Original data'!N17</f>
        <v>5.7847200000000001</v>
      </c>
      <c r="H17" s="7">
        <f>'Original data'!Q17</f>
        <v>8.8801600000000001</v>
      </c>
      <c r="I17" s="7"/>
      <c r="J17" s="2" t="s">
        <v>25</v>
      </c>
      <c r="K17" s="2">
        <f>AVERAGE(D152:D161)</f>
        <v>7.4341600000000003</v>
      </c>
      <c r="L17" s="2">
        <f>AVERAGE(E152:E161)</f>
        <v>9.9608389999999982</v>
      </c>
      <c r="M17" s="9">
        <f>AVERAGE(F152:F161)</f>
        <v>11.608215</v>
      </c>
      <c r="N17" s="2">
        <f>AVERAGE(G152:G161)</f>
        <v>3.7255350000000007</v>
      </c>
      <c r="O17" s="2">
        <f t="shared" ref="O17" si="16">AVERAGE(H152:H161)</f>
        <v>2.6176709999999996</v>
      </c>
      <c r="P17" s="3">
        <f t="shared" si="1"/>
        <v>11.608215</v>
      </c>
      <c r="Q17" s="4"/>
      <c r="Y17" s="8"/>
      <c r="AA17" s="8"/>
    </row>
    <row r="18" spans="1:27" x14ac:dyDescent="0.3">
      <c r="A18" s="7" t="s">
        <v>3</v>
      </c>
      <c r="B18" s="7">
        <v>50</v>
      </c>
      <c r="C18" s="7">
        <v>1</v>
      </c>
      <c r="D18" s="7">
        <f>'Original data'!E18</f>
        <v>10.762890000000001</v>
      </c>
      <c r="E18" s="7">
        <f>'Original data'!H18</f>
        <v>5.5157100000000003</v>
      </c>
      <c r="F18" s="7">
        <f>'Original data'!K18</f>
        <v>19.356929999999998</v>
      </c>
      <c r="G18" s="7">
        <f>'Original data'!N18</f>
        <v>7.4449800000000002</v>
      </c>
      <c r="H18" s="7">
        <f>'Original data'!Q18</f>
        <v>4.8661599999999998</v>
      </c>
      <c r="I18" s="7"/>
      <c r="J18" s="2" t="s">
        <v>26</v>
      </c>
      <c r="K18" s="2">
        <f>AVERAGE(D152:D171)</f>
        <v>13.6862055</v>
      </c>
      <c r="L18" s="2">
        <f>AVERAGE(E162:E171)</f>
        <v>28.337486000000002</v>
      </c>
      <c r="M18" s="9">
        <f>AVERAGE(F162:F171)</f>
        <v>51.266247999999997</v>
      </c>
      <c r="N18" s="2">
        <f>AVERAGE(G162:G171)</f>
        <v>13.667308</v>
      </c>
      <c r="O18" s="2">
        <f>AVERAGE(H162:H171)</f>
        <v>7.1996700000000002</v>
      </c>
      <c r="P18" s="3">
        <f t="shared" si="1"/>
        <v>51.266247999999997</v>
      </c>
      <c r="Q18" s="4"/>
      <c r="Y18" s="8"/>
      <c r="AA18" s="8"/>
    </row>
    <row r="19" spans="1:27" x14ac:dyDescent="0.3">
      <c r="A19" s="7" t="s">
        <v>3</v>
      </c>
      <c r="B19" s="7">
        <v>50</v>
      </c>
      <c r="C19" s="7">
        <v>1</v>
      </c>
      <c r="D19" s="7">
        <f>'Original data'!E19</f>
        <v>11.221880000000001</v>
      </c>
      <c r="E19" s="7">
        <f>'Original data'!H19</f>
        <v>12.211600000000001</v>
      </c>
      <c r="F19" s="7">
        <f>'Original data'!K19</f>
        <v>18.90615</v>
      </c>
      <c r="G19" s="7">
        <f>'Original data'!N19</f>
        <v>6.0099400000000003</v>
      </c>
      <c r="H19" s="7">
        <f>'Original data'!Q19</f>
        <v>6.3955000000000002</v>
      </c>
      <c r="I19" s="7"/>
      <c r="J19" s="2" t="s">
        <v>27</v>
      </c>
      <c r="K19" s="2">
        <f>AVERAGE(D172:D181)</f>
        <v>85.474244999999996</v>
      </c>
      <c r="L19" s="2">
        <f>AVERAGE(E172:E181)</f>
        <v>89.973794999999996</v>
      </c>
      <c r="M19" s="9">
        <f>AVERAGE(F172:F181)</f>
        <v>255.42250599999997</v>
      </c>
      <c r="N19" s="2">
        <f>AVERAGE(G172:G181)</f>
        <v>87.470407999999992</v>
      </c>
      <c r="O19" s="2">
        <f t="shared" ref="O19" si="17">AVERAGE(H172:H181)</f>
        <v>35.147753000000002</v>
      </c>
      <c r="P19" s="3">
        <f t="shared" si="1"/>
        <v>255.42250599999997</v>
      </c>
      <c r="Q19" s="4"/>
      <c r="Y19" s="8"/>
      <c r="AA19" s="8"/>
    </row>
    <row r="20" spans="1:27" x14ac:dyDescent="0.3">
      <c r="A20" s="7" t="s">
        <v>3</v>
      </c>
      <c r="B20" s="7">
        <v>50</v>
      </c>
      <c r="C20" s="7">
        <v>1</v>
      </c>
      <c r="D20" s="7">
        <f>'Original data'!E20</f>
        <v>15.525919999999999</v>
      </c>
      <c r="E20" s="7">
        <f>'Original data'!H20</f>
        <v>14.92639</v>
      </c>
      <c r="F20" s="7">
        <f>'Original data'!K20</f>
        <v>18.839310000000001</v>
      </c>
      <c r="G20" s="7">
        <f>'Original data'!N20</f>
        <v>3.7126999999999999</v>
      </c>
      <c r="H20" s="7">
        <f>'Original data'!Q20</f>
        <v>5.5660699999999999</v>
      </c>
      <c r="I20" s="7"/>
      <c r="J20" s="2"/>
      <c r="K20" s="2"/>
      <c r="L20" s="2"/>
      <c r="M20" s="2"/>
      <c r="N20" s="2"/>
      <c r="O20" s="2"/>
      <c r="P20" s="6"/>
      <c r="Q20" s="4"/>
      <c r="Y20" s="8"/>
      <c r="AA20" s="8"/>
    </row>
    <row r="21" spans="1:27" x14ac:dyDescent="0.3">
      <c r="A21" s="7" t="s">
        <v>3</v>
      </c>
      <c r="B21" s="7">
        <v>50</v>
      </c>
      <c r="C21" s="7">
        <v>1</v>
      </c>
      <c r="D21" s="7">
        <f>'Original data'!E21</f>
        <v>28.675519999999999</v>
      </c>
      <c r="E21" s="7">
        <f>'Original data'!H21</f>
        <v>5.0483700000000002</v>
      </c>
      <c r="F21" s="7">
        <f>'Original data'!K21</f>
        <v>19.2651</v>
      </c>
      <c r="G21" s="7">
        <f>'Original data'!N21</f>
        <v>23.93892</v>
      </c>
      <c r="H21" s="7">
        <f>'Original data'!Q21</f>
        <v>7.3551700000000002</v>
      </c>
      <c r="I21" s="7"/>
      <c r="P21"/>
      <c r="Y21" s="8"/>
      <c r="AA21" s="8"/>
    </row>
    <row r="22" spans="1:27" x14ac:dyDescent="0.3">
      <c r="A22" s="7" t="s">
        <v>3</v>
      </c>
      <c r="B22" s="7">
        <v>100</v>
      </c>
      <c r="C22" s="7">
        <v>1</v>
      </c>
      <c r="D22" s="7">
        <f>'Original data'!E22</f>
        <v>34.145040000000002</v>
      </c>
      <c r="E22" s="7">
        <f>'Original data'!H22</f>
        <v>13.694369999999999</v>
      </c>
      <c r="F22" s="7">
        <f>'Original data'!K22</f>
        <v>100.37318</v>
      </c>
      <c r="G22" s="7">
        <f>'Original data'!N22</f>
        <v>37.882379999999998</v>
      </c>
      <c r="H22" s="7">
        <f>'Original data'!Q22</f>
        <v>48.97486</v>
      </c>
      <c r="I22" s="7"/>
      <c r="P22"/>
      <c r="Y22" s="8"/>
      <c r="AA22" s="8"/>
    </row>
    <row r="23" spans="1:27" x14ac:dyDescent="0.3">
      <c r="A23" s="7" t="s">
        <v>3</v>
      </c>
      <c r="B23" s="7">
        <v>100</v>
      </c>
      <c r="C23" s="7">
        <v>1</v>
      </c>
      <c r="D23" s="7">
        <f>'Original data'!E23</f>
        <v>53.672809999999998</v>
      </c>
      <c r="E23" s="7">
        <f>'Original data'!H23</f>
        <v>45.51934</v>
      </c>
      <c r="F23" s="7">
        <f>'Original data'!K23</f>
        <v>99.899209999999997</v>
      </c>
      <c r="G23" s="7">
        <f>'Original data'!N23</f>
        <v>36.361640000000001</v>
      </c>
      <c r="H23" s="7">
        <f>'Original data'!Q23</f>
        <v>31.822700000000001</v>
      </c>
      <c r="I23" s="7"/>
      <c r="P23"/>
      <c r="Y23" s="8"/>
      <c r="AA23" s="8"/>
    </row>
    <row r="24" spans="1:27" x14ac:dyDescent="0.3">
      <c r="A24" s="7" t="s">
        <v>3</v>
      </c>
      <c r="B24" s="7">
        <v>100</v>
      </c>
      <c r="C24" s="7">
        <v>1</v>
      </c>
      <c r="D24" s="7">
        <f>'Original data'!E24</f>
        <v>56.56259</v>
      </c>
      <c r="E24" s="7">
        <f>'Original data'!H24</f>
        <v>15.37308</v>
      </c>
      <c r="F24" s="7">
        <f>'Original data'!K24</f>
        <v>101.94970000000001</v>
      </c>
      <c r="G24" s="7">
        <f>'Original data'!N24</f>
        <v>17.340610000000002</v>
      </c>
      <c r="H24" s="7">
        <f>'Original data'!Q24</f>
        <v>34.00497</v>
      </c>
      <c r="I24" s="7"/>
      <c r="P24"/>
      <c r="Y24" s="8"/>
      <c r="AA24" s="8"/>
    </row>
    <row r="25" spans="1:27" x14ac:dyDescent="0.3">
      <c r="A25" s="7" t="s">
        <v>3</v>
      </c>
      <c r="B25" s="7">
        <v>100</v>
      </c>
      <c r="C25" s="7">
        <v>1</v>
      </c>
      <c r="D25" s="7">
        <f>'Original data'!E25</f>
        <v>34.817790000000002</v>
      </c>
      <c r="E25" s="7">
        <f>'Original data'!H25</f>
        <v>19.247</v>
      </c>
      <c r="F25" s="7">
        <f>'Original data'!K25</f>
        <v>99.895970000000005</v>
      </c>
      <c r="G25" s="7">
        <f>'Original data'!N25</f>
        <v>17.65156</v>
      </c>
      <c r="H25" s="7">
        <f>'Original data'!Q25</f>
        <v>36.811689999999999</v>
      </c>
      <c r="I25" s="7"/>
      <c r="P25"/>
      <c r="Y25" s="8"/>
      <c r="AA25" s="8"/>
    </row>
    <row r="26" spans="1:27" x14ac:dyDescent="0.3">
      <c r="A26" s="7" t="s">
        <v>3</v>
      </c>
      <c r="B26" s="7">
        <v>100</v>
      </c>
      <c r="C26" s="7">
        <v>1</v>
      </c>
      <c r="D26" s="7">
        <f>'Original data'!E26</f>
        <v>57.456870000000002</v>
      </c>
      <c r="E26" s="7">
        <f>'Original data'!H26</f>
        <v>25.85895</v>
      </c>
      <c r="F26" s="7">
        <f>'Original data'!K26</f>
        <v>107.38636</v>
      </c>
      <c r="G26" s="7">
        <f>'Original data'!N26</f>
        <v>42.52187</v>
      </c>
      <c r="H26" s="7">
        <f>'Original data'!Q26</f>
        <v>52.353079999999999</v>
      </c>
      <c r="I26" s="7"/>
      <c r="J26" s="2"/>
      <c r="K26" s="2"/>
      <c r="L26" s="2"/>
      <c r="M26" s="2"/>
      <c r="N26" s="2"/>
      <c r="O26" s="2"/>
      <c r="P26" s="6"/>
      <c r="Q26" s="4"/>
      <c r="Y26" s="8"/>
      <c r="AA26" s="8"/>
    </row>
    <row r="27" spans="1:27" x14ac:dyDescent="0.3">
      <c r="A27" s="7" t="s">
        <v>3</v>
      </c>
      <c r="B27" s="7">
        <v>100</v>
      </c>
      <c r="C27" s="7">
        <v>1</v>
      </c>
      <c r="D27" s="7">
        <f>'Original data'!E27</f>
        <v>49.649819999999998</v>
      </c>
      <c r="E27" s="7">
        <f>'Original data'!H27</f>
        <v>17.97749</v>
      </c>
      <c r="F27" s="7">
        <f>'Original data'!K27</f>
        <v>104.64557000000001</v>
      </c>
      <c r="G27" s="7">
        <f>'Original data'!N27</f>
        <v>29.830670000000001</v>
      </c>
      <c r="H27" s="7">
        <f>'Original data'!Q27</f>
        <v>46.310360000000003</v>
      </c>
      <c r="I27" s="7"/>
      <c r="J27" s="2"/>
      <c r="K27" s="6"/>
      <c r="L27" s="4"/>
      <c r="P27"/>
      <c r="Y27" s="8"/>
      <c r="AA27" s="8"/>
    </row>
    <row r="28" spans="1:27" x14ac:dyDescent="0.3">
      <c r="A28" s="7" t="s">
        <v>3</v>
      </c>
      <c r="B28" s="7">
        <v>100</v>
      </c>
      <c r="C28" s="7">
        <v>1</v>
      </c>
      <c r="D28" s="7">
        <f>'Original data'!E28</f>
        <v>19.051220000000001</v>
      </c>
      <c r="E28" s="7">
        <f>'Original data'!H28</f>
        <v>20.378309999999999</v>
      </c>
      <c r="F28" s="7">
        <f>'Original data'!K28</f>
        <v>99.860309999999998</v>
      </c>
      <c r="G28" s="7">
        <f>'Original data'!N28</f>
        <v>21.774650000000001</v>
      </c>
      <c r="H28" s="7">
        <f>'Original data'!Q28</f>
        <v>56.09093</v>
      </c>
      <c r="I28" s="7"/>
      <c r="J28" s="2"/>
      <c r="K28" s="6"/>
      <c r="L28" s="4"/>
      <c r="P28"/>
      <c r="Y28" s="8"/>
      <c r="AA28" s="8"/>
    </row>
    <row r="29" spans="1:27" x14ac:dyDescent="0.3">
      <c r="A29" s="7" t="s">
        <v>3</v>
      </c>
      <c r="B29" s="7">
        <v>100</v>
      </c>
      <c r="C29" s="7">
        <v>1</v>
      </c>
      <c r="D29" s="7">
        <f>'Original data'!E29</f>
        <v>57.055030000000002</v>
      </c>
      <c r="E29" s="7">
        <f>'Original data'!H29</f>
        <v>14.03012</v>
      </c>
      <c r="F29" s="7">
        <f>'Original data'!K29</f>
        <v>101.06610000000001</v>
      </c>
      <c r="G29" s="7">
        <f>'Original data'!N29</f>
        <v>30.385259999999999</v>
      </c>
      <c r="H29" s="7">
        <f>'Original data'!Q29</f>
        <v>73.824560000000005</v>
      </c>
      <c r="I29" s="7"/>
      <c r="J29" s="2"/>
      <c r="K29" s="6"/>
      <c r="L29" s="4"/>
      <c r="P29"/>
      <c r="Y29" s="8"/>
      <c r="AA29" s="8"/>
    </row>
    <row r="30" spans="1:27" x14ac:dyDescent="0.3">
      <c r="A30" s="7" t="s">
        <v>3</v>
      </c>
      <c r="B30" s="7">
        <v>100</v>
      </c>
      <c r="C30" s="7">
        <v>1</v>
      </c>
      <c r="D30" s="7">
        <f>'Original data'!E30</f>
        <v>138.40254999999999</v>
      </c>
      <c r="E30" s="7">
        <f>'Original data'!H30</f>
        <v>12.31845</v>
      </c>
      <c r="F30" s="7">
        <f>'Original data'!K30</f>
        <v>104.46268999999999</v>
      </c>
      <c r="G30" s="7">
        <f>'Original data'!N30</f>
        <v>16.33989</v>
      </c>
      <c r="H30" s="7">
        <f>'Original data'!Q30</f>
        <v>54.800370000000001</v>
      </c>
      <c r="I30" s="7"/>
      <c r="J30" s="2"/>
      <c r="K30" s="6"/>
      <c r="L30" s="4"/>
      <c r="P30"/>
      <c r="Y30" s="8"/>
      <c r="AA30" s="8"/>
    </row>
    <row r="31" spans="1:27" x14ac:dyDescent="0.3">
      <c r="A31" s="7" t="s">
        <v>3</v>
      </c>
      <c r="B31" s="7">
        <v>100</v>
      </c>
      <c r="C31" s="7">
        <v>1</v>
      </c>
      <c r="D31" s="7">
        <f>'Original data'!E31</f>
        <v>42.30686</v>
      </c>
      <c r="E31" s="7">
        <f>'Original data'!H31</f>
        <v>29.555800000000001</v>
      </c>
      <c r="F31" s="7">
        <f>'Original data'!K31</f>
        <v>100.4147</v>
      </c>
      <c r="G31" s="7">
        <f>'Original data'!N31</f>
        <v>21.213010000000001</v>
      </c>
      <c r="H31" s="7">
        <f>'Original data'!Q31</f>
        <v>39.54166</v>
      </c>
      <c r="I31" s="7"/>
      <c r="J31" s="2"/>
      <c r="K31" s="6"/>
      <c r="L31" s="4"/>
      <c r="P31"/>
      <c r="Y31" s="8"/>
      <c r="AA31" s="8"/>
    </row>
    <row r="32" spans="1:27" x14ac:dyDescent="0.3">
      <c r="A32" s="7" t="s">
        <v>16</v>
      </c>
      <c r="B32" s="7">
        <v>30</v>
      </c>
      <c r="C32" s="7">
        <v>1</v>
      </c>
      <c r="D32" s="7">
        <f>'Original data'!E32</f>
        <v>4.4163600000000001</v>
      </c>
      <c r="E32" s="7">
        <f>'Original data'!H32</f>
        <v>3.1289600000000002</v>
      </c>
      <c r="F32" s="7">
        <f>'Original data'!K32</f>
        <v>8.0163600000000006</v>
      </c>
      <c r="G32" s="7">
        <f>'Original data'!N32</f>
        <v>2.8719800000000002</v>
      </c>
      <c r="H32" s="7">
        <f>'Original data'!Q32</f>
        <v>1.18946</v>
      </c>
      <c r="I32" s="7"/>
      <c r="J32" s="2"/>
      <c r="K32" s="6"/>
      <c r="L32" s="4"/>
      <c r="P32"/>
      <c r="Y32" s="8"/>
      <c r="AA32" s="8"/>
    </row>
    <row r="33" spans="1:27" x14ac:dyDescent="0.3">
      <c r="A33" s="7" t="s">
        <v>16</v>
      </c>
      <c r="B33" s="7">
        <v>30</v>
      </c>
      <c r="C33" s="7">
        <v>1</v>
      </c>
      <c r="D33" s="7">
        <f>'Original data'!E33</f>
        <v>4.3949600000000002</v>
      </c>
      <c r="E33" s="7">
        <f>'Original data'!H33</f>
        <v>4.3627700000000003</v>
      </c>
      <c r="F33" s="7">
        <f>'Original data'!K33</f>
        <v>7.9741</v>
      </c>
      <c r="G33" s="7">
        <f>'Original data'!N33</f>
        <v>2.6908799999999999</v>
      </c>
      <c r="H33" s="7">
        <f>'Original data'!Q33</f>
        <v>1.1275200000000001</v>
      </c>
      <c r="I33" s="7"/>
      <c r="J33" s="2"/>
      <c r="K33" s="6"/>
      <c r="L33" s="4"/>
      <c r="P33"/>
      <c r="Y33" s="8"/>
      <c r="AA33" s="8"/>
    </row>
    <row r="34" spans="1:27" x14ac:dyDescent="0.3">
      <c r="A34" s="7" t="s">
        <v>16</v>
      </c>
      <c r="B34" s="7">
        <v>30</v>
      </c>
      <c r="C34" s="7">
        <v>1</v>
      </c>
      <c r="D34" s="7">
        <f>'Original data'!E34</f>
        <v>4.3276599999999998</v>
      </c>
      <c r="E34" s="7">
        <f>'Original data'!H34</f>
        <v>4.3657399999999997</v>
      </c>
      <c r="F34" s="7">
        <f>'Original data'!K34</f>
        <v>8.1319499999999998</v>
      </c>
      <c r="G34" s="7">
        <f>'Original data'!N34</f>
        <v>3.9687199999999998</v>
      </c>
      <c r="H34" s="7">
        <f>'Original data'!Q34</f>
        <v>0.97285999999999995</v>
      </c>
      <c r="I34" s="7"/>
      <c r="J34" s="2"/>
      <c r="K34" s="6"/>
      <c r="L34" s="4"/>
      <c r="P34"/>
      <c r="Y34" s="8"/>
      <c r="AA34" s="8"/>
    </row>
    <row r="35" spans="1:27" x14ac:dyDescent="0.3">
      <c r="A35" s="7" t="s">
        <v>16</v>
      </c>
      <c r="B35" s="7">
        <v>30</v>
      </c>
      <c r="C35" s="7">
        <v>1</v>
      </c>
      <c r="D35" s="7">
        <f>'Original data'!E35</f>
        <v>4.8388400000000003</v>
      </c>
      <c r="E35" s="7">
        <f>'Original data'!H35</f>
        <v>3.0758700000000001</v>
      </c>
      <c r="F35" s="7">
        <f>'Original data'!K35</f>
        <v>7.7240399999999996</v>
      </c>
      <c r="G35" s="7">
        <f>'Original data'!N35</f>
        <v>2.28037</v>
      </c>
      <c r="H35" s="7">
        <f>'Original data'!Q35</f>
        <v>1.3628800000000001</v>
      </c>
      <c r="I35" s="7"/>
      <c r="J35" s="2"/>
      <c r="K35" s="6"/>
      <c r="L35" s="4"/>
      <c r="P35"/>
      <c r="Y35" s="8"/>
      <c r="AA35" s="8"/>
    </row>
    <row r="36" spans="1:27" x14ac:dyDescent="0.3">
      <c r="A36" s="7" t="s">
        <v>16</v>
      </c>
      <c r="B36" s="7">
        <v>30</v>
      </c>
      <c r="C36" s="7">
        <v>1</v>
      </c>
      <c r="D36" s="7">
        <f>'Original data'!E36</f>
        <v>4.3468099999999996</v>
      </c>
      <c r="E36" s="7">
        <f>'Original data'!H36</f>
        <v>3.8758699999999999</v>
      </c>
      <c r="F36" s="7">
        <f>'Original data'!K36</f>
        <v>7.9474200000000002</v>
      </c>
      <c r="G36" s="7">
        <f>'Original data'!N36</f>
        <v>2.37616</v>
      </c>
      <c r="H36" s="7">
        <f>'Original data'!Q36</f>
        <v>0.89009000000000005</v>
      </c>
      <c r="I36" s="7"/>
      <c r="J36" s="2"/>
      <c r="K36" s="6"/>
      <c r="L36" s="4"/>
      <c r="P36"/>
      <c r="Y36" s="8"/>
      <c r="AA36" s="8"/>
    </row>
    <row r="37" spans="1:27" x14ac:dyDescent="0.3">
      <c r="A37" s="7" t="s">
        <v>16</v>
      </c>
      <c r="B37" s="7">
        <v>30</v>
      </c>
      <c r="C37" s="7">
        <v>1</v>
      </c>
      <c r="D37" s="7">
        <f>'Original data'!E37</f>
        <v>4.3954000000000004</v>
      </c>
      <c r="E37" s="7">
        <f>'Original data'!H37</f>
        <v>3.82348</v>
      </c>
      <c r="F37" s="7">
        <f>'Original data'!K37</f>
        <v>8.1055100000000007</v>
      </c>
      <c r="G37" s="7">
        <f>'Original data'!N37</f>
        <v>3.1710400000000001</v>
      </c>
      <c r="H37" s="7">
        <f>'Original data'!Q37</f>
        <v>0.80164000000000002</v>
      </c>
      <c r="I37" s="7"/>
      <c r="J37" s="2"/>
      <c r="K37" s="6"/>
      <c r="L37" s="4"/>
      <c r="P37"/>
      <c r="Y37" s="8"/>
      <c r="AA37" s="8"/>
    </row>
    <row r="38" spans="1:27" x14ac:dyDescent="0.3">
      <c r="A38" s="7" t="s">
        <v>16</v>
      </c>
      <c r="B38" s="7">
        <v>30</v>
      </c>
      <c r="C38" s="7">
        <v>1</v>
      </c>
      <c r="D38" s="7">
        <f>'Original data'!E38</f>
        <v>4.3383799999999999</v>
      </c>
      <c r="E38" s="7">
        <f>'Original data'!H38</f>
        <v>5.4493299999999998</v>
      </c>
      <c r="F38" s="7">
        <f>'Original data'!K38</f>
        <v>7.9569999999999999</v>
      </c>
      <c r="G38" s="7">
        <f>'Original data'!N38</f>
        <v>3.0594600000000001</v>
      </c>
      <c r="H38" s="7">
        <f>'Original data'!Q38</f>
        <v>1.2493700000000001</v>
      </c>
      <c r="I38" s="7"/>
      <c r="J38" s="2"/>
      <c r="K38" s="6"/>
      <c r="L38" s="4"/>
      <c r="P38"/>
      <c r="Y38" s="8"/>
      <c r="AA38" s="8"/>
    </row>
    <row r="39" spans="1:27" x14ac:dyDescent="0.3">
      <c r="A39" s="7" t="s">
        <v>16</v>
      </c>
      <c r="B39" s="7">
        <v>30</v>
      </c>
      <c r="C39" s="7">
        <v>1</v>
      </c>
      <c r="D39" s="7">
        <f>'Original data'!E39</f>
        <v>4.40672</v>
      </c>
      <c r="E39" s="7">
        <f>'Original data'!H39</f>
        <v>4.1868800000000004</v>
      </c>
      <c r="F39" s="7">
        <f>'Original data'!K39</f>
        <v>8.0040999999999993</v>
      </c>
      <c r="G39" s="7">
        <f>'Original data'!N39</f>
        <v>2.5116700000000001</v>
      </c>
      <c r="H39" s="7">
        <f>'Original data'!Q39</f>
        <v>0.59372999999999998</v>
      </c>
      <c r="I39" s="7"/>
      <c r="J39" s="2"/>
      <c r="K39" s="6"/>
      <c r="L39" s="4"/>
      <c r="P39"/>
      <c r="Y39" s="8"/>
      <c r="AA39" s="8"/>
    </row>
    <row r="40" spans="1:27" x14ac:dyDescent="0.3">
      <c r="A40" s="7" t="s">
        <v>16</v>
      </c>
      <c r="B40" s="7">
        <v>30</v>
      </c>
      <c r="C40" s="7">
        <v>1</v>
      </c>
      <c r="D40" s="7">
        <f>'Original data'!E40</f>
        <v>4.3431899999999999</v>
      </c>
      <c r="E40" s="7">
        <f>'Original data'!H40</f>
        <v>4.4583199999999996</v>
      </c>
      <c r="F40" s="7">
        <f>'Original data'!K40</f>
        <v>7.9543299999999997</v>
      </c>
      <c r="G40" s="7">
        <f>'Original data'!N40</f>
        <v>1.7247300000000001</v>
      </c>
      <c r="H40" s="7">
        <f>'Original data'!Q40</f>
        <v>0.81574999999999998</v>
      </c>
      <c r="I40" s="7"/>
      <c r="J40" s="2"/>
      <c r="K40" s="6"/>
      <c r="L40" s="4"/>
      <c r="P40"/>
      <c r="Y40" s="8"/>
      <c r="AA40" s="8"/>
    </row>
    <row r="41" spans="1:27" x14ac:dyDescent="0.3">
      <c r="A41" s="7" t="s">
        <v>16</v>
      </c>
      <c r="B41" s="7">
        <v>30</v>
      </c>
      <c r="C41" s="7">
        <v>1</v>
      </c>
      <c r="D41" s="7">
        <f>'Original data'!E41</f>
        <v>4.4527400000000004</v>
      </c>
      <c r="E41" s="7">
        <f>'Original data'!H41</f>
        <v>3.1933699999999998</v>
      </c>
      <c r="F41" s="7">
        <f>'Original data'!K41</f>
        <v>8.1521299999999997</v>
      </c>
      <c r="G41" s="7">
        <f>'Original data'!N41</f>
        <v>4.0812999999999997</v>
      </c>
      <c r="H41" s="7">
        <f>'Original data'!Q41</f>
        <v>1.15554</v>
      </c>
      <c r="I41" s="7"/>
      <c r="J41" s="2"/>
      <c r="K41" s="6"/>
      <c r="L41" s="4"/>
      <c r="P41"/>
      <c r="Y41" s="8"/>
    </row>
    <row r="42" spans="1:27" x14ac:dyDescent="0.3">
      <c r="A42" s="7" t="s">
        <v>16</v>
      </c>
      <c r="B42" s="7">
        <v>50</v>
      </c>
      <c r="C42" s="7">
        <v>1</v>
      </c>
      <c r="D42" s="7">
        <f>'Original data'!E42</f>
        <v>23.115369999999999</v>
      </c>
      <c r="E42" s="7">
        <f>'Original data'!H42</f>
        <v>7.1428599999999998</v>
      </c>
      <c r="F42" s="7">
        <f>'Original data'!K42</f>
        <v>22.351859999999999</v>
      </c>
      <c r="G42" s="7">
        <f>'Original data'!N42</f>
        <v>17.569469999999999</v>
      </c>
      <c r="H42" s="7">
        <f>'Original data'!Q42</f>
        <v>7.2158499999999997</v>
      </c>
      <c r="I42" s="7"/>
      <c r="J42" s="2"/>
      <c r="K42" s="2"/>
      <c r="L42" s="2"/>
      <c r="M42" s="2"/>
      <c r="N42" s="2"/>
      <c r="O42" s="2"/>
      <c r="P42" s="6"/>
      <c r="Q42" s="4"/>
      <c r="Y42" s="8"/>
    </row>
    <row r="43" spans="1:27" x14ac:dyDescent="0.3">
      <c r="A43" s="7" t="s">
        <v>16</v>
      </c>
      <c r="B43" s="7">
        <v>50</v>
      </c>
      <c r="C43" s="7">
        <v>1</v>
      </c>
      <c r="D43" s="7">
        <f>'Original data'!E43</f>
        <v>9.7124600000000001</v>
      </c>
      <c r="E43" s="7">
        <f>'Original data'!H43</f>
        <v>9.0957100000000004</v>
      </c>
      <c r="F43" s="7">
        <f>'Original data'!K43</f>
        <v>22.478719999999999</v>
      </c>
      <c r="G43" s="7">
        <f>'Original data'!N43</f>
        <v>9.1494199999999992</v>
      </c>
      <c r="H43" s="7">
        <f>'Original data'!Q43</f>
        <v>4.0573600000000001</v>
      </c>
      <c r="I43" s="7"/>
      <c r="J43" s="2"/>
      <c r="K43" s="2"/>
      <c r="L43" s="2"/>
      <c r="M43" s="2"/>
      <c r="N43" s="2"/>
      <c r="O43" s="2"/>
      <c r="P43" s="6"/>
      <c r="Q43" s="4"/>
      <c r="Y43" s="8"/>
    </row>
    <row r="44" spans="1:27" x14ac:dyDescent="0.3">
      <c r="A44" s="7" t="s">
        <v>16</v>
      </c>
      <c r="B44" s="7">
        <v>50</v>
      </c>
      <c r="C44" s="7">
        <v>1</v>
      </c>
      <c r="D44" s="7">
        <f>'Original data'!E44</f>
        <v>15.698230000000001</v>
      </c>
      <c r="E44" s="7">
        <f>'Original data'!H44</f>
        <v>10.21069</v>
      </c>
      <c r="F44" s="7">
        <f>'Original data'!K44</f>
        <v>22.251149999999999</v>
      </c>
      <c r="G44" s="7">
        <f>'Original data'!N44</f>
        <v>10.71706</v>
      </c>
      <c r="H44" s="7">
        <f>'Original data'!Q44</f>
        <v>6.1675500000000003</v>
      </c>
      <c r="I44" s="7"/>
      <c r="J44" s="2"/>
      <c r="K44" s="2"/>
      <c r="L44" s="2"/>
      <c r="M44" s="2"/>
      <c r="N44" s="2"/>
      <c r="O44" s="2"/>
      <c r="P44" s="6"/>
      <c r="Q44" s="4"/>
      <c r="Y44" s="8"/>
    </row>
    <row r="45" spans="1:27" x14ac:dyDescent="0.3">
      <c r="A45" s="7" t="s">
        <v>16</v>
      </c>
      <c r="B45" s="7">
        <v>50</v>
      </c>
      <c r="C45" s="7">
        <v>1</v>
      </c>
      <c r="D45" s="7">
        <f>'Original data'!E45</f>
        <v>11.77655</v>
      </c>
      <c r="E45" s="7">
        <f>'Original data'!H45</f>
        <v>11.030799999999999</v>
      </c>
      <c r="F45" s="7">
        <f>'Original data'!K45</f>
        <v>22.453220000000002</v>
      </c>
      <c r="G45" s="7">
        <f>'Original data'!N45</f>
        <v>8.2648799999999998</v>
      </c>
      <c r="H45" s="7">
        <f>'Original data'!Q45</f>
        <v>5.9133399999999998</v>
      </c>
      <c r="I45" s="7"/>
      <c r="J45" s="2"/>
      <c r="K45" s="2"/>
      <c r="L45" s="2"/>
      <c r="M45" s="2"/>
      <c r="N45" s="2"/>
      <c r="O45" s="2"/>
      <c r="P45" s="6"/>
      <c r="Q45" s="4"/>
      <c r="Y45" s="8"/>
    </row>
    <row r="46" spans="1:27" x14ac:dyDescent="0.3">
      <c r="A46" s="7" t="s">
        <v>16</v>
      </c>
      <c r="B46" s="7">
        <v>50</v>
      </c>
      <c r="C46" s="7">
        <v>1</v>
      </c>
      <c r="D46" s="7">
        <f>'Original data'!E46</f>
        <v>9.7213100000000008</v>
      </c>
      <c r="E46" s="7">
        <f>'Original data'!H46</f>
        <v>12.221719999999999</v>
      </c>
      <c r="F46" s="7">
        <f>'Original data'!K46</f>
        <v>22.432089999999999</v>
      </c>
      <c r="G46" s="7">
        <f>'Original data'!N46</f>
        <v>7.6898299999999997</v>
      </c>
      <c r="H46" s="7">
        <f>'Original data'!Q46</f>
        <v>6.8142199999999997</v>
      </c>
      <c r="I46" s="7"/>
      <c r="J46" s="2"/>
      <c r="K46" s="2"/>
      <c r="L46" s="2"/>
      <c r="M46" s="2"/>
      <c r="N46" s="2"/>
      <c r="O46" s="2"/>
      <c r="P46" s="6"/>
      <c r="Q46" s="4"/>
      <c r="Y46" s="8"/>
    </row>
    <row r="47" spans="1:27" x14ac:dyDescent="0.3">
      <c r="A47" s="7" t="s">
        <v>16</v>
      </c>
      <c r="B47" s="7">
        <v>50</v>
      </c>
      <c r="C47" s="7">
        <v>1</v>
      </c>
      <c r="D47" s="7">
        <f>'Original data'!E47</f>
        <v>14.530749999999999</v>
      </c>
      <c r="E47" s="7">
        <f>'Original data'!H47</f>
        <v>5.7797400000000003</v>
      </c>
      <c r="F47" s="7">
        <f>'Original data'!K47</f>
        <v>22.459009999999999</v>
      </c>
      <c r="G47" s="7">
        <f>'Original data'!N47</f>
        <v>8.9031900000000004</v>
      </c>
      <c r="H47" s="7">
        <f>'Original data'!Q47</f>
        <v>5.5540500000000002</v>
      </c>
      <c r="I47" s="7"/>
      <c r="J47" s="2"/>
      <c r="K47" s="2"/>
      <c r="L47" s="2"/>
      <c r="M47" s="2"/>
      <c r="N47" s="2"/>
      <c r="O47" s="2"/>
      <c r="P47" s="6"/>
      <c r="Q47" s="4"/>
      <c r="Y47" s="8"/>
    </row>
    <row r="48" spans="1:27" x14ac:dyDescent="0.3">
      <c r="A48" s="7" t="s">
        <v>16</v>
      </c>
      <c r="B48" s="7">
        <v>50</v>
      </c>
      <c r="C48" s="7">
        <v>1</v>
      </c>
      <c r="D48" s="7">
        <f>'Original data'!E48</f>
        <v>12.539389999999999</v>
      </c>
      <c r="E48" s="7">
        <f>'Original data'!H48</f>
        <v>5.2167899999999996</v>
      </c>
      <c r="F48" s="7">
        <f>'Original data'!K48</f>
        <v>22.304739999999999</v>
      </c>
      <c r="G48" s="7">
        <f>'Original data'!N48</f>
        <v>8.4568200000000004</v>
      </c>
      <c r="H48" s="7">
        <f>'Original data'!Q48</f>
        <v>6.8635000000000002</v>
      </c>
      <c r="I48" s="7"/>
      <c r="J48" s="2"/>
      <c r="K48" s="2"/>
      <c r="L48" s="2"/>
      <c r="M48" s="2"/>
      <c r="N48" s="2"/>
      <c r="O48" s="2"/>
      <c r="P48" s="6"/>
      <c r="Q48" s="4"/>
      <c r="Y48" s="8"/>
    </row>
    <row r="49" spans="1:25" x14ac:dyDescent="0.3">
      <c r="A49" s="7" t="s">
        <v>16</v>
      </c>
      <c r="B49" s="7">
        <v>50</v>
      </c>
      <c r="C49" s="7">
        <v>1</v>
      </c>
      <c r="D49" s="7">
        <f>'Original data'!E49</f>
        <v>9.01234</v>
      </c>
      <c r="E49" s="7">
        <f>'Original data'!H49</f>
        <v>9.02684</v>
      </c>
      <c r="F49" s="7">
        <f>'Original data'!K49</f>
        <v>22.359470000000002</v>
      </c>
      <c r="G49" s="7">
        <f>'Original data'!N49</f>
        <v>14.09281</v>
      </c>
      <c r="H49" s="7">
        <f>'Original data'!Q49</f>
        <v>6.0107999999999997</v>
      </c>
      <c r="I49" s="7"/>
      <c r="J49" s="2"/>
      <c r="K49" s="2"/>
      <c r="L49" s="2"/>
      <c r="M49" s="2"/>
      <c r="N49" s="2"/>
      <c r="O49" s="2"/>
      <c r="P49" s="6"/>
      <c r="Q49" s="4"/>
      <c r="Y49" s="8"/>
    </row>
    <row r="50" spans="1:25" x14ac:dyDescent="0.3">
      <c r="A50" s="7" t="s">
        <v>16</v>
      </c>
      <c r="B50" s="7">
        <v>50</v>
      </c>
      <c r="C50" s="7">
        <v>1</v>
      </c>
      <c r="D50" s="7">
        <f>'Original data'!E50</f>
        <v>12.07643</v>
      </c>
      <c r="E50" s="7">
        <f>'Original data'!H50</f>
        <v>7.0705400000000003</v>
      </c>
      <c r="F50" s="7">
        <f>'Original data'!K50</f>
        <v>22.392669999999999</v>
      </c>
      <c r="G50" s="7">
        <f>'Original data'!N50</f>
        <v>5.5508600000000001</v>
      </c>
      <c r="H50" s="7">
        <f>'Original data'!Q50</f>
        <v>1.45825</v>
      </c>
      <c r="I50" s="7"/>
      <c r="J50" s="2"/>
      <c r="K50" s="2"/>
      <c r="L50" s="2"/>
      <c r="M50" s="2"/>
      <c r="N50" s="2"/>
      <c r="O50" s="2"/>
      <c r="P50" s="6"/>
      <c r="Q50" s="4"/>
      <c r="Y50" s="8"/>
    </row>
    <row r="51" spans="1:25" x14ac:dyDescent="0.3">
      <c r="A51" s="7" t="s">
        <v>16</v>
      </c>
      <c r="B51" s="7">
        <v>50</v>
      </c>
      <c r="C51" s="7">
        <v>1</v>
      </c>
      <c r="D51" s="7">
        <f>'Original data'!E51</f>
        <v>9.6609300000000005</v>
      </c>
      <c r="E51" s="7">
        <f>'Original data'!H51</f>
        <v>9.61172</v>
      </c>
      <c r="F51" s="7">
        <f>'Original data'!K51</f>
        <v>22.527000000000001</v>
      </c>
      <c r="G51" s="7">
        <f>'Original data'!N51</f>
        <v>7.0928000000000004</v>
      </c>
      <c r="H51" s="7">
        <f>'Original data'!Q51</f>
        <v>6.8194499999999998</v>
      </c>
      <c r="I51" s="7"/>
      <c r="J51" s="2"/>
      <c r="K51" s="2"/>
      <c r="L51" s="2"/>
      <c r="M51" s="2"/>
      <c r="N51" s="2"/>
      <c r="O51" s="2"/>
      <c r="P51" s="6"/>
      <c r="Q51" s="4"/>
      <c r="Y51" s="8"/>
    </row>
    <row r="52" spans="1:25" x14ac:dyDescent="0.3">
      <c r="A52" s="7" t="s">
        <v>16</v>
      </c>
      <c r="B52" s="7">
        <v>100</v>
      </c>
      <c r="C52" s="7">
        <v>1</v>
      </c>
      <c r="D52" s="7">
        <f>'Original data'!E52</f>
        <v>23.484850000000002</v>
      </c>
      <c r="E52" s="7">
        <f>'Original data'!H52</f>
        <v>32.589930000000003</v>
      </c>
      <c r="F52" s="7">
        <f>'Original data'!K52</f>
        <v>138.22609</v>
      </c>
      <c r="G52" s="7">
        <f>'Original data'!N52</f>
        <v>32.508009999999999</v>
      </c>
      <c r="H52" s="7">
        <f>'Original data'!Q52</f>
        <v>7.2472899999999996</v>
      </c>
      <c r="I52" s="7"/>
      <c r="J52" s="2"/>
      <c r="K52" s="2"/>
      <c r="L52" s="2"/>
      <c r="M52" s="2"/>
      <c r="N52" s="2"/>
      <c r="O52" s="2"/>
      <c r="P52" s="6"/>
      <c r="Q52" s="4"/>
      <c r="Y52" s="8"/>
    </row>
    <row r="53" spans="1:25" x14ac:dyDescent="0.3">
      <c r="A53" s="7" t="s">
        <v>16</v>
      </c>
      <c r="B53" s="7">
        <v>100</v>
      </c>
      <c r="C53" s="7">
        <v>1</v>
      </c>
      <c r="D53" s="7">
        <f>'Original data'!E53</f>
        <v>23.89528</v>
      </c>
      <c r="E53" s="7">
        <f>'Original data'!H53</f>
        <v>18.44661</v>
      </c>
      <c r="F53" s="7">
        <f>'Original data'!K53</f>
        <v>138.00480999999999</v>
      </c>
      <c r="G53" s="7">
        <f>'Original data'!N53</f>
        <v>15.743230000000001</v>
      </c>
      <c r="H53" s="7">
        <f>'Original data'!Q53</f>
        <v>7.2092700000000001</v>
      </c>
      <c r="I53" s="7"/>
      <c r="J53" s="2"/>
      <c r="K53" s="2"/>
      <c r="L53" s="2"/>
      <c r="M53" s="2"/>
      <c r="N53" s="2"/>
      <c r="O53" s="2"/>
      <c r="P53" s="6"/>
      <c r="Q53" s="4"/>
    </row>
    <row r="54" spans="1:25" x14ac:dyDescent="0.3">
      <c r="A54" s="7" t="s">
        <v>16</v>
      </c>
      <c r="B54" s="7">
        <v>100</v>
      </c>
      <c r="C54" s="7">
        <v>1</v>
      </c>
      <c r="D54" s="7">
        <f>'Original data'!E54</f>
        <v>40.652560000000001</v>
      </c>
      <c r="E54" s="7">
        <f>'Original data'!H54</f>
        <v>31.583400000000001</v>
      </c>
      <c r="F54" s="7">
        <f>'Original data'!K54</f>
        <v>138.16789</v>
      </c>
      <c r="G54" s="7">
        <f>'Original data'!N54</f>
        <v>33.73274</v>
      </c>
      <c r="H54" s="7">
        <f>'Original data'!Q54</f>
        <v>7.1858399999999998</v>
      </c>
      <c r="I54" s="7"/>
      <c r="J54" s="2"/>
      <c r="K54" s="2"/>
      <c r="L54" s="2"/>
      <c r="M54" s="2"/>
      <c r="N54" s="2"/>
      <c r="O54" s="2"/>
      <c r="P54" s="6"/>
      <c r="Q54" s="4"/>
    </row>
    <row r="55" spans="1:25" x14ac:dyDescent="0.3">
      <c r="A55" s="7" t="s">
        <v>16</v>
      </c>
      <c r="B55" s="7">
        <v>100</v>
      </c>
      <c r="C55" s="7">
        <v>1</v>
      </c>
      <c r="D55" s="7">
        <f>'Original data'!E55</f>
        <v>24.602540000000001</v>
      </c>
      <c r="E55" s="7">
        <f>'Original data'!H55</f>
        <v>17.51681</v>
      </c>
      <c r="F55" s="7">
        <f>'Original data'!K55</f>
        <v>138.17637999999999</v>
      </c>
      <c r="G55" s="7">
        <f>'Original data'!N55</f>
        <v>22.145019999999999</v>
      </c>
      <c r="H55" s="7">
        <f>'Original data'!Q55</f>
        <v>6.92056</v>
      </c>
      <c r="I55" s="7"/>
      <c r="J55" s="2"/>
      <c r="K55" s="2"/>
      <c r="L55" s="2"/>
      <c r="M55" s="2"/>
      <c r="N55" s="2"/>
      <c r="O55" s="2"/>
      <c r="P55" s="6"/>
      <c r="Q55" s="4"/>
    </row>
    <row r="56" spans="1:25" x14ac:dyDescent="0.3">
      <c r="A56" s="7" t="s">
        <v>16</v>
      </c>
      <c r="B56" s="7">
        <v>100</v>
      </c>
      <c r="C56" s="7">
        <v>1</v>
      </c>
      <c r="D56" s="7">
        <f>'Original data'!E56</f>
        <v>29.09834</v>
      </c>
      <c r="E56" s="7">
        <f>'Original data'!H56</f>
        <v>26.721139999999998</v>
      </c>
      <c r="F56" s="7">
        <f>'Original data'!K56</f>
        <v>138.95625999999999</v>
      </c>
      <c r="G56" s="7">
        <f>'Original data'!N56</f>
        <v>46.533470000000001</v>
      </c>
      <c r="H56" s="7">
        <f>'Original data'!Q56</f>
        <v>16.116679999999999</v>
      </c>
      <c r="I56" s="7"/>
      <c r="J56" s="2"/>
      <c r="K56" s="2"/>
      <c r="L56" s="2"/>
      <c r="M56" s="2"/>
      <c r="N56" s="2"/>
      <c r="O56" s="2"/>
      <c r="P56" s="6"/>
      <c r="Q56" s="4"/>
    </row>
    <row r="57" spans="1:25" x14ac:dyDescent="0.3">
      <c r="A57" s="7" t="s">
        <v>16</v>
      </c>
      <c r="B57" s="7">
        <v>100</v>
      </c>
      <c r="C57" s="7">
        <v>1</v>
      </c>
      <c r="D57" s="7">
        <f>'Original data'!E57</f>
        <v>41.955869999999997</v>
      </c>
      <c r="E57" s="7">
        <f>'Original data'!H57</f>
        <v>17.18111</v>
      </c>
      <c r="F57" s="7">
        <f>'Original data'!K57</f>
        <v>138.78805</v>
      </c>
      <c r="G57" s="7">
        <f>'Original data'!N57</f>
        <v>27.341909999999999</v>
      </c>
      <c r="H57" s="7">
        <f>'Original data'!Q57</f>
        <v>11.38269</v>
      </c>
      <c r="I57" s="7"/>
      <c r="J57" s="2"/>
      <c r="K57" s="2"/>
      <c r="L57" s="2"/>
      <c r="M57" s="2"/>
      <c r="N57" s="2"/>
      <c r="O57" s="2"/>
      <c r="P57" s="6"/>
      <c r="Q57" s="4"/>
    </row>
    <row r="58" spans="1:25" x14ac:dyDescent="0.3">
      <c r="A58" s="7" t="s">
        <v>16</v>
      </c>
      <c r="B58" s="7">
        <v>100</v>
      </c>
      <c r="C58" s="7">
        <v>1</v>
      </c>
      <c r="D58" s="7">
        <f>'Original data'!E58</f>
        <v>21.719069999999999</v>
      </c>
      <c r="E58" s="7">
        <f>'Original data'!H58</f>
        <v>26.128440000000001</v>
      </c>
      <c r="F58" s="7">
        <f>'Original data'!K58</f>
        <v>139.11187000000001</v>
      </c>
      <c r="G58" s="7">
        <f>'Original data'!N58</f>
        <v>18.116309999999999</v>
      </c>
      <c r="H58" s="7">
        <f>'Original data'!Q58</f>
        <v>6.5905399999999998</v>
      </c>
      <c r="I58" s="7"/>
      <c r="J58" s="2"/>
      <c r="K58" s="2"/>
      <c r="L58" s="2"/>
      <c r="M58" s="2"/>
      <c r="N58" s="2"/>
      <c r="O58" s="2"/>
      <c r="P58" s="6"/>
      <c r="Q58" s="4"/>
    </row>
    <row r="59" spans="1:25" x14ac:dyDescent="0.3">
      <c r="A59" s="7" t="s">
        <v>16</v>
      </c>
      <c r="B59" s="7">
        <v>100</v>
      </c>
      <c r="C59" s="7">
        <v>1</v>
      </c>
      <c r="D59" s="7">
        <f>'Original data'!E59</f>
        <v>22.27214</v>
      </c>
      <c r="E59" s="7">
        <f>'Original data'!H59</f>
        <v>29.483820000000001</v>
      </c>
      <c r="F59" s="7">
        <f>'Original data'!K59</f>
        <v>138.21172000000001</v>
      </c>
      <c r="G59" s="7">
        <f>'Original data'!N59</f>
        <v>31.574649999999998</v>
      </c>
      <c r="H59" s="7">
        <f>'Original data'!Q59</f>
        <v>6.9906800000000002</v>
      </c>
      <c r="I59" s="7"/>
      <c r="J59" s="2"/>
      <c r="K59" s="2"/>
      <c r="L59" s="2"/>
      <c r="M59" s="2"/>
      <c r="N59" s="2"/>
      <c r="O59" s="2"/>
      <c r="P59" s="6"/>
      <c r="Q59" s="4"/>
    </row>
    <row r="60" spans="1:25" x14ac:dyDescent="0.3">
      <c r="A60" s="7" t="s">
        <v>16</v>
      </c>
      <c r="B60" s="7">
        <v>100</v>
      </c>
      <c r="C60" s="7">
        <v>1</v>
      </c>
      <c r="D60" s="7">
        <f>'Original data'!E60</f>
        <v>27.28829</v>
      </c>
      <c r="E60" s="7">
        <f>'Original data'!H60</f>
        <v>20.339580000000002</v>
      </c>
      <c r="F60" s="7">
        <f>'Original data'!K60</f>
        <v>138.02576999999999</v>
      </c>
      <c r="G60" s="7">
        <f>'Original data'!N60</f>
        <v>21.337800000000001</v>
      </c>
      <c r="H60" s="7">
        <f>'Original data'!Q60</f>
        <v>6.6327800000000003</v>
      </c>
      <c r="I60" s="7"/>
      <c r="J60" s="2"/>
      <c r="K60" s="2"/>
      <c r="L60" s="2"/>
      <c r="M60" s="2"/>
      <c r="N60" s="2"/>
      <c r="O60" s="2"/>
      <c r="P60" s="6"/>
      <c r="Q60" s="4"/>
    </row>
    <row r="61" spans="1:25" x14ac:dyDescent="0.3">
      <c r="A61" s="7" t="s">
        <v>16</v>
      </c>
      <c r="B61" s="7">
        <v>100</v>
      </c>
      <c r="C61" s="7">
        <v>1</v>
      </c>
      <c r="D61" s="7">
        <f>'Original data'!E61</f>
        <v>23.387260000000001</v>
      </c>
      <c r="E61" s="7">
        <f>'Original data'!H61</f>
        <v>13.76383</v>
      </c>
      <c r="F61" s="7">
        <f>'Original data'!K61</f>
        <v>138.91112000000001</v>
      </c>
      <c r="G61" s="7">
        <f>'Original data'!N61</f>
        <v>26.337859999999999</v>
      </c>
      <c r="H61" s="7">
        <f>'Original data'!Q61</f>
        <v>7.2030700000000003</v>
      </c>
      <c r="I61" s="7"/>
      <c r="J61" s="2"/>
      <c r="K61" s="2"/>
      <c r="L61" s="2"/>
      <c r="M61" s="2"/>
      <c r="N61" s="2"/>
      <c r="O61" s="2"/>
      <c r="P61" s="6"/>
      <c r="Q61" s="4"/>
    </row>
    <row r="62" spans="1:25" x14ac:dyDescent="0.3">
      <c r="A62" s="7" t="s">
        <v>17</v>
      </c>
      <c r="B62" s="7">
        <v>24</v>
      </c>
      <c r="C62" s="7">
        <v>1</v>
      </c>
      <c r="D62" s="7">
        <f>'Original data'!E62</f>
        <v>3.3553799999999998</v>
      </c>
      <c r="E62" s="7">
        <f>'Original data'!H62</f>
        <v>3.3247499999999999</v>
      </c>
      <c r="F62" s="7">
        <f>'Original data'!K62</f>
        <v>4.29331</v>
      </c>
      <c r="G62" s="7">
        <f>'Original data'!N62</f>
        <v>1.47522</v>
      </c>
      <c r="H62" s="7">
        <f>'Original data'!Q62</f>
        <v>1.3213200000000001</v>
      </c>
      <c r="I62" s="7"/>
      <c r="J62" s="2"/>
      <c r="K62" s="2"/>
      <c r="L62" s="2"/>
      <c r="M62" s="2"/>
      <c r="N62" s="2"/>
      <c r="O62" s="2"/>
      <c r="P62" s="6"/>
      <c r="Q62" s="4"/>
    </row>
    <row r="63" spans="1:25" x14ac:dyDescent="0.3">
      <c r="A63" s="7" t="s">
        <v>17</v>
      </c>
      <c r="B63" s="7">
        <v>24</v>
      </c>
      <c r="C63" s="7">
        <v>1</v>
      </c>
      <c r="D63" s="7">
        <f>'Original data'!E63</f>
        <v>3.5230399999999999</v>
      </c>
      <c r="E63" s="7">
        <f>'Original data'!H63</f>
        <v>2.4340000000000002</v>
      </c>
      <c r="F63" s="7">
        <f>'Original data'!K63</f>
        <v>4.3413599999999999</v>
      </c>
      <c r="G63" s="7">
        <f>'Original data'!N63</f>
        <v>2.0103</v>
      </c>
      <c r="H63" s="7">
        <f>'Original data'!Q63</f>
        <v>0.89002000000000003</v>
      </c>
      <c r="I63" s="7"/>
      <c r="J63" s="2"/>
      <c r="K63" s="2"/>
      <c r="L63" s="2"/>
      <c r="M63" s="2"/>
      <c r="N63" s="2"/>
      <c r="O63" s="2"/>
      <c r="P63" s="6"/>
      <c r="Q63" s="4"/>
    </row>
    <row r="64" spans="1:25" x14ac:dyDescent="0.3">
      <c r="A64" s="7" t="s">
        <v>17</v>
      </c>
      <c r="B64" s="7">
        <v>24</v>
      </c>
      <c r="C64" s="7">
        <v>1</v>
      </c>
      <c r="D64" s="7">
        <f>'Original data'!E64</f>
        <v>3.4655100000000001</v>
      </c>
      <c r="E64" s="7">
        <f>'Original data'!H64</f>
        <v>2.54182</v>
      </c>
      <c r="F64" s="7">
        <f>'Original data'!K64</f>
        <v>4.3597900000000003</v>
      </c>
      <c r="G64" s="7">
        <f>'Original data'!N64</f>
        <v>1.88801</v>
      </c>
      <c r="H64" s="7">
        <f>'Original data'!Q64</f>
        <v>1.01583</v>
      </c>
      <c r="I64" s="7"/>
      <c r="J64" s="2"/>
      <c r="K64" s="2"/>
      <c r="L64" s="2"/>
      <c r="M64" s="2"/>
      <c r="N64" s="2"/>
      <c r="O64" s="2"/>
      <c r="P64" s="6"/>
      <c r="Q64" s="4"/>
    </row>
    <row r="65" spans="1:17" x14ac:dyDescent="0.3">
      <c r="A65" s="7" t="s">
        <v>17</v>
      </c>
      <c r="B65" s="7">
        <v>24</v>
      </c>
      <c r="C65" s="7">
        <v>1</v>
      </c>
      <c r="D65" s="7">
        <f>'Original data'!E65</f>
        <v>3.4428800000000002</v>
      </c>
      <c r="E65" s="7">
        <f>'Original data'!H65</f>
        <v>3.4179499999999998</v>
      </c>
      <c r="F65" s="7">
        <f>'Original data'!K65</f>
        <v>4.42265</v>
      </c>
      <c r="G65" s="7">
        <f>'Original data'!N65</f>
        <v>1.4067700000000001</v>
      </c>
      <c r="H65" s="7">
        <f>'Original data'!Q65</f>
        <v>1.1169500000000001</v>
      </c>
      <c r="I65" s="7"/>
      <c r="J65" s="2"/>
      <c r="K65" s="2"/>
      <c r="L65" s="2"/>
      <c r="M65" s="2"/>
      <c r="N65" s="2"/>
      <c r="O65" s="2"/>
      <c r="P65" s="6"/>
      <c r="Q65" s="4"/>
    </row>
    <row r="66" spans="1:17" x14ac:dyDescent="0.3">
      <c r="A66" s="7" t="s">
        <v>17</v>
      </c>
      <c r="B66" s="7">
        <v>24</v>
      </c>
      <c r="C66" s="7">
        <v>1</v>
      </c>
      <c r="D66" s="7">
        <f>'Original data'!E66</f>
        <v>4.0347600000000003</v>
      </c>
      <c r="E66" s="7">
        <f>'Original data'!H66</f>
        <v>4.0460700000000003</v>
      </c>
      <c r="F66" s="7">
        <f>'Original data'!K66</f>
        <v>4.3357700000000001</v>
      </c>
      <c r="G66" s="7">
        <f>'Original data'!N66</f>
        <v>1.6185</v>
      </c>
      <c r="H66" s="7">
        <f>'Original data'!Q66</f>
        <v>1.4847399999999999</v>
      </c>
      <c r="I66" s="7"/>
      <c r="J66" s="2"/>
      <c r="K66" s="2"/>
      <c r="L66" s="2"/>
      <c r="M66" s="2"/>
      <c r="N66" s="2"/>
      <c r="O66" s="2"/>
      <c r="P66" s="6"/>
      <c r="Q66" s="4"/>
    </row>
    <row r="67" spans="1:17" x14ac:dyDescent="0.3">
      <c r="A67" s="7" t="s">
        <v>17</v>
      </c>
      <c r="B67" s="7">
        <v>24</v>
      </c>
      <c r="C67" s="7">
        <v>1</v>
      </c>
      <c r="D67" s="7">
        <f>'Original data'!E67</f>
        <v>3.3869199999999999</v>
      </c>
      <c r="E67" s="7">
        <f>'Original data'!H67</f>
        <v>3.9490500000000002</v>
      </c>
      <c r="F67" s="7">
        <f>'Original data'!K67</f>
        <v>4.2593300000000003</v>
      </c>
      <c r="G67" s="7">
        <f>'Original data'!N67</f>
        <v>2.3249300000000002</v>
      </c>
      <c r="H67" s="7">
        <f>'Original data'!Q67</f>
        <v>1.2740100000000001</v>
      </c>
      <c r="I67" s="7"/>
      <c r="J67" s="2"/>
      <c r="K67" s="2"/>
      <c r="L67" s="2"/>
      <c r="M67" s="2"/>
      <c r="N67" s="2"/>
      <c r="O67" s="2"/>
      <c r="P67" s="6"/>
      <c r="Q67" s="4"/>
    </row>
    <row r="68" spans="1:17" x14ac:dyDescent="0.3">
      <c r="A68" s="7" t="s">
        <v>17</v>
      </c>
      <c r="B68" s="7">
        <v>24</v>
      </c>
      <c r="C68" s="7">
        <v>1</v>
      </c>
      <c r="D68" s="7">
        <f>'Original data'!E68</f>
        <v>7.6871799999999997</v>
      </c>
      <c r="E68" s="7">
        <f>'Original data'!H68</f>
        <v>4.5393600000000003</v>
      </c>
      <c r="F68" s="7">
        <f>'Original data'!K68</f>
        <v>4.1867700000000001</v>
      </c>
      <c r="G68" s="7">
        <f>'Original data'!N68</f>
        <v>2.1343899999999998</v>
      </c>
      <c r="H68" s="7">
        <f>'Original data'!Q68</f>
        <v>1.1697299999999999</v>
      </c>
      <c r="I68" s="7"/>
      <c r="J68" s="2"/>
      <c r="K68" s="2"/>
      <c r="L68" s="2"/>
      <c r="M68" s="2"/>
      <c r="N68" s="2"/>
      <c r="O68" s="2"/>
      <c r="P68" s="6"/>
      <c r="Q68" s="4"/>
    </row>
    <row r="69" spans="1:17" x14ac:dyDescent="0.3">
      <c r="A69" s="7" t="s">
        <v>17</v>
      </c>
      <c r="B69" s="7">
        <v>24</v>
      </c>
      <c r="C69" s="7">
        <v>1</v>
      </c>
      <c r="D69" s="7">
        <f>'Original data'!E69</f>
        <v>3.3595100000000002</v>
      </c>
      <c r="E69" s="7">
        <f>'Original data'!H69</f>
        <v>3.3489800000000001</v>
      </c>
      <c r="F69" s="7">
        <f>'Original data'!K69</f>
        <v>4.2674700000000003</v>
      </c>
      <c r="G69" s="7">
        <f>'Original data'!N69</f>
        <v>1.9822</v>
      </c>
      <c r="H69" s="7">
        <f>'Original data'!Q69</f>
        <v>1.05471</v>
      </c>
      <c r="I69" s="7"/>
      <c r="J69" s="2"/>
      <c r="K69" s="2"/>
      <c r="L69" s="2"/>
      <c r="M69" s="2"/>
      <c r="N69" s="2"/>
      <c r="O69" s="2"/>
      <c r="P69" s="6"/>
      <c r="Q69" s="4"/>
    </row>
    <row r="70" spans="1:17" x14ac:dyDescent="0.3">
      <c r="A70" s="7" t="s">
        <v>17</v>
      </c>
      <c r="B70" s="7">
        <v>24</v>
      </c>
      <c r="C70" s="7">
        <v>1</v>
      </c>
      <c r="D70" s="7">
        <f>'Original data'!E70</f>
        <v>5.6286199999999997</v>
      </c>
      <c r="E70" s="7">
        <f>'Original data'!H70</f>
        <v>3.0003799999999998</v>
      </c>
      <c r="F70" s="7">
        <f>'Original data'!K70</f>
        <v>4.3047199999999997</v>
      </c>
      <c r="G70" s="7">
        <f>'Original data'!N70</f>
        <v>1.55904</v>
      </c>
      <c r="H70" s="7">
        <f>'Original data'!Q70</f>
        <v>0.76854</v>
      </c>
      <c r="I70" s="7"/>
      <c r="J70" s="2"/>
      <c r="K70" s="2"/>
      <c r="L70" s="2"/>
      <c r="M70" s="2"/>
      <c r="N70" s="2"/>
      <c r="O70" s="2"/>
      <c r="P70" s="6"/>
      <c r="Q70" s="4"/>
    </row>
    <row r="71" spans="1:17" x14ac:dyDescent="0.3">
      <c r="A71" s="7" t="s">
        <v>17</v>
      </c>
      <c r="B71" s="7">
        <v>24</v>
      </c>
      <c r="C71" s="7">
        <v>1</v>
      </c>
      <c r="D71" s="7">
        <f>'Original data'!E71</f>
        <v>3.3304900000000002</v>
      </c>
      <c r="E71" s="7">
        <f>'Original data'!H71</f>
        <v>2.9490799999999999</v>
      </c>
      <c r="F71" s="7">
        <f>'Original data'!K71</f>
        <v>4.3405699999999996</v>
      </c>
      <c r="G71" s="7">
        <f>'Original data'!N71</f>
        <v>1.6013599999999999</v>
      </c>
      <c r="H71" s="7">
        <f>'Original data'!Q71</f>
        <v>1.18198</v>
      </c>
      <c r="I71" s="7"/>
      <c r="J71" s="2"/>
      <c r="K71" s="2"/>
      <c r="L71" s="2"/>
      <c r="M71" s="2"/>
      <c r="N71" s="2"/>
      <c r="O71" s="2"/>
      <c r="P71" s="6"/>
      <c r="Q71" s="4"/>
    </row>
    <row r="72" spans="1:17" x14ac:dyDescent="0.3">
      <c r="A72" s="7" t="s">
        <v>17</v>
      </c>
      <c r="B72" s="7">
        <v>47</v>
      </c>
      <c r="C72" s="7">
        <v>1</v>
      </c>
      <c r="D72" s="7">
        <f>'Original data'!E72</f>
        <v>20.060169999999999</v>
      </c>
      <c r="E72" s="7">
        <f>'Original data'!H72</f>
        <v>5.23576</v>
      </c>
      <c r="F72" s="7">
        <f>'Original data'!K72</f>
        <v>13.01163</v>
      </c>
      <c r="G72" s="7">
        <f>'Original data'!N72</f>
        <v>4.9675799999999999</v>
      </c>
      <c r="H72" s="7">
        <f>'Original data'!Q72</f>
        <v>0.88190999999999997</v>
      </c>
      <c r="I72" s="7"/>
      <c r="J72" s="2"/>
      <c r="K72" s="2"/>
      <c r="L72" s="2"/>
      <c r="M72" s="2"/>
      <c r="N72" s="2"/>
      <c r="O72" s="2"/>
      <c r="P72" s="6"/>
      <c r="Q72" s="4"/>
    </row>
    <row r="73" spans="1:17" x14ac:dyDescent="0.3">
      <c r="A73" s="7" t="s">
        <v>17</v>
      </c>
      <c r="B73" s="7">
        <v>47</v>
      </c>
      <c r="C73" s="7">
        <v>1</v>
      </c>
      <c r="D73" s="7">
        <f>'Original data'!E73</f>
        <v>8.1469299999999993</v>
      </c>
      <c r="E73" s="7">
        <f>'Original data'!H73</f>
        <v>6.3810700000000002</v>
      </c>
      <c r="F73" s="7">
        <f>'Original data'!K73</f>
        <v>13.272019999999999</v>
      </c>
      <c r="G73" s="7">
        <f>'Original data'!N73</f>
        <v>4.5850999999999997</v>
      </c>
      <c r="H73" s="7">
        <f>'Original data'!Q73</f>
        <v>2.4716</v>
      </c>
      <c r="I73" s="7"/>
      <c r="J73" s="2"/>
      <c r="K73" s="2"/>
      <c r="L73" s="2"/>
      <c r="M73" s="2"/>
      <c r="N73" s="2"/>
      <c r="O73" s="2"/>
      <c r="P73" s="6"/>
      <c r="Q73" s="4"/>
    </row>
    <row r="74" spans="1:17" x14ac:dyDescent="0.3">
      <c r="A74" s="7" t="s">
        <v>17</v>
      </c>
      <c r="B74" s="7">
        <v>47</v>
      </c>
      <c r="C74" s="7">
        <v>1</v>
      </c>
      <c r="D74" s="7">
        <f>'Original data'!E74</f>
        <v>9.2221499999999992</v>
      </c>
      <c r="E74" s="7">
        <f>'Original data'!H74</f>
        <v>6.7819500000000001</v>
      </c>
      <c r="F74" s="7">
        <f>'Original data'!K74</f>
        <v>13.35263</v>
      </c>
      <c r="G74" s="7">
        <f>'Original data'!N74</f>
        <v>6.20878</v>
      </c>
      <c r="H74" s="7">
        <f>'Original data'!Q74</f>
        <v>0.88199000000000005</v>
      </c>
      <c r="I74" s="7"/>
      <c r="J74" s="2"/>
      <c r="K74" s="2"/>
      <c r="L74" s="2"/>
      <c r="M74" s="2"/>
      <c r="N74" s="2"/>
      <c r="O74" s="2"/>
      <c r="P74" s="6"/>
      <c r="Q74" s="4"/>
    </row>
    <row r="75" spans="1:17" x14ac:dyDescent="0.3">
      <c r="A75" s="7" t="s">
        <v>17</v>
      </c>
      <c r="B75" s="7">
        <v>47</v>
      </c>
      <c r="C75" s="7">
        <v>1</v>
      </c>
      <c r="D75" s="7">
        <f>'Original data'!E75</f>
        <v>7.8890900000000004</v>
      </c>
      <c r="E75" s="7">
        <f>'Original data'!H75</f>
        <v>12.45978</v>
      </c>
      <c r="F75" s="7">
        <f>'Original data'!K75</f>
        <v>13.1709</v>
      </c>
      <c r="G75" s="7">
        <f>'Original data'!N75</f>
        <v>5.7944300000000002</v>
      </c>
      <c r="H75" s="7">
        <f>'Original data'!Q75</f>
        <v>0.86943999999999999</v>
      </c>
      <c r="I75" s="7"/>
      <c r="J75" s="2"/>
      <c r="K75" s="2"/>
      <c r="L75" s="2"/>
      <c r="M75" s="2"/>
      <c r="N75" s="2"/>
      <c r="O75" s="2"/>
      <c r="P75" s="6"/>
      <c r="Q75" s="4"/>
    </row>
    <row r="76" spans="1:17" x14ac:dyDescent="0.3">
      <c r="A76" s="7" t="s">
        <v>17</v>
      </c>
      <c r="B76" s="7">
        <v>47</v>
      </c>
      <c r="C76" s="7">
        <v>1</v>
      </c>
      <c r="D76" s="7">
        <f>'Original data'!E76</f>
        <v>16.081019999999999</v>
      </c>
      <c r="E76" s="7">
        <f>'Original data'!H76</f>
        <v>4.9458900000000003</v>
      </c>
      <c r="F76" s="7">
        <f>'Original data'!K76</f>
        <v>13.10247</v>
      </c>
      <c r="G76" s="7">
        <f>'Original data'!N76</f>
        <v>4.5084400000000002</v>
      </c>
      <c r="H76" s="7">
        <f>'Original data'!Q76</f>
        <v>0.89651999999999998</v>
      </c>
      <c r="I76" s="7"/>
      <c r="J76" s="2"/>
      <c r="K76" s="2"/>
      <c r="L76" s="2"/>
      <c r="M76" s="2"/>
      <c r="N76" s="2"/>
      <c r="O76" s="2"/>
      <c r="P76" s="6"/>
      <c r="Q76" s="4"/>
    </row>
    <row r="77" spans="1:17" x14ac:dyDescent="0.3">
      <c r="A77" s="7" t="s">
        <v>17</v>
      </c>
      <c r="B77" s="7">
        <v>47</v>
      </c>
      <c r="C77" s="7">
        <v>1</v>
      </c>
      <c r="D77" s="7">
        <f>'Original data'!E77</f>
        <v>8.1940200000000001</v>
      </c>
      <c r="E77" s="7">
        <f>'Original data'!H77</f>
        <v>9.0663099999999996</v>
      </c>
      <c r="F77" s="7">
        <f>'Original data'!K77</f>
        <v>13.11218</v>
      </c>
      <c r="G77" s="7">
        <f>'Original data'!N77</f>
        <v>4.8571299999999997</v>
      </c>
      <c r="H77" s="7">
        <f>'Original data'!Q77</f>
        <v>0.89761999999999997</v>
      </c>
      <c r="I77" s="7"/>
      <c r="J77" s="2"/>
      <c r="K77" s="2"/>
      <c r="L77" s="2"/>
      <c r="M77" s="2"/>
      <c r="N77" s="2"/>
      <c r="O77" s="2"/>
      <c r="P77" s="6"/>
      <c r="Q77" s="4"/>
    </row>
    <row r="78" spans="1:17" x14ac:dyDescent="0.3">
      <c r="A78" s="7" t="s">
        <v>17</v>
      </c>
      <c r="B78" s="7">
        <v>47</v>
      </c>
      <c r="C78" s="7">
        <v>1</v>
      </c>
      <c r="D78" s="7">
        <f>'Original data'!E78</f>
        <v>10.24761</v>
      </c>
      <c r="E78" s="7">
        <f>'Original data'!H78</f>
        <v>7.3400299999999996</v>
      </c>
      <c r="F78" s="7">
        <f>'Original data'!K78</f>
        <v>12.88767</v>
      </c>
      <c r="G78" s="7">
        <f>'Original data'!N78</f>
        <v>5.31595</v>
      </c>
      <c r="H78" s="7">
        <f>'Original data'!Q78</f>
        <v>0.89688999999999997</v>
      </c>
      <c r="I78" s="7"/>
      <c r="J78" s="2"/>
      <c r="K78" s="2"/>
      <c r="L78" s="2"/>
      <c r="M78" s="2"/>
      <c r="N78" s="2"/>
      <c r="O78" s="2"/>
      <c r="P78" s="6"/>
      <c r="Q78" s="4"/>
    </row>
    <row r="79" spans="1:17" x14ac:dyDescent="0.3">
      <c r="A79" s="7" t="s">
        <v>17</v>
      </c>
      <c r="B79" s="7">
        <v>47</v>
      </c>
      <c r="C79" s="7">
        <v>1</v>
      </c>
      <c r="D79" s="7">
        <f>'Original data'!E79</f>
        <v>10.58323</v>
      </c>
      <c r="E79" s="7">
        <f>'Original data'!H79</f>
        <v>5.6729399999999996</v>
      </c>
      <c r="F79" s="7">
        <f>'Original data'!K79</f>
        <v>13.55181</v>
      </c>
      <c r="G79" s="7">
        <f>'Original data'!N79</f>
        <v>4.4317900000000003</v>
      </c>
      <c r="H79" s="7">
        <f>'Original data'!Q79</f>
        <v>0.86626000000000003</v>
      </c>
      <c r="I79" s="7"/>
      <c r="J79" s="2"/>
      <c r="K79" s="2"/>
      <c r="L79" s="2"/>
      <c r="M79" s="2"/>
      <c r="N79" s="2"/>
      <c r="O79" s="2"/>
      <c r="P79" s="6"/>
      <c r="Q79" s="4"/>
    </row>
    <row r="80" spans="1:17" x14ac:dyDescent="0.3">
      <c r="A80" s="7" t="s">
        <v>17</v>
      </c>
      <c r="B80" s="7">
        <v>47</v>
      </c>
      <c r="C80" s="7">
        <v>1</v>
      </c>
      <c r="D80" s="7">
        <f>'Original data'!E80</f>
        <v>18.26201</v>
      </c>
      <c r="E80" s="7">
        <f>'Original data'!H80</f>
        <v>6.1237399999999997</v>
      </c>
      <c r="F80" s="7">
        <f>'Original data'!K80</f>
        <v>12.989710000000001</v>
      </c>
      <c r="G80" s="7">
        <f>'Original data'!N80</f>
        <v>4.0620799999999999</v>
      </c>
      <c r="H80" s="7">
        <f>'Original data'!Q80</f>
        <v>3.3081</v>
      </c>
      <c r="I80" s="7"/>
      <c r="J80" s="2"/>
      <c r="K80" s="2"/>
      <c r="L80" s="2"/>
      <c r="M80" s="2"/>
      <c r="N80" s="2"/>
      <c r="O80" s="2"/>
      <c r="P80" s="6"/>
      <c r="Q80" s="4"/>
    </row>
    <row r="81" spans="1:17" x14ac:dyDescent="0.3">
      <c r="A81" s="7" t="s">
        <v>17</v>
      </c>
      <c r="B81" s="7">
        <v>47</v>
      </c>
      <c r="C81" s="7">
        <v>1</v>
      </c>
      <c r="D81" s="7">
        <f>'Original data'!E81</f>
        <v>7.4887100000000002</v>
      </c>
      <c r="E81" s="7">
        <f>'Original data'!H81</f>
        <v>4.5307000000000004</v>
      </c>
      <c r="F81" s="7">
        <f>'Original data'!K81</f>
        <v>13.44182</v>
      </c>
      <c r="G81" s="7">
        <f>'Original data'!N81</f>
        <v>5.9588000000000001</v>
      </c>
      <c r="H81" s="7">
        <f>'Original data'!Q81</f>
        <v>0.89981999999999995</v>
      </c>
      <c r="I81" s="7"/>
      <c r="J81" s="2"/>
      <c r="K81" s="2"/>
      <c r="L81" s="2"/>
      <c r="M81" s="2"/>
      <c r="N81" s="2"/>
      <c r="O81" s="2"/>
      <c r="P81" s="6"/>
      <c r="Q81" s="4"/>
    </row>
    <row r="82" spans="1:17" x14ac:dyDescent="0.3">
      <c r="A82" s="7" t="s">
        <v>17</v>
      </c>
      <c r="B82" s="7">
        <v>100</v>
      </c>
      <c r="C82" s="7">
        <v>1</v>
      </c>
      <c r="D82" s="7">
        <f>'Original data'!E82</f>
        <v>22.03557</v>
      </c>
      <c r="E82" s="7">
        <f>'Original data'!H82</f>
        <v>31.97842</v>
      </c>
      <c r="F82" s="7">
        <f>'Original data'!K82</f>
        <v>54.753300000000003</v>
      </c>
      <c r="G82" s="7">
        <f>'Original data'!N82</f>
        <v>10.31073</v>
      </c>
      <c r="H82" s="7">
        <f>'Original data'!Q82</f>
        <v>3.9555799999999999</v>
      </c>
      <c r="I82" s="7"/>
      <c r="J82" s="2"/>
      <c r="K82" s="2"/>
      <c r="L82" s="2"/>
      <c r="M82" s="2"/>
      <c r="N82" s="2"/>
      <c r="O82" s="2"/>
      <c r="P82" s="6"/>
      <c r="Q82" s="4"/>
    </row>
    <row r="83" spans="1:17" x14ac:dyDescent="0.3">
      <c r="A83" s="7" t="s">
        <v>17</v>
      </c>
      <c r="B83" s="7">
        <v>100</v>
      </c>
      <c r="C83" s="7">
        <v>1</v>
      </c>
      <c r="D83" s="7">
        <f>'Original data'!E83</f>
        <v>23.107510000000001</v>
      </c>
      <c r="E83" s="7">
        <f>'Original data'!H83</f>
        <v>16.039709999999999</v>
      </c>
      <c r="F83" s="7">
        <f>'Original data'!K83</f>
        <v>55.477539999999998</v>
      </c>
      <c r="G83" s="7">
        <f>'Original data'!N83</f>
        <v>23.775010000000002</v>
      </c>
      <c r="H83" s="7">
        <f>'Original data'!Q83</f>
        <v>4.03566</v>
      </c>
      <c r="I83" s="7"/>
      <c r="J83" s="2"/>
      <c r="K83" s="2"/>
      <c r="L83" s="2"/>
      <c r="M83" s="2"/>
      <c r="N83" s="2"/>
      <c r="O83" s="2"/>
      <c r="P83" s="6"/>
      <c r="Q83" s="4"/>
    </row>
    <row r="84" spans="1:17" x14ac:dyDescent="0.3">
      <c r="A84" s="7" t="s">
        <v>17</v>
      </c>
      <c r="B84" s="7">
        <v>100</v>
      </c>
      <c r="C84" s="7">
        <v>1</v>
      </c>
      <c r="D84" s="7">
        <f>'Original data'!E84</f>
        <v>22.588270000000001</v>
      </c>
      <c r="E84" s="7">
        <f>'Original data'!H84</f>
        <v>53.436869999999999</v>
      </c>
      <c r="F84" s="7">
        <f>'Original data'!K84</f>
        <v>55.752809999999997</v>
      </c>
      <c r="G84" s="7">
        <f>'Original data'!N84</f>
        <v>10.32258</v>
      </c>
      <c r="H84" s="7">
        <f>'Original data'!Q84</f>
        <v>4.0947500000000003</v>
      </c>
      <c r="I84" s="7"/>
      <c r="J84" s="2"/>
      <c r="K84" s="2"/>
      <c r="L84" s="2"/>
      <c r="M84" s="2"/>
      <c r="N84" s="2"/>
      <c r="O84" s="2"/>
      <c r="P84" s="6"/>
      <c r="Q84" s="4"/>
    </row>
    <row r="85" spans="1:17" x14ac:dyDescent="0.3">
      <c r="A85" s="7" t="s">
        <v>17</v>
      </c>
      <c r="B85" s="7">
        <v>100</v>
      </c>
      <c r="C85" s="7">
        <v>1</v>
      </c>
      <c r="D85" s="7">
        <f>'Original data'!E85</f>
        <v>20.43751</v>
      </c>
      <c r="E85" s="7">
        <f>'Original data'!H85</f>
        <v>21.570530000000002</v>
      </c>
      <c r="F85" s="7">
        <f>'Original data'!K85</f>
        <v>54.18112</v>
      </c>
      <c r="G85" s="7">
        <f>'Original data'!N85</f>
        <v>11.31002</v>
      </c>
      <c r="H85" s="7">
        <f>'Original data'!Q85</f>
        <v>4.0036199999999997</v>
      </c>
      <c r="I85" s="7"/>
      <c r="J85" s="2"/>
      <c r="K85" s="2"/>
      <c r="L85" s="2"/>
      <c r="M85" s="2"/>
      <c r="N85" s="2"/>
      <c r="O85" s="2"/>
      <c r="P85" s="6"/>
      <c r="Q85" s="4"/>
    </row>
    <row r="86" spans="1:17" x14ac:dyDescent="0.3">
      <c r="A86" s="7" t="s">
        <v>17</v>
      </c>
      <c r="B86" s="7">
        <v>100</v>
      </c>
      <c r="C86" s="7">
        <v>1</v>
      </c>
      <c r="D86" s="7">
        <f>'Original data'!E86</f>
        <v>20.963619999999999</v>
      </c>
      <c r="E86" s="7">
        <f>'Original data'!H86</f>
        <v>31.20795</v>
      </c>
      <c r="F86" s="7">
        <f>'Original data'!K86</f>
        <v>56.235329999999998</v>
      </c>
      <c r="G86" s="7">
        <f>'Original data'!N86</f>
        <v>12.8345</v>
      </c>
      <c r="H86" s="7">
        <f>'Original data'!Q86</f>
        <v>3.9708199999999998</v>
      </c>
      <c r="I86" s="7"/>
      <c r="J86" s="2"/>
      <c r="K86" s="2"/>
      <c r="L86" s="2"/>
      <c r="M86" s="2"/>
      <c r="N86" s="2"/>
      <c r="O86" s="2"/>
      <c r="P86" s="6"/>
      <c r="Q86" s="4"/>
    </row>
    <row r="87" spans="1:17" x14ac:dyDescent="0.3">
      <c r="A87" s="7" t="s">
        <v>17</v>
      </c>
      <c r="B87" s="7">
        <v>100</v>
      </c>
      <c r="C87" s="7">
        <v>1</v>
      </c>
      <c r="D87" s="7">
        <f>'Original data'!E87</f>
        <v>22.546669999999999</v>
      </c>
      <c r="E87" s="7">
        <f>'Original data'!H87</f>
        <v>22.691410000000001</v>
      </c>
      <c r="F87" s="7">
        <f>'Original data'!K87</f>
        <v>54.335369999999998</v>
      </c>
      <c r="G87" s="7">
        <f>'Original data'!N87</f>
        <v>17.554089999999999</v>
      </c>
      <c r="H87" s="7">
        <f>'Original data'!Q87</f>
        <v>4.0455800000000002</v>
      </c>
      <c r="I87" s="7"/>
      <c r="J87" s="2"/>
      <c r="K87" s="2"/>
      <c r="L87" s="2"/>
      <c r="M87" s="2"/>
      <c r="N87" s="2"/>
      <c r="O87" s="2"/>
      <c r="P87" s="6"/>
      <c r="Q87" s="4"/>
    </row>
    <row r="88" spans="1:17" x14ac:dyDescent="0.3">
      <c r="A88" s="7" t="s">
        <v>17</v>
      </c>
      <c r="B88" s="7">
        <v>100</v>
      </c>
      <c r="C88" s="7">
        <v>1</v>
      </c>
      <c r="D88" s="7">
        <f>'Original data'!E88</f>
        <v>21.393910000000002</v>
      </c>
      <c r="E88" s="7">
        <f>'Original data'!H88</f>
        <v>25.628440000000001</v>
      </c>
      <c r="F88" s="7">
        <f>'Original data'!K88</f>
        <v>56.60971</v>
      </c>
      <c r="G88" s="7">
        <f>'Original data'!N88</f>
        <v>10.88191</v>
      </c>
      <c r="H88" s="7">
        <f>'Original data'!Q88</f>
        <v>3.9929000000000001</v>
      </c>
      <c r="I88" s="7"/>
      <c r="J88" s="2"/>
      <c r="K88" s="2"/>
      <c r="L88" s="2"/>
      <c r="M88" s="2"/>
      <c r="N88" s="2"/>
      <c r="O88" s="2"/>
      <c r="P88" s="6"/>
      <c r="Q88" s="4"/>
    </row>
    <row r="89" spans="1:17" x14ac:dyDescent="0.3">
      <c r="A89" s="7" t="s">
        <v>17</v>
      </c>
      <c r="B89" s="7">
        <v>100</v>
      </c>
      <c r="C89" s="7">
        <v>1</v>
      </c>
      <c r="D89" s="7">
        <f>'Original data'!E89</f>
        <v>21.558350000000001</v>
      </c>
      <c r="E89" s="7">
        <f>'Original data'!H89</f>
        <v>21.136389999999999</v>
      </c>
      <c r="F89" s="7">
        <f>'Original data'!K89</f>
        <v>52.257109999999997</v>
      </c>
      <c r="G89" s="7">
        <f>'Original data'!N89</f>
        <v>11.282970000000001</v>
      </c>
      <c r="H89" s="7">
        <f>'Original data'!Q89</f>
        <v>16.75442</v>
      </c>
      <c r="I89" s="7"/>
      <c r="J89" s="2"/>
      <c r="K89" s="2"/>
      <c r="L89" s="2"/>
      <c r="M89" s="2"/>
      <c r="N89" s="2"/>
      <c r="O89" s="2"/>
      <c r="P89" s="6"/>
      <c r="Q89" s="4"/>
    </row>
    <row r="90" spans="1:17" x14ac:dyDescent="0.3">
      <c r="A90" s="7" t="s">
        <v>17</v>
      </c>
      <c r="B90" s="7">
        <v>100</v>
      </c>
      <c r="C90" s="7">
        <v>1</v>
      </c>
      <c r="D90" s="7">
        <f>'Original data'!E90</f>
        <v>21.289449999999999</v>
      </c>
      <c r="E90" s="7">
        <f>'Original data'!H90</f>
        <v>41.042569999999998</v>
      </c>
      <c r="F90" s="7">
        <f>'Original data'!K90</f>
        <v>52.108089999999997</v>
      </c>
      <c r="G90" s="7">
        <f>'Original data'!N90</f>
        <v>10.44397</v>
      </c>
      <c r="H90" s="7">
        <f>'Original data'!Q90</f>
        <v>3.9523000000000001</v>
      </c>
      <c r="I90" s="7"/>
      <c r="J90" s="2"/>
      <c r="K90" s="2"/>
      <c r="L90" s="2"/>
      <c r="M90" s="2"/>
      <c r="N90" s="2"/>
      <c r="O90" s="2"/>
      <c r="P90" s="6"/>
      <c r="Q90" s="4"/>
    </row>
    <row r="91" spans="1:17" x14ac:dyDescent="0.3">
      <c r="A91" s="7" t="s">
        <v>17</v>
      </c>
      <c r="B91" s="7">
        <v>100</v>
      </c>
      <c r="C91" s="7">
        <v>1</v>
      </c>
      <c r="D91" s="7">
        <f>'Original data'!E91</f>
        <v>21.875879999999999</v>
      </c>
      <c r="E91" s="7">
        <f>'Original data'!H91</f>
        <v>32.617759999999997</v>
      </c>
      <c r="F91" s="7">
        <f>'Original data'!K91</f>
        <v>56.209339999999997</v>
      </c>
      <c r="G91" s="7">
        <f>'Original data'!N91</f>
        <v>10.300649999999999</v>
      </c>
      <c r="H91" s="7">
        <f>'Original data'!Q91</f>
        <v>3.9598399999999998</v>
      </c>
      <c r="I91" s="7"/>
      <c r="J91" s="2"/>
      <c r="K91" s="2"/>
      <c r="L91" s="2"/>
      <c r="M91" s="2"/>
      <c r="N91" s="2"/>
      <c r="O91" s="2"/>
      <c r="P91" s="6"/>
      <c r="Q91" s="4"/>
    </row>
    <row r="92" spans="1:17" x14ac:dyDescent="0.3">
      <c r="A92" s="7" t="s">
        <v>18</v>
      </c>
      <c r="B92" s="7">
        <v>30</v>
      </c>
      <c r="C92" s="7">
        <v>1</v>
      </c>
      <c r="D92" s="7">
        <f>'Original data'!E92</f>
        <v>4.1553599999999999</v>
      </c>
      <c r="E92" s="7">
        <f>'Original data'!H92</f>
        <v>7.8107100000000003</v>
      </c>
      <c r="F92" s="7">
        <f>'Original data'!K92</f>
        <v>6.4099599999999999</v>
      </c>
      <c r="G92" s="7">
        <f>'Original data'!N92</f>
        <v>5.7960200000000004</v>
      </c>
      <c r="H92" s="7">
        <f>'Original data'!Q92</f>
        <v>1.3615699999999999</v>
      </c>
      <c r="I92" s="7"/>
      <c r="J92" s="2"/>
      <c r="K92" s="2"/>
      <c r="L92" s="2"/>
      <c r="M92" s="2"/>
      <c r="N92" s="2"/>
      <c r="O92" s="2"/>
      <c r="P92" s="6"/>
      <c r="Q92" s="4"/>
    </row>
    <row r="93" spans="1:17" x14ac:dyDescent="0.3">
      <c r="A93" s="7" t="s">
        <v>18</v>
      </c>
      <c r="B93" s="7">
        <v>30</v>
      </c>
      <c r="C93" s="7">
        <v>1</v>
      </c>
      <c r="D93" s="7">
        <f>'Original data'!E93</f>
        <v>6.1124299999999998</v>
      </c>
      <c r="E93" s="7">
        <f>'Original data'!H93</f>
        <v>7.1732699999999996</v>
      </c>
      <c r="F93" s="7">
        <f>'Original data'!K93</f>
        <v>6.32972</v>
      </c>
      <c r="G93" s="7">
        <f>'Original data'!N93</f>
        <v>2.8785500000000002</v>
      </c>
      <c r="H93" s="7">
        <f>'Original data'!Q93</f>
        <v>2.9912000000000001</v>
      </c>
      <c r="I93" s="7"/>
      <c r="J93" s="2"/>
      <c r="K93" s="2"/>
      <c r="L93" s="2"/>
      <c r="M93" s="2"/>
      <c r="N93" s="2"/>
      <c r="O93" s="2"/>
      <c r="P93" s="6"/>
      <c r="Q93" s="4"/>
    </row>
    <row r="94" spans="1:17" x14ac:dyDescent="0.3">
      <c r="A94" s="7" t="s">
        <v>18</v>
      </c>
      <c r="B94" s="7">
        <v>30</v>
      </c>
      <c r="C94" s="7">
        <v>1</v>
      </c>
      <c r="D94" s="7">
        <f>'Original data'!E94</f>
        <v>8.9494399999999992</v>
      </c>
      <c r="E94" s="7">
        <f>'Original data'!H94</f>
        <v>7.1205999999999996</v>
      </c>
      <c r="F94" s="7">
        <f>'Original data'!K94</f>
        <v>6.3849299999999998</v>
      </c>
      <c r="G94" s="7">
        <f>'Original data'!N94</f>
        <v>1.73912</v>
      </c>
      <c r="H94" s="7">
        <f>'Original data'!Q94</f>
        <v>3.2776900000000002</v>
      </c>
      <c r="I94" s="7"/>
      <c r="J94" s="2"/>
      <c r="K94" s="2"/>
      <c r="L94" s="2"/>
      <c r="M94" s="2"/>
      <c r="N94" s="2"/>
      <c r="O94" s="2"/>
      <c r="P94" s="6"/>
      <c r="Q94" s="4"/>
    </row>
    <row r="95" spans="1:17" x14ac:dyDescent="0.3">
      <c r="A95" s="7" t="s">
        <v>18</v>
      </c>
      <c r="B95" s="7">
        <v>30</v>
      </c>
      <c r="C95" s="7">
        <v>1</v>
      </c>
      <c r="D95" s="7">
        <f>'Original data'!E95</f>
        <v>4.1860299999999997</v>
      </c>
      <c r="E95" s="7">
        <f>'Original data'!H95</f>
        <v>6.5390499999999996</v>
      </c>
      <c r="F95" s="7">
        <f>'Original data'!K95</f>
        <v>6.4259000000000004</v>
      </c>
      <c r="G95" s="7">
        <f>'Original data'!N95</f>
        <v>1.7991200000000001</v>
      </c>
      <c r="H95" s="7">
        <f>'Original data'!Q95</f>
        <v>2.8545799999999999</v>
      </c>
      <c r="I95" s="7"/>
      <c r="J95" s="2"/>
      <c r="K95" s="2"/>
      <c r="L95" s="2"/>
      <c r="M95" s="2"/>
      <c r="N95" s="2"/>
      <c r="O95" s="2"/>
      <c r="P95" s="6"/>
      <c r="Q95" s="4"/>
    </row>
    <row r="96" spans="1:17" x14ac:dyDescent="0.3">
      <c r="A96" s="7" t="s">
        <v>18</v>
      </c>
      <c r="B96" s="7">
        <v>30</v>
      </c>
      <c r="C96" s="7">
        <v>1</v>
      </c>
      <c r="D96" s="7">
        <f>'Original data'!E96</f>
        <v>4.3619199999999996</v>
      </c>
      <c r="E96" s="7">
        <f>'Original data'!H96</f>
        <v>2.8143400000000001</v>
      </c>
      <c r="F96" s="7">
        <f>'Original data'!K96</f>
        <v>7.4955400000000001</v>
      </c>
      <c r="G96" s="7">
        <f>'Original data'!N96</f>
        <v>5.2992299999999997</v>
      </c>
      <c r="H96" s="7">
        <f>'Original data'!Q96</f>
        <v>2.3746999999999998</v>
      </c>
      <c r="I96" s="7"/>
      <c r="J96" s="2"/>
      <c r="K96" s="2"/>
      <c r="L96" s="2"/>
      <c r="M96" s="2"/>
      <c r="N96" s="2"/>
      <c r="O96" s="2"/>
      <c r="P96" s="6"/>
      <c r="Q96" s="4"/>
    </row>
    <row r="97" spans="1:17" x14ac:dyDescent="0.3">
      <c r="A97" s="7" t="s">
        <v>18</v>
      </c>
      <c r="B97" s="7">
        <v>30</v>
      </c>
      <c r="C97" s="7">
        <v>1</v>
      </c>
      <c r="D97" s="7">
        <f>'Original data'!E97</f>
        <v>4.3606299999999996</v>
      </c>
      <c r="E97" s="7">
        <f>'Original data'!H97</f>
        <v>7.1249099999999999</v>
      </c>
      <c r="F97" s="7">
        <f>'Original data'!K97</f>
        <v>6.2961600000000004</v>
      </c>
      <c r="G97" s="7">
        <f>'Original data'!N97</f>
        <v>2.9641700000000002</v>
      </c>
      <c r="H97" s="7">
        <f>'Original data'!Q97</f>
        <v>1.6619999999999999</v>
      </c>
      <c r="I97" s="7"/>
      <c r="J97" s="2"/>
      <c r="K97" s="2"/>
      <c r="L97" s="2"/>
      <c r="M97" s="2"/>
      <c r="N97" s="2"/>
      <c r="O97" s="2"/>
      <c r="P97" s="6"/>
      <c r="Q97" s="4"/>
    </row>
    <row r="98" spans="1:17" x14ac:dyDescent="0.3">
      <c r="A98" s="7" t="s">
        <v>18</v>
      </c>
      <c r="B98" s="7">
        <v>30</v>
      </c>
      <c r="C98" s="7">
        <v>1</v>
      </c>
      <c r="D98" s="7">
        <f>'Original data'!E98</f>
        <v>7.3746999999999998</v>
      </c>
      <c r="E98" s="7">
        <f>'Original data'!H98</f>
        <v>3.0522399999999998</v>
      </c>
      <c r="F98" s="7">
        <f>'Original data'!K98</f>
        <v>6.3315900000000003</v>
      </c>
      <c r="G98" s="7">
        <f>'Original data'!N98</f>
        <v>2.32694</v>
      </c>
      <c r="H98" s="7">
        <f>'Original data'!Q98</f>
        <v>1.2859100000000001</v>
      </c>
      <c r="I98" s="7"/>
      <c r="J98" s="2"/>
      <c r="K98" s="2"/>
      <c r="L98" s="2"/>
      <c r="M98" s="2"/>
      <c r="N98" s="2"/>
      <c r="O98" s="2"/>
      <c r="P98" s="6"/>
      <c r="Q98" s="4"/>
    </row>
    <row r="99" spans="1:17" x14ac:dyDescent="0.3">
      <c r="A99" s="7" t="s">
        <v>18</v>
      </c>
      <c r="B99" s="7">
        <v>30</v>
      </c>
      <c r="C99" s="7">
        <v>1</v>
      </c>
      <c r="D99" s="7">
        <f>'Original data'!E99</f>
        <v>4.2346199999999996</v>
      </c>
      <c r="E99" s="7">
        <f>'Original data'!H99</f>
        <v>2.7278600000000002</v>
      </c>
      <c r="F99" s="7">
        <f>'Original data'!K99</f>
        <v>6.46976</v>
      </c>
      <c r="G99" s="7">
        <f>'Original data'!N99</f>
        <v>3.2307800000000002</v>
      </c>
      <c r="H99" s="7">
        <f>'Original data'!Q99</f>
        <v>1.71454</v>
      </c>
      <c r="I99" s="7"/>
      <c r="J99" s="2"/>
      <c r="K99" s="2"/>
      <c r="L99" s="2"/>
      <c r="M99" s="2"/>
      <c r="N99" s="2"/>
      <c r="O99" s="2"/>
      <c r="P99" s="6"/>
      <c r="Q99" s="4"/>
    </row>
    <row r="100" spans="1:17" x14ac:dyDescent="0.3">
      <c r="A100" s="7" t="s">
        <v>18</v>
      </c>
      <c r="B100" s="7">
        <v>30</v>
      </c>
      <c r="C100" s="7">
        <v>1</v>
      </c>
      <c r="D100" s="7">
        <f>'Original data'!E100</f>
        <v>4.4187900000000004</v>
      </c>
      <c r="E100" s="7">
        <f>'Original data'!H100</f>
        <v>2.84626</v>
      </c>
      <c r="F100" s="7">
        <f>'Original data'!K100</f>
        <v>6.3327200000000001</v>
      </c>
      <c r="G100" s="7">
        <f>'Original data'!N100</f>
        <v>3.4614799999999999</v>
      </c>
      <c r="H100" s="7">
        <f>'Original data'!Q100</f>
        <v>1.69831</v>
      </c>
      <c r="I100" s="7"/>
      <c r="J100" s="2"/>
      <c r="K100" s="2"/>
      <c r="L100" s="2"/>
      <c r="M100" s="2"/>
      <c r="N100" s="2"/>
      <c r="O100" s="2"/>
      <c r="P100" s="6"/>
      <c r="Q100" s="4"/>
    </row>
    <row r="101" spans="1:17" x14ac:dyDescent="0.3">
      <c r="A101" s="7" t="s">
        <v>18</v>
      </c>
      <c r="B101" s="7">
        <v>30</v>
      </c>
      <c r="C101" s="7">
        <v>1</v>
      </c>
      <c r="D101" s="7">
        <f>'Original data'!E101</f>
        <v>3.9982199999999999</v>
      </c>
      <c r="E101" s="7">
        <f>'Original data'!H101</f>
        <v>5.20512</v>
      </c>
      <c r="F101" s="7">
        <f>'Original data'!K101</f>
        <v>6.1755100000000001</v>
      </c>
      <c r="G101" s="7">
        <f>'Original data'!N101</f>
        <v>3.13361</v>
      </c>
      <c r="H101" s="7">
        <f>'Original data'!Q101</f>
        <v>1.9104399999999999</v>
      </c>
      <c r="I101" s="7"/>
      <c r="J101" s="2"/>
      <c r="K101" s="2"/>
      <c r="L101" s="2"/>
      <c r="M101" s="2"/>
      <c r="N101" s="2"/>
      <c r="O101" s="2"/>
      <c r="P101" s="6"/>
      <c r="Q101" s="4"/>
    </row>
    <row r="102" spans="1:17" x14ac:dyDescent="0.3">
      <c r="A102" s="7" t="s">
        <v>18</v>
      </c>
      <c r="B102" s="7">
        <v>50</v>
      </c>
      <c r="C102" s="7">
        <v>1</v>
      </c>
      <c r="D102" s="7">
        <f>'Original data'!E102</f>
        <v>7.5572800000000004</v>
      </c>
      <c r="E102" s="7">
        <f>'Original data'!H102</f>
        <v>7.4140699999999997</v>
      </c>
      <c r="F102" s="7">
        <f>'Original data'!K102</f>
        <v>14.60121</v>
      </c>
      <c r="G102" s="7">
        <f>'Original data'!N102</f>
        <v>16.234190000000002</v>
      </c>
      <c r="H102" s="7">
        <f>'Original data'!Q102</f>
        <v>2.8829400000000001</v>
      </c>
      <c r="I102" s="7"/>
      <c r="J102" s="2"/>
      <c r="K102" s="2"/>
      <c r="L102" s="2"/>
      <c r="M102" s="2"/>
      <c r="N102" s="2"/>
      <c r="O102" s="2"/>
      <c r="P102" s="6"/>
      <c r="Q102" s="4"/>
    </row>
    <row r="103" spans="1:17" x14ac:dyDescent="0.3">
      <c r="A103" s="7" t="s">
        <v>18</v>
      </c>
      <c r="B103" s="7">
        <v>50</v>
      </c>
      <c r="C103" s="7">
        <v>1</v>
      </c>
      <c r="D103" s="7">
        <f>'Original data'!E103</f>
        <v>7.7778099999999997</v>
      </c>
      <c r="E103" s="7">
        <f>'Original data'!H103</f>
        <v>11.953860000000001</v>
      </c>
      <c r="F103" s="7">
        <f>'Original data'!K103</f>
        <v>14.915150000000001</v>
      </c>
      <c r="G103" s="7">
        <f>'Original data'!N103</f>
        <v>14.106</v>
      </c>
      <c r="H103" s="7">
        <f>'Original data'!Q103</f>
        <v>3.5564300000000002</v>
      </c>
      <c r="I103" s="7"/>
      <c r="J103" s="2"/>
      <c r="K103" s="2"/>
      <c r="L103" s="2"/>
      <c r="M103" s="2"/>
      <c r="N103" s="2"/>
      <c r="O103" s="2"/>
      <c r="P103" s="6"/>
      <c r="Q103" s="4"/>
    </row>
    <row r="104" spans="1:17" x14ac:dyDescent="0.3">
      <c r="A104" s="7" t="s">
        <v>18</v>
      </c>
      <c r="B104" s="7">
        <v>50</v>
      </c>
      <c r="C104" s="7">
        <v>1</v>
      </c>
      <c r="D104" s="7">
        <f>'Original data'!E104</f>
        <v>7.6394599999999997</v>
      </c>
      <c r="E104" s="7">
        <f>'Original data'!H104</f>
        <v>10.74119</v>
      </c>
      <c r="F104" s="7">
        <f>'Original data'!K104</f>
        <v>14.88359</v>
      </c>
      <c r="G104" s="7">
        <f>'Original data'!N104</f>
        <v>10.492620000000001</v>
      </c>
      <c r="H104" s="7">
        <f>'Original data'!Q104</f>
        <v>2.351</v>
      </c>
      <c r="I104" s="7"/>
      <c r="J104" s="2"/>
      <c r="K104" s="2"/>
      <c r="L104" s="2"/>
      <c r="M104" s="2"/>
      <c r="N104" s="2"/>
      <c r="O104" s="2"/>
      <c r="P104" s="6"/>
      <c r="Q104" s="4"/>
    </row>
    <row r="105" spans="1:17" x14ac:dyDescent="0.3">
      <c r="A105" s="7" t="s">
        <v>18</v>
      </c>
      <c r="B105" s="7">
        <v>50</v>
      </c>
      <c r="C105" s="7">
        <v>1</v>
      </c>
      <c r="D105" s="7">
        <f>'Original data'!E105</f>
        <v>7.9121499999999996</v>
      </c>
      <c r="E105" s="7">
        <f>'Original data'!H105</f>
        <v>15.306150000000001</v>
      </c>
      <c r="F105" s="7">
        <f>'Original data'!K105</f>
        <v>14.1098</v>
      </c>
      <c r="G105" s="7">
        <f>'Original data'!N105</f>
        <v>12.23124</v>
      </c>
      <c r="H105" s="7">
        <f>'Original data'!Q105</f>
        <v>3.1545299999999998</v>
      </c>
      <c r="I105" s="7"/>
      <c r="J105" s="2"/>
      <c r="K105" s="2"/>
      <c r="L105" s="2"/>
      <c r="M105" s="2"/>
      <c r="N105" s="2"/>
      <c r="O105" s="2"/>
      <c r="P105" s="6"/>
      <c r="Q105" s="4"/>
    </row>
    <row r="106" spans="1:17" x14ac:dyDescent="0.3">
      <c r="A106" s="7" t="s">
        <v>18</v>
      </c>
      <c r="B106" s="7">
        <v>50</v>
      </c>
      <c r="C106" s="7">
        <v>1</v>
      </c>
      <c r="D106" s="7">
        <f>'Original data'!E106</f>
        <v>7.9316399999999998</v>
      </c>
      <c r="E106" s="7">
        <f>'Original data'!H106</f>
        <v>7.02867</v>
      </c>
      <c r="F106" s="7">
        <f>'Original data'!K106</f>
        <v>15.43379</v>
      </c>
      <c r="G106" s="7">
        <f>'Original data'!N106</f>
        <v>11.10791</v>
      </c>
      <c r="H106" s="7">
        <f>'Original data'!Q106</f>
        <v>3.76945</v>
      </c>
      <c r="I106" s="7"/>
      <c r="J106" s="2"/>
      <c r="K106" s="2"/>
      <c r="L106" s="2"/>
      <c r="M106" s="2"/>
      <c r="N106" s="2"/>
      <c r="O106" s="2"/>
      <c r="P106" s="6"/>
      <c r="Q106" s="4"/>
    </row>
    <row r="107" spans="1:17" x14ac:dyDescent="0.3">
      <c r="A107" s="7" t="s">
        <v>18</v>
      </c>
      <c r="B107" s="7">
        <v>50</v>
      </c>
      <c r="C107" s="7">
        <v>1</v>
      </c>
      <c r="D107" s="7">
        <f>'Original data'!E107</f>
        <v>7.7452399999999999</v>
      </c>
      <c r="E107" s="7">
        <f>'Original data'!H107</f>
        <v>13.78955</v>
      </c>
      <c r="F107" s="7">
        <f>'Original data'!K107</f>
        <v>14.97085</v>
      </c>
      <c r="G107" s="7">
        <f>'Original data'!N107</f>
        <v>15.554209999999999</v>
      </c>
      <c r="H107" s="7">
        <f>'Original data'!Q107</f>
        <v>2.5561199999999999</v>
      </c>
      <c r="I107" s="7"/>
      <c r="J107" s="2"/>
      <c r="K107" s="2"/>
      <c r="L107" s="2"/>
      <c r="M107" s="2"/>
      <c r="N107" s="2"/>
      <c r="O107" s="2"/>
      <c r="P107" s="6"/>
      <c r="Q107" s="4"/>
    </row>
    <row r="108" spans="1:17" x14ac:dyDescent="0.3">
      <c r="A108" s="7" t="s">
        <v>18</v>
      </c>
      <c r="B108" s="7">
        <v>50</v>
      </c>
      <c r="C108" s="7">
        <v>1</v>
      </c>
      <c r="D108" s="7">
        <f>'Original data'!E108</f>
        <v>9.0260800000000003</v>
      </c>
      <c r="E108" s="7">
        <f>'Original data'!H108</f>
        <v>7.8961100000000002</v>
      </c>
      <c r="F108" s="7">
        <f>'Original data'!K108</f>
        <v>14.545170000000001</v>
      </c>
      <c r="G108" s="7">
        <f>'Original data'!N108</f>
        <v>8.5133299999999998</v>
      </c>
      <c r="H108" s="7">
        <f>'Original data'!Q108</f>
        <v>3.27807</v>
      </c>
      <c r="I108" s="7"/>
      <c r="J108" s="2"/>
      <c r="K108" s="2"/>
      <c r="L108" s="2"/>
      <c r="M108" s="2"/>
      <c r="N108" s="2"/>
      <c r="O108" s="2"/>
      <c r="P108" s="6"/>
      <c r="Q108" s="4"/>
    </row>
    <row r="109" spans="1:17" x14ac:dyDescent="0.3">
      <c r="A109" s="7" t="s">
        <v>18</v>
      </c>
      <c r="B109" s="7">
        <v>50</v>
      </c>
      <c r="C109" s="7">
        <v>1</v>
      </c>
      <c r="D109" s="7">
        <f>'Original data'!E109</f>
        <v>8.7149000000000001</v>
      </c>
      <c r="E109" s="7">
        <f>'Original data'!H109</f>
        <v>7.7676699999999999</v>
      </c>
      <c r="F109" s="7">
        <f>'Original data'!K109</f>
        <v>14.3964</v>
      </c>
      <c r="G109" s="7">
        <f>'Original data'!N109</f>
        <v>10.02664</v>
      </c>
      <c r="H109" s="7">
        <f>'Original data'!Q109</f>
        <v>2.8064800000000001</v>
      </c>
      <c r="I109" s="7"/>
      <c r="J109" s="2"/>
      <c r="K109" s="2"/>
      <c r="L109" s="2"/>
      <c r="M109" s="2"/>
      <c r="N109" s="2"/>
      <c r="O109" s="2"/>
      <c r="P109" s="6"/>
      <c r="Q109" s="4"/>
    </row>
    <row r="110" spans="1:17" x14ac:dyDescent="0.3">
      <c r="A110" s="7" t="s">
        <v>18</v>
      </c>
      <c r="B110" s="7">
        <v>50</v>
      </c>
      <c r="C110" s="7">
        <v>1</v>
      </c>
      <c r="D110" s="7">
        <f>'Original data'!E110</f>
        <v>7.7305299999999999</v>
      </c>
      <c r="E110" s="7">
        <f>'Original data'!H110</f>
        <v>13.00999</v>
      </c>
      <c r="F110" s="7">
        <f>'Original data'!K110</f>
        <v>14.38688</v>
      </c>
      <c r="G110" s="7">
        <f>'Original data'!N110</f>
        <v>10.969150000000001</v>
      </c>
      <c r="H110" s="7">
        <f>'Original data'!Q110</f>
        <v>2.54793</v>
      </c>
      <c r="I110" s="7"/>
      <c r="J110" s="2"/>
      <c r="K110" s="2"/>
      <c r="L110" s="2"/>
      <c r="M110" s="2"/>
      <c r="N110" s="2"/>
      <c r="O110" s="2"/>
      <c r="P110" s="6"/>
      <c r="Q110" s="4"/>
    </row>
    <row r="111" spans="1:17" x14ac:dyDescent="0.3">
      <c r="A111" s="7" t="s">
        <v>18</v>
      </c>
      <c r="B111" s="7">
        <v>50</v>
      </c>
      <c r="C111" s="7">
        <v>1</v>
      </c>
      <c r="D111" s="7">
        <f>'Original data'!E111</f>
        <v>7.59673</v>
      </c>
      <c r="E111" s="7">
        <f>'Original data'!H111</f>
        <v>4.5468000000000002</v>
      </c>
      <c r="F111" s="7">
        <f>'Original data'!K111</f>
        <v>14.578480000000001</v>
      </c>
      <c r="G111" s="7">
        <f>'Original data'!N111</f>
        <v>10.378399999999999</v>
      </c>
      <c r="H111" s="7">
        <f>'Original data'!Q111</f>
        <v>2.7031000000000001</v>
      </c>
      <c r="I111" s="7"/>
      <c r="J111" s="2"/>
      <c r="K111" s="2"/>
      <c r="L111" s="2"/>
      <c r="M111" s="2"/>
      <c r="N111" s="2"/>
      <c r="O111" s="2"/>
      <c r="P111" s="6"/>
      <c r="Q111" s="4"/>
    </row>
    <row r="112" spans="1:17" x14ac:dyDescent="0.3">
      <c r="A112" s="7" t="s">
        <v>18</v>
      </c>
      <c r="B112" s="7">
        <v>100</v>
      </c>
      <c r="C112" s="7">
        <v>1</v>
      </c>
      <c r="D112" s="7">
        <f>'Original data'!E112</f>
        <v>20.940930000000002</v>
      </c>
      <c r="E112" s="7">
        <f>'Original data'!H112</f>
        <v>21.669640000000001</v>
      </c>
      <c r="F112" s="7">
        <f>'Original data'!K112</f>
        <v>51.568069999999999</v>
      </c>
      <c r="G112" s="7">
        <f>'Original data'!N112</f>
        <v>16.567540000000001</v>
      </c>
      <c r="H112" s="7">
        <f>'Original data'!Q112</f>
        <v>10.67567</v>
      </c>
      <c r="I112" s="7"/>
      <c r="J112" s="2"/>
      <c r="K112" s="2"/>
      <c r="L112" s="2"/>
      <c r="M112" s="2"/>
      <c r="N112" s="2"/>
      <c r="O112" s="2"/>
      <c r="P112" s="6"/>
      <c r="Q112" s="4"/>
    </row>
    <row r="113" spans="1:17" x14ac:dyDescent="0.3">
      <c r="A113" s="7" t="s">
        <v>18</v>
      </c>
      <c r="B113" s="7">
        <v>100</v>
      </c>
      <c r="C113" s="7">
        <v>1</v>
      </c>
      <c r="D113" s="7">
        <f>'Original data'!E113</f>
        <v>20.309899999999999</v>
      </c>
      <c r="E113" s="7">
        <f>'Original data'!H113</f>
        <v>11.629300000000001</v>
      </c>
      <c r="F113" s="7">
        <f>'Original data'!K113</f>
        <v>55.087879999999998</v>
      </c>
      <c r="G113" s="7">
        <f>'Original data'!N113</f>
        <v>21.131270000000001</v>
      </c>
      <c r="H113" s="7">
        <f>'Original data'!Q113</f>
        <v>25.361499999999999</v>
      </c>
      <c r="I113" s="7"/>
      <c r="J113" s="2"/>
      <c r="K113" s="2"/>
      <c r="L113" s="2"/>
      <c r="M113" s="2"/>
      <c r="N113" s="2"/>
      <c r="O113" s="2"/>
      <c r="P113" s="6"/>
      <c r="Q113" s="4"/>
    </row>
    <row r="114" spans="1:17" x14ac:dyDescent="0.3">
      <c r="A114" s="7" t="s">
        <v>18</v>
      </c>
      <c r="B114" s="7">
        <v>100</v>
      </c>
      <c r="C114" s="7">
        <v>1</v>
      </c>
      <c r="D114" s="7">
        <f>'Original data'!E114</f>
        <v>20.143360000000001</v>
      </c>
      <c r="E114" s="7">
        <f>'Original data'!H114</f>
        <v>43.901319999999998</v>
      </c>
      <c r="F114" s="7">
        <f>'Original data'!K114</f>
        <v>51.916330000000002</v>
      </c>
      <c r="G114" s="7">
        <f>'Original data'!N114</f>
        <v>26.819590000000002</v>
      </c>
      <c r="H114" s="7">
        <f>'Original data'!Q114</f>
        <v>8.4851700000000001</v>
      </c>
      <c r="I114" s="7"/>
      <c r="J114" s="2"/>
      <c r="K114" s="2"/>
      <c r="L114" s="2"/>
      <c r="M114" s="2"/>
      <c r="N114" s="2"/>
      <c r="O114" s="2"/>
      <c r="P114" s="6"/>
      <c r="Q114" s="4"/>
    </row>
    <row r="115" spans="1:17" x14ac:dyDescent="0.3">
      <c r="A115" s="7" t="s">
        <v>18</v>
      </c>
      <c r="B115" s="7">
        <v>100</v>
      </c>
      <c r="C115" s="7">
        <v>1</v>
      </c>
      <c r="D115" s="7">
        <f>'Original data'!E115</f>
        <v>23.503640000000001</v>
      </c>
      <c r="E115" s="7">
        <f>'Original data'!H115</f>
        <v>33.711039999999997</v>
      </c>
      <c r="F115" s="7">
        <f>'Original data'!K115</f>
        <v>50.191020000000002</v>
      </c>
      <c r="G115" s="7">
        <f>'Original data'!N115</f>
        <v>30.128879999999999</v>
      </c>
      <c r="H115" s="7">
        <f>'Original data'!Q115</f>
        <v>15.66929</v>
      </c>
      <c r="I115" s="7"/>
      <c r="J115" s="2"/>
      <c r="K115" s="2"/>
      <c r="L115" s="2"/>
      <c r="M115" s="2"/>
      <c r="N115" s="2"/>
      <c r="O115" s="2"/>
      <c r="P115" s="6"/>
      <c r="Q115" s="4"/>
    </row>
    <row r="116" spans="1:17" x14ac:dyDescent="0.3">
      <c r="A116" s="7" t="s">
        <v>18</v>
      </c>
      <c r="B116" s="7">
        <v>100</v>
      </c>
      <c r="C116" s="7">
        <v>1</v>
      </c>
      <c r="D116" s="7">
        <f>'Original data'!E116</f>
        <v>20.813099999999999</v>
      </c>
      <c r="E116" s="7">
        <f>'Original data'!H116</f>
        <v>27.193760000000001</v>
      </c>
      <c r="F116" s="7">
        <f>'Original data'!K116</f>
        <v>49.323189999999997</v>
      </c>
      <c r="G116" s="7">
        <f>'Original data'!N116</f>
        <v>9.3945699999999999</v>
      </c>
      <c r="H116" s="7">
        <f>'Original data'!Q116</f>
        <v>16.136759999999999</v>
      </c>
      <c r="I116" s="7"/>
      <c r="J116" s="2"/>
      <c r="K116" s="2"/>
      <c r="L116" s="2"/>
      <c r="M116" s="2"/>
      <c r="N116" s="2"/>
      <c r="O116" s="2"/>
      <c r="P116" s="6"/>
      <c r="Q116" s="4"/>
    </row>
    <row r="117" spans="1:17" x14ac:dyDescent="0.3">
      <c r="A117" s="7" t="s">
        <v>18</v>
      </c>
      <c r="B117" s="7">
        <v>100</v>
      </c>
      <c r="C117" s="7">
        <v>1</v>
      </c>
      <c r="D117" s="7">
        <f>'Original data'!E117</f>
        <v>19.323129999999999</v>
      </c>
      <c r="E117" s="7">
        <f>'Original data'!H117</f>
        <v>13.962809999999999</v>
      </c>
      <c r="F117" s="7">
        <f>'Original data'!K117</f>
        <v>54.29665</v>
      </c>
      <c r="G117" s="7">
        <f>'Original data'!N117</f>
        <v>48.529820000000001</v>
      </c>
      <c r="H117" s="7">
        <f>'Original data'!Q117</f>
        <v>17.11458</v>
      </c>
      <c r="I117" s="7"/>
      <c r="J117" s="2"/>
      <c r="K117" s="2"/>
      <c r="L117" s="2"/>
      <c r="M117" s="2"/>
      <c r="N117" s="2"/>
      <c r="O117" s="2"/>
      <c r="P117" s="6"/>
      <c r="Q117" s="4"/>
    </row>
    <row r="118" spans="1:17" x14ac:dyDescent="0.3">
      <c r="A118" s="7" t="s">
        <v>18</v>
      </c>
      <c r="B118" s="7">
        <v>100</v>
      </c>
      <c r="C118" s="7">
        <v>1</v>
      </c>
      <c r="D118" s="7">
        <f>'Original data'!E118</f>
        <v>19.743130000000001</v>
      </c>
      <c r="E118" s="7">
        <f>'Original data'!H118</f>
        <v>24.02223</v>
      </c>
      <c r="F118" s="7">
        <f>'Original data'!K118</f>
        <v>50.413240000000002</v>
      </c>
      <c r="G118" s="7">
        <f>'Original data'!N118</f>
        <v>20.453040000000001</v>
      </c>
      <c r="H118" s="7">
        <f>'Original data'!Q118</f>
        <v>8.6049500000000005</v>
      </c>
      <c r="I118" s="7"/>
      <c r="J118" s="2"/>
      <c r="K118" s="2"/>
      <c r="L118" s="2"/>
      <c r="M118" s="2"/>
      <c r="N118" s="2"/>
      <c r="O118" s="2"/>
      <c r="P118" s="6"/>
      <c r="Q118" s="4"/>
    </row>
    <row r="119" spans="1:17" x14ac:dyDescent="0.3">
      <c r="A119" s="7" t="s">
        <v>18</v>
      </c>
      <c r="B119" s="7">
        <v>100</v>
      </c>
      <c r="C119" s="7">
        <v>1</v>
      </c>
      <c r="D119" s="7">
        <f>'Original data'!E119</f>
        <v>19.623360000000002</v>
      </c>
      <c r="E119" s="7">
        <f>'Original data'!H119</f>
        <v>31.327529999999999</v>
      </c>
      <c r="F119" s="7">
        <f>'Original data'!K119</f>
        <v>50.768340000000002</v>
      </c>
      <c r="G119" s="7">
        <f>'Original data'!N119</f>
        <v>16.847020000000001</v>
      </c>
      <c r="H119" s="7">
        <f>'Original data'!Q119</f>
        <v>20.241530000000001</v>
      </c>
      <c r="I119" s="7"/>
      <c r="J119" s="2"/>
      <c r="K119" s="2"/>
      <c r="L119" s="2"/>
      <c r="M119" s="2"/>
      <c r="N119" s="2"/>
      <c r="O119" s="2"/>
      <c r="P119" s="6"/>
      <c r="Q119" s="4"/>
    </row>
    <row r="120" spans="1:17" x14ac:dyDescent="0.3">
      <c r="A120" s="7" t="s">
        <v>18</v>
      </c>
      <c r="B120" s="7">
        <v>100</v>
      </c>
      <c r="C120" s="7">
        <v>1</v>
      </c>
      <c r="D120" s="7">
        <f>'Original data'!E120</f>
        <v>19.917649999999998</v>
      </c>
      <c r="E120" s="7">
        <f>'Original data'!H120</f>
        <v>48.226379999999999</v>
      </c>
      <c r="F120" s="7">
        <f>'Original data'!K120</f>
        <v>49.349649999999997</v>
      </c>
      <c r="G120" s="7">
        <f>'Original data'!N120</f>
        <v>17.386780000000002</v>
      </c>
      <c r="H120" s="7">
        <f>'Original data'!Q120</f>
        <v>19.41451</v>
      </c>
      <c r="I120" s="7"/>
      <c r="J120" s="2"/>
      <c r="K120" s="2"/>
      <c r="L120" s="2"/>
      <c r="M120" s="2"/>
      <c r="N120" s="2"/>
      <c r="O120" s="2"/>
      <c r="P120" s="6"/>
      <c r="Q120" s="4"/>
    </row>
    <row r="121" spans="1:17" x14ac:dyDescent="0.3">
      <c r="A121" s="7" t="s">
        <v>18</v>
      </c>
      <c r="B121" s="7">
        <v>100</v>
      </c>
      <c r="C121" s="7">
        <v>1</v>
      </c>
      <c r="D121" s="7">
        <f>'Original data'!E121</f>
        <v>19.440460000000002</v>
      </c>
      <c r="E121" s="7">
        <f>'Original data'!H121</f>
        <v>39.191429999999997</v>
      </c>
      <c r="F121" s="7">
        <f>'Original data'!K121</f>
        <v>51.242080000000001</v>
      </c>
      <c r="G121" s="7">
        <f>'Original data'!N121</f>
        <v>28.343579999999999</v>
      </c>
      <c r="H121" s="7">
        <f>'Original data'!Q121</f>
        <v>15.46078</v>
      </c>
      <c r="I121" s="7"/>
      <c r="J121" s="2"/>
      <c r="K121" s="2"/>
      <c r="L121" s="2"/>
      <c r="M121" s="2"/>
      <c r="N121" s="2"/>
      <c r="O121" s="2"/>
      <c r="P121" s="6"/>
      <c r="Q121" s="4"/>
    </row>
    <row r="122" spans="1:17" x14ac:dyDescent="0.3">
      <c r="A122" s="7" t="s">
        <v>19</v>
      </c>
      <c r="B122" s="7">
        <v>9</v>
      </c>
      <c r="C122" s="7">
        <v>1</v>
      </c>
      <c r="D122" s="7">
        <f>'Original data'!E122</f>
        <v>1.2530600000000001</v>
      </c>
      <c r="E122" s="7">
        <f>'Original data'!H122</f>
        <v>1.1716</v>
      </c>
      <c r="F122" s="7">
        <f>'Original data'!K122</f>
        <v>1.2012100000000001</v>
      </c>
      <c r="G122" s="7">
        <f>'Original data'!N122</f>
        <v>0.34633999999999998</v>
      </c>
      <c r="H122" s="7">
        <f>'Original data'!Q122</f>
        <v>0.18659000000000001</v>
      </c>
      <c r="I122" s="7"/>
    </row>
    <row r="123" spans="1:17" x14ac:dyDescent="0.3">
      <c r="A123" s="7" t="s">
        <v>19</v>
      </c>
      <c r="B123" s="7">
        <v>9</v>
      </c>
      <c r="C123" s="7">
        <v>1</v>
      </c>
      <c r="D123" s="7">
        <f>'Original data'!E123</f>
        <v>1.2684599999999999</v>
      </c>
      <c r="E123" s="7">
        <f>'Original data'!H123</f>
        <v>1.13188</v>
      </c>
      <c r="F123" s="7">
        <f>'Original data'!K123</f>
        <v>1.19476</v>
      </c>
      <c r="G123" s="7">
        <f>'Original data'!N123</f>
        <v>0.34214</v>
      </c>
      <c r="H123" s="7">
        <f>'Original data'!Q123</f>
        <v>0.19176000000000001</v>
      </c>
      <c r="I123" s="7"/>
    </row>
    <row r="124" spans="1:17" x14ac:dyDescent="0.3">
      <c r="A124" s="7" t="s">
        <v>19</v>
      </c>
      <c r="B124" s="7">
        <v>9</v>
      </c>
      <c r="C124" s="7">
        <v>1</v>
      </c>
      <c r="D124" s="7">
        <f>'Original data'!E124</f>
        <v>1.2022699999999999</v>
      </c>
      <c r="E124" s="7">
        <f>'Original data'!H124</f>
        <v>1.12182</v>
      </c>
      <c r="F124" s="7">
        <f>'Original data'!K124</f>
        <v>1.1871400000000001</v>
      </c>
      <c r="G124" s="7">
        <f>'Original data'!N124</f>
        <v>0.34450999999999998</v>
      </c>
      <c r="H124" s="7">
        <f>'Original data'!Q124</f>
        <v>0.18851999999999999</v>
      </c>
      <c r="I124" s="7"/>
    </row>
    <row r="125" spans="1:17" x14ac:dyDescent="0.3">
      <c r="A125" s="7" t="s">
        <v>19</v>
      </c>
      <c r="B125" s="7">
        <v>9</v>
      </c>
      <c r="C125" s="7">
        <v>1</v>
      </c>
      <c r="D125" s="7">
        <f>'Original data'!E125</f>
        <v>1.22024</v>
      </c>
      <c r="E125" s="7">
        <f>'Original data'!H125</f>
        <v>1.1408499999999999</v>
      </c>
      <c r="F125" s="7">
        <f>'Original data'!K125</f>
        <v>1.2001200000000001</v>
      </c>
      <c r="G125" s="7">
        <f>'Original data'!N125</f>
        <v>0.34254000000000001</v>
      </c>
      <c r="H125" s="7">
        <f>'Original data'!Q125</f>
        <v>0.18697</v>
      </c>
      <c r="I125" s="7"/>
    </row>
    <row r="126" spans="1:17" x14ac:dyDescent="0.3">
      <c r="A126" s="7" t="s">
        <v>19</v>
      </c>
      <c r="B126" s="7">
        <v>9</v>
      </c>
      <c r="C126" s="7">
        <v>1</v>
      </c>
      <c r="D126" s="7">
        <f>'Original data'!E126</f>
        <v>1.24038</v>
      </c>
      <c r="E126" s="7">
        <f>'Original data'!H126</f>
        <v>1.15513</v>
      </c>
      <c r="F126" s="7">
        <f>'Original data'!K126</f>
        <v>1.1916</v>
      </c>
      <c r="G126" s="7">
        <f>'Original data'!N126</f>
        <v>0.35004999999999997</v>
      </c>
      <c r="H126" s="7">
        <f>'Original data'!Q126</f>
        <v>0.18709999999999999</v>
      </c>
      <c r="I126" s="7"/>
    </row>
    <row r="127" spans="1:17" x14ac:dyDescent="0.3">
      <c r="A127" s="7" t="s">
        <v>19</v>
      </c>
      <c r="B127" s="7">
        <v>9</v>
      </c>
      <c r="C127" s="7">
        <v>1</v>
      </c>
      <c r="D127" s="7">
        <f>'Original data'!E127</f>
        <v>1.20164</v>
      </c>
      <c r="E127" s="7">
        <f>'Original data'!H127</f>
        <v>1.1233900000000001</v>
      </c>
      <c r="F127" s="7">
        <f>'Original data'!K127</f>
        <v>1.19831</v>
      </c>
      <c r="G127" s="7">
        <f>'Original data'!N127</f>
        <v>0.34686</v>
      </c>
      <c r="H127" s="7">
        <f>'Original data'!Q127</f>
        <v>0.18965000000000001</v>
      </c>
      <c r="I127" s="7"/>
    </row>
    <row r="128" spans="1:17" x14ac:dyDescent="0.3">
      <c r="A128" s="7" t="s">
        <v>19</v>
      </c>
      <c r="B128" s="7">
        <v>9</v>
      </c>
      <c r="C128" s="7">
        <v>1</v>
      </c>
      <c r="D128" s="7">
        <f>'Original data'!E128</f>
        <v>1.7006300000000001</v>
      </c>
      <c r="E128" s="7">
        <f>'Original data'!H128</f>
        <v>3.0523500000000001</v>
      </c>
      <c r="F128" s="7">
        <f>'Original data'!K128</f>
        <v>1.1859500000000001</v>
      </c>
      <c r="G128" s="7">
        <f>'Original data'!N128</f>
        <v>0.56655</v>
      </c>
      <c r="H128" s="7">
        <f>'Original data'!Q128</f>
        <v>0.18726999999999999</v>
      </c>
      <c r="I128" s="7"/>
    </row>
    <row r="129" spans="1:9" x14ac:dyDescent="0.3">
      <c r="A129" s="7" t="s">
        <v>19</v>
      </c>
      <c r="B129" s="7">
        <v>9</v>
      </c>
      <c r="C129" s="7">
        <v>1</v>
      </c>
      <c r="D129" s="7">
        <f>'Original data'!E129</f>
        <v>1.2178</v>
      </c>
      <c r="E129" s="7">
        <f>'Original data'!H129</f>
        <v>1.1761999999999999</v>
      </c>
      <c r="F129" s="7">
        <f>'Original data'!K129</f>
        <v>1.1996899999999999</v>
      </c>
      <c r="G129" s="7">
        <f>'Original data'!N129</f>
        <v>0.35091</v>
      </c>
      <c r="H129" s="7">
        <f>'Original data'!Q129</f>
        <v>0.19497999999999999</v>
      </c>
      <c r="I129" s="7"/>
    </row>
    <row r="130" spans="1:9" x14ac:dyDescent="0.3">
      <c r="A130" s="7" t="s">
        <v>19</v>
      </c>
      <c r="B130" s="7">
        <v>9</v>
      </c>
      <c r="C130" s="7">
        <v>1</v>
      </c>
      <c r="D130" s="7">
        <f>'Original data'!E130</f>
        <v>1.3886499999999999</v>
      </c>
      <c r="E130" s="7">
        <f>'Original data'!H130</f>
        <v>1.3484100000000001</v>
      </c>
      <c r="F130" s="7">
        <f>'Original data'!K130</f>
        <v>1.19503</v>
      </c>
      <c r="G130" s="7">
        <f>'Original data'!N130</f>
        <v>0.35518</v>
      </c>
      <c r="H130" s="7">
        <f>'Original data'!Q130</f>
        <v>0.18912999999999999</v>
      </c>
      <c r="I130" s="7"/>
    </row>
    <row r="131" spans="1:9" x14ac:dyDescent="0.3">
      <c r="A131" s="7" t="s">
        <v>19</v>
      </c>
      <c r="B131" s="7">
        <v>9</v>
      </c>
      <c r="C131" s="7">
        <v>1</v>
      </c>
      <c r="D131" s="7">
        <f>'Original data'!E131</f>
        <v>1.2286699999999999</v>
      </c>
      <c r="E131" s="7">
        <f>'Original data'!H131</f>
        <v>1.2090099999999999</v>
      </c>
      <c r="F131" s="7">
        <f>'Original data'!K131</f>
        <v>1.18967</v>
      </c>
      <c r="G131" s="7">
        <f>'Original data'!N131</f>
        <v>0.34676000000000001</v>
      </c>
      <c r="H131" s="7">
        <f>'Original data'!Q131</f>
        <v>0.189</v>
      </c>
      <c r="I131" s="7"/>
    </row>
    <row r="132" spans="1:9" x14ac:dyDescent="0.3">
      <c r="A132" s="7" t="s">
        <v>19</v>
      </c>
      <c r="B132" s="7">
        <v>209</v>
      </c>
      <c r="C132" s="7">
        <v>1</v>
      </c>
      <c r="D132" s="7">
        <f>'Original data'!E132</f>
        <v>80.187529999999995</v>
      </c>
      <c r="E132" s="7">
        <f>'Original data'!H132</f>
        <v>77.634069999999994</v>
      </c>
      <c r="F132" s="7">
        <f>'Original data'!K132</f>
        <v>176.61984000000001</v>
      </c>
      <c r="G132" s="7">
        <f>'Original data'!N132</f>
        <v>78.81814</v>
      </c>
      <c r="H132" s="7">
        <f>'Original data'!Q132</f>
        <v>87.078530000000001</v>
      </c>
      <c r="I132" s="7"/>
    </row>
    <row r="133" spans="1:9" x14ac:dyDescent="0.3">
      <c r="A133" s="7" t="s">
        <v>19</v>
      </c>
      <c r="B133" s="7">
        <v>209</v>
      </c>
      <c r="C133" s="7">
        <v>1</v>
      </c>
      <c r="D133" s="7">
        <f>'Original data'!E133</f>
        <v>82.620590000000007</v>
      </c>
      <c r="E133" s="7">
        <f>'Original data'!H133</f>
        <v>219.61198999999999</v>
      </c>
      <c r="F133" s="7">
        <f>'Original data'!K133</f>
        <v>182.33475000000001</v>
      </c>
      <c r="G133" s="7">
        <f>'Original data'!N133</f>
        <v>121.03309</v>
      </c>
      <c r="H133" s="7">
        <f>'Original data'!Q133</f>
        <v>86.189769999999996</v>
      </c>
      <c r="I133" s="7"/>
    </row>
    <row r="134" spans="1:9" x14ac:dyDescent="0.3">
      <c r="A134" s="7" t="s">
        <v>19</v>
      </c>
      <c r="B134" s="7">
        <v>209</v>
      </c>
      <c r="C134" s="7">
        <v>1</v>
      </c>
      <c r="D134" s="7">
        <f>'Original data'!E134</f>
        <v>82.634200000000007</v>
      </c>
      <c r="E134" s="7">
        <f>'Original data'!H134</f>
        <v>82.069149999999993</v>
      </c>
      <c r="F134" s="7">
        <f>'Original data'!K134</f>
        <v>187.72962999999999</v>
      </c>
      <c r="G134" s="7">
        <f>'Original data'!N134</f>
        <v>126.31928000000001</v>
      </c>
      <c r="H134" s="7">
        <f>'Original data'!Q134</f>
        <v>13.38991</v>
      </c>
      <c r="I134" s="7"/>
    </row>
    <row r="135" spans="1:9" x14ac:dyDescent="0.3">
      <c r="A135" s="7" t="s">
        <v>19</v>
      </c>
      <c r="B135" s="7">
        <v>209</v>
      </c>
      <c r="C135" s="7">
        <v>1</v>
      </c>
      <c r="D135" s="7">
        <f>'Original data'!E135</f>
        <v>83.014110000000002</v>
      </c>
      <c r="E135" s="7">
        <f>'Original data'!H135</f>
        <v>75.354150000000004</v>
      </c>
      <c r="F135" s="7">
        <f>'Original data'!K135</f>
        <v>183.49465000000001</v>
      </c>
      <c r="G135" s="7">
        <f>'Original data'!N135</f>
        <v>198.47193999999999</v>
      </c>
      <c r="H135" s="7">
        <f>'Original data'!Q135</f>
        <v>62.356319999999997</v>
      </c>
      <c r="I135" s="7"/>
    </row>
    <row r="136" spans="1:9" x14ac:dyDescent="0.3">
      <c r="A136" s="7" t="s">
        <v>19</v>
      </c>
      <c r="B136" s="7">
        <v>209</v>
      </c>
      <c r="C136" s="7">
        <v>1</v>
      </c>
      <c r="D136" s="7">
        <f>'Original data'!E136</f>
        <v>81.491159999999994</v>
      </c>
      <c r="E136" s="7">
        <f>'Original data'!H136</f>
        <v>131.63141999999999</v>
      </c>
      <c r="F136" s="7">
        <f>'Original data'!K136</f>
        <v>179.56477000000001</v>
      </c>
      <c r="G136" s="7">
        <f>'Original data'!N136</f>
        <v>146.13388</v>
      </c>
      <c r="H136" s="7">
        <f>'Original data'!Q136</f>
        <v>54.735109999999999</v>
      </c>
      <c r="I136" s="7"/>
    </row>
    <row r="137" spans="1:9" x14ac:dyDescent="0.3">
      <c r="A137" s="7" t="s">
        <v>19</v>
      </c>
      <c r="B137" s="7">
        <v>209</v>
      </c>
      <c r="C137" s="7">
        <v>1</v>
      </c>
      <c r="D137" s="7">
        <f>'Original data'!E137</f>
        <v>80.213009999999997</v>
      </c>
      <c r="E137" s="7">
        <f>'Original data'!H137</f>
        <v>81.110889999999998</v>
      </c>
      <c r="F137" s="7">
        <f>'Original data'!K137</f>
        <v>174.92819</v>
      </c>
      <c r="G137" s="7">
        <f>'Original data'!N137</f>
        <v>158.8451</v>
      </c>
      <c r="H137" s="7">
        <f>'Original data'!Q137</f>
        <v>89.790800000000004</v>
      </c>
      <c r="I137" s="7"/>
    </row>
    <row r="138" spans="1:9" x14ac:dyDescent="0.3">
      <c r="A138" s="7" t="s">
        <v>19</v>
      </c>
      <c r="B138" s="7">
        <v>209</v>
      </c>
      <c r="C138" s="7">
        <v>1</v>
      </c>
      <c r="D138" s="7">
        <f>'Original data'!E138</f>
        <v>80.97466</v>
      </c>
      <c r="E138" s="7">
        <f>'Original data'!H138</f>
        <v>107.18080999999999</v>
      </c>
      <c r="F138" s="7">
        <f>'Original data'!K138</f>
        <v>176.12654000000001</v>
      </c>
      <c r="G138" s="7">
        <f>'Original data'!N138</f>
        <v>93.873850000000004</v>
      </c>
      <c r="H138" s="7">
        <f>'Original data'!Q138</f>
        <v>37.819189999999999</v>
      </c>
      <c r="I138" s="7"/>
    </row>
    <row r="139" spans="1:9" x14ac:dyDescent="0.3">
      <c r="A139" s="7" t="s">
        <v>19</v>
      </c>
      <c r="B139" s="7">
        <v>209</v>
      </c>
      <c r="C139" s="7">
        <v>1</v>
      </c>
      <c r="D139" s="7">
        <f>'Original data'!E139</f>
        <v>79.464820000000003</v>
      </c>
      <c r="E139" s="7">
        <f>'Original data'!H139</f>
        <v>85.258349999999993</v>
      </c>
      <c r="F139" s="7">
        <f>'Original data'!K139</f>
        <v>186.78013999999999</v>
      </c>
      <c r="G139" s="7">
        <f>'Original data'!N139</f>
        <v>84.451580000000007</v>
      </c>
      <c r="H139" s="7">
        <f>'Original data'!Q139</f>
        <v>97.00103</v>
      </c>
      <c r="I139" s="7"/>
    </row>
    <row r="140" spans="1:9" x14ac:dyDescent="0.3">
      <c r="A140" s="7" t="s">
        <v>19</v>
      </c>
      <c r="B140" s="7">
        <v>209</v>
      </c>
      <c r="C140" s="7">
        <v>1</v>
      </c>
      <c r="D140" s="7">
        <f>'Original data'!E140</f>
        <v>80.939949999999996</v>
      </c>
      <c r="E140" s="7">
        <f>'Original data'!H140</f>
        <v>95.433890000000005</v>
      </c>
      <c r="F140" s="7">
        <f>'Original data'!K140</f>
        <v>183.46779000000001</v>
      </c>
      <c r="G140" s="7">
        <f>'Original data'!N140</f>
        <v>118.15608</v>
      </c>
      <c r="H140" s="7">
        <f>'Original data'!Q140</f>
        <v>14.60989</v>
      </c>
      <c r="I140" s="7"/>
    </row>
    <row r="141" spans="1:9" x14ac:dyDescent="0.3">
      <c r="A141" s="7" t="s">
        <v>19</v>
      </c>
      <c r="B141" s="7">
        <v>209</v>
      </c>
      <c r="C141" s="7">
        <v>1</v>
      </c>
      <c r="D141" s="7">
        <f>'Original data'!E141</f>
        <v>80.56568</v>
      </c>
      <c r="E141" s="7">
        <f>'Original data'!H141</f>
        <v>81.191990000000004</v>
      </c>
      <c r="F141" s="7">
        <f>'Original data'!K141</f>
        <v>176.03955999999999</v>
      </c>
      <c r="G141" s="7">
        <f>'Original data'!N141</f>
        <v>163.44779</v>
      </c>
      <c r="H141" s="7">
        <f>'Original data'!Q141</f>
        <v>55.983060000000002</v>
      </c>
      <c r="I141" s="7"/>
    </row>
    <row r="142" spans="1:9" x14ac:dyDescent="0.3">
      <c r="A142" s="7" t="s">
        <v>19</v>
      </c>
      <c r="B142" s="7">
        <v>324</v>
      </c>
      <c r="C142" s="7">
        <v>1</v>
      </c>
      <c r="D142" s="7">
        <f>'Original data'!E142</f>
        <v>224.38094000000001</v>
      </c>
      <c r="E142" s="7">
        <f>'Original data'!H142</f>
        <v>327.74468000000002</v>
      </c>
      <c r="F142" s="7">
        <f>'Original data'!K142</f>
        <v>426.17862000000002</v>
      </c>
      <c r="G142" s="7">
        <f>'Original data'!N142</f>
        <v>286.27620999999999</v>
      </c>
      <c r="H142" s="7">
        <f>'Original data'!Q142</f>
        <v>179.29587000000001</v>
      </c>
      <c r="I142" s="7"/>
    </row>
    <row r="143" spans="1:9" x14ac:dyDescent="0.3">
      <c r="A143" s="7" t="s">
        <v>19</v>
      </c>
      <c r="B143" s="7">
        <v>324</v>
      </c>
      <c r="C143" s="7">
        <v>1</v>
      </c>
      <c r="D143" s="7">
        <f>'Original data'!E143</f>
        <v>225.07061999999999</v>
      </c>
      <c r="E143" s="7">
        <f>'Original data'!H143</f>
        <v>144.33000000000001</v>
      </c>
      <c r="F143" s="7">
        <f>'Original data'!K143</f>
        <v>421.95093000000003</v>
      </c>
      <c r="G143" s="7">
        <f>'Original data'!N143</f>
        <v>371.19733000000002</v>
      </c>
      <c r="H143" s="7">
        <f>'Original data'!Q143</f>
        <v>235.10956999999999</v>
      </c>
      <c r="I143" s="7"/>
    </row>
    <row r="144" spans="1:9" x14ac:dyDescent="0.3">
      <c r="A144" s="7" t="s">
        <v>19</v>
      </c>
      <c r="B144" s="7">
        <v>324</v>
      </c>
      <c r="C144" s="7">
        <v>1</v>
      </c>
      <c r="D144" s="7">
        <f>'Original data'!E144</f>
        <v>229.39924999999999</v>
      </c>
      <c r="E144" s="7">
        <f>'Original data'!H144</f>
        <v>194.18352999999999</v>
      </c>
      <c r="F144" s="7">
        <f>'Original data'!K144</f>
        <v>407.21075999999999</v>
      </c>
      <c r="G144" s="7">
        <f>'Original data'!N144</f>
        <v>264.65235000000001</v>
      </c>
      <c r="H144" s="7">
        <f>'Original data'!Q144</f>
        <v>148.52234000000001</v>
      </c>
      <c r="I144" s="7"/>
    </row>
    <row r="145" spans="1:9" x14ac:dyDescent="0.3">
      <c r="A145" s="7" t="s">
        <v>19</v>
      </c>
      <c r="B145" s="7">
        <v>324</v>
      </c>
      <c r="C145" s="7">
        <v>1</v>
      </c>
      <c r="D145" s="7">
        <f>'Original data'!E145</f>
        <v>225.70295999999999</v>
      </c>
      <c r="E145" s="7">
        <f>'Original data'!H145</f>
        <v>303.40983</v>
      </c>
      <c r="F145" s="7">
        <f>'Original data'!K145</f>
        <v>420.82393999999999</v>
      </c>
      <c r="G145" s="7">
        <f>'Original data'!N145</f>
        <v>251.33815000000001</v>
      </c>
      <c r="H145" s="7">
        <f>'Original data'!Q145</f>
        <v>218.36009999999999</v>
      </c>
      <c r="I145" s="7"/>
    </row>
    <row r="146" spans="1:9" x14ac:dyDescent="0.3">
      <c r="A146" s="7" t="s">
        <v>19</v>
      </c>
      <c r="B146" s="7">
        <v>324</v>
      </c>
      <c r="C146" s="7">
        <v>1</v>
      </c>
      <c r="D146" s="7">
        <f>'Original data'!E146</f>
        <v>222.20273</v>
      </c>
      <c r="E146" s="7">
        <f>'Original data'!H146</f>
        <v>337.76506000000001</v>
      </c>
      <c r="F146" s="7">
        <f>'Original data'!K146</f>
        <v>387.36896999999999</v>
      </c>
      <c r="G146" s="7">
        <f>'Original data'!N146</f>
        <v>240.26203000000001</v>
      </c>
      <c r="H146" s="7">
        <f>'Original data'!Q146</f>
        <v>184.02806000000001</v>
      </c>
      <c r="I146" s="7"/>
    </row>
    <row r="147" spans="1:9" x14ac:dyDescent="0.3">
      <c r="A147" s="7" t="s">
        <v>19</v>
      </c>
      <c r="B147" s="7">
        <v>324</v>
      </c>
      <c r="C147" s="7">
        <v>1</v>
      </c>
      <c r="D147" s="7">
        <f>'Original data'!E147</f>
        <v>225.18517</v>
      </c>
      <c r="E147" s="7">
        <f>'Original data'!H147</f>
        <v>215.70644999999999</v>
      </c>
      <c r="F147" s="7">
        <f>'Original data'!K147</f>
        <v>429.02098000000001</v>
      </c>
      <c r="G147" s="7">
        <f>'Original data'!N147</f>
        <v>261.74943000000002</v>
      </c>
      <c r="H147" s="7">
        <f>'Original data'!Q147</f>
        <v>187.37073000000001</v>
      </c>
      <c r="I147" s="7"/>
    </row>
    <row r="148" spans="1:9" x14ac:dyDescent="0.3">
      <c r="A148" s="7" t="s">
        <v>19</v>
      </c>
      <c r="B148" s="7">
        <v>324</v>
      </c>
      <c r="C148" s="7">
        <v>1</v>
      </c>
      <c r="D148" s="7">
        <f>'Original data'!E148</f>
        <v>221.94272000000001</v>
      </c>
      <c r="E148" s="7">
        <f>'Original data'!H148</f>
        <v>255.68550999999999</v>
      </c>
      <c r="F148" s="7">
        <f>'Original data'!K148</f>
        <v>417.12103999999999</v>
      </c>
      <c r="G148" s="7">
        <f>'Original data'!N148</f>
        <v>329.08848999999998</v>
      </c>
      <c r="H148" s="7">
        <f>'Original data'!Q148</f>
        <v>125.19913</v>
      </c>
      <c r="I148" s="7"/>
    </row>
    <row r="149" spans="1:9" x14ac:dyDescent="0.3">
      <c r="A149" s="7" t="s">
        <v>19</v>
      </c>
      <c r="B149" s="7">
        <v>324</v>
      </c>
      <c r="C149" s="7">
        <v>1</v>
      </c>
      <c r="D149" s="7">
        <f>'Original data'!E149</f>
        <v>226.06115</v>
      </c>
      <c r="E149" s="7">
        <f>'Original data'!H149</f>
        <v>189.88142999999999</v>
      </c>
      <c r="F149" s="7">
        <f>'Original data'!K149</f>
        <v>425.98369000000002</v>
      </c>
      <c r="G149" s="7">
        <f>'Original data'!N149</f>
        <v>265.36149</v>
      </c>
      <c r="H149" s="7">
        <f>'Original data'!Q149</f>
        <v>131.40950000000001</v>
      </c>
      <c r="I149" s="7"/>
    </row>
    <row r="150" spans="1:9" x14ac:dyDescent="0.3">
      <c r="A150" s="7" t="s">
        <v>19</v>
      </c>
      <c r="B150" s="7">
        <v>324</v>
      </c>
      <c r="C150" s="7">
        <v>1</v>
      </c>
      <c r="D150" s="7">
        <f>'Original data'!E150</f>
        <v>224.58163999999999</v>
      </c>
      <c r="E150" s="7">
        <f>'Original data'!H150</f>
        <v>325.39321000000001</v>
      </c>
      <c r="F150" s="7">
        <f>'Original data'!K150</f>
        <v>433.75745999999998</v>
      </c>
      <c r="G150" s="7">
        <f>'Original data'!N150</f>
        <v>253.89474000000001</v>
      </c>
      <c r="H150" s="7">
        <f>'Original data'!Q150</f>
        <v>158.25110000000001</v>
      </c>
      <c r="I150" s="7"/>
    </row>
    <row r="151" spans="1:9" x14ac:dyDescent="0.3">
      <c r="A151" s="7" t="s">
        <v>19</v>
      </c>
      <c r="B151" s="7">
        <v>324</v>
      </c>
      <c r="C151" s="7">
        <v>1</v>
      </c>
      <c r="D151" s="7">
        <f>'Original data'!E151</f>
        <v>223.2929</v>
      </c>
      <c r="E151" s="7">
        <f>'Original data'!H151</f>
        <v>136.71601999999999</v>
      </c>
      <c r="F151" s="7">
        <f>'Original data'!K151</f>
        <v>423.92365999999998</v>
      </c>
      <c r="G151" s="7">
        <f>'Original data'!N151</f>
        <v>373.78805</v>
      </c>
      <c r="H151" s="7">
        <f>'Original data'!Q151</f>
        <v>46.218780000000002</v>
      </c>
      <c r="I151" s="7"/>
    </row>
    <row r="152" spans="1:9" x14ac:dyDescent="0.3">
      <c r="A152" s="7" t="s">
        <v>20</v>
      </c>
      <c r="B152" s="7">
        <v>40</v>
      </c>
      <c r="C152" s="7">
        <v>1</v>
      </c>
      <c r="D152" s="7">
        <f>'Original data'!E152</f>
        <v>6.2600100000000003</v>
      </c>
      <c r="E152" s="7">
        <f>'Original data'!H152</f>
        <v>5.0107799999999996</v>
      </c>
      <c r="F152" s="7">
        <f>'Original data'!K152</f>
        <v>11.50361</v>
      </c>
      <c r="G152" s="7">
        <f>'Original data'!N152</f>
        <v>2.80735</v>
      </c>
      <c r="H152" s="7">
        <f>'Original data'!Q152</f>
        <v>2.5863900000000002</v>
      </c>
      <c r="I152" s="7"/>
    </row>
    <row r="153" spans="1:9" x14ac:dyDescent="0.3">
      <c r="A153" s="7" t="s">
        <v>20</v>
      </c>
      <c r="B153" s="7">
        <v>40</v>
      </c>
      <c r="C153" s="7">
        <v>1</v>
      </c>
      <c r="D153" s="7">
        <f>'Original data'!E153</f>
        <v>6.3823800000000004</v>
      </c>
      <c r="E153" s="7">
        <f>'Original data'!H153</f>
        <v>8.6399399999999993</v>
      </c>
      <c r="F153" s="7">
        <f>'Original data'!K153</f>
        <v>12.3795</v>
      </c>
      <c r="G153" s="7">
        <f>'Original data'!N153</f>
        <v>4.72018</v>
      </c>
      <c r="H153" s="7">
        <f>'Original data'!Q153</f>
        <v>3.9901900000000001</v>
      </c>
      <c r="I153" s="7"/>
    </row>
    <row r="154" spans="1:9" x14ac:dyDescent="0.3">
      <c r="A154" s="7" t="s">
        <v>20</v>
      </c>
      <c r="B154" s="7">
        <v>40</v>
      </c>
      <c r="C154" s="7">
        <v>1</v>
      </c>
      <c r="D154" s="7">
        <f>'Original data'!E154</f>
        <v>6.6453699999999998</v>
      </c>
      <c r="E154" s="7">
        <f>'Original data'!H154</f>
        <v>16.210260000000002</v>
      </c>
      <c r="F154" s="7">
        <f>'Original data'!K154</f>
        <v>11.350709999999999</v>
      </c>
      <c r="G154" s="7">
        <f>'Original data'!N154</f>
        <v>2.5524399999999998</v>
      </c>
      <c r="H154" s="7">
        <f>'Original data'!Q154</f>
        <v>2.5774400000000002</v>
      </c>
      <c r="I154" s="7"/>
    </row>
    <row r="155" spans="1:9" x14ac:dyDescent="0.3">
      <c r="A155" s="7" t="s">
        <v>20</v>
      </c>
      <c r="B155" s="7">
        <v>40</v>
      </c>
      <c r="C155" s="7">
        <v>1</v>
      </c>
      <c r="D155" s="7">
        <f>'Original data'!E155</f>
        <v>11.761760000000001</v>
      </c>
      <c r="E155" s="7">
        <f>'Original data'!H155</f>
        <v>10.76629</v>
      </c>
      <c r="F155" s="7">
        <f>'Original data'!K155</f>
        <v>11.25034</v>
      </c>
      <c r="G155" s="7">
        <f>'Original data'!N155</f>
        <v>2.7426200000000001</v>
      </c>
      <c r="H155" s="7">
        <f>'Original data'!Q155</f>
        <v>2.7688600000000001</v>
      </c>
      <c r="I155" s="7"/>
    </row>
    <row r="156" spans="1:9" x14ac:dyDescent="0.3">
      <c r="A156" s="7" t="s">
        <v>20</v>
      </c>
      <c r="B156" s="7">
        <v>40</v>
      </c>
      <c r="C156" s="7">
        <v>1</v>
      </c>
      <c r="D156" s="7">
        <f>'Original data'!E156</f>
        <v>7.1384299999999996</v>
      </c>
      <c r="E156" s="7">
        <f>'Original data'!H156</f>
        <v>11.550689999999999</v>
      </c>
      <c r="F156" s="7">
        <f>'Original data'!K156</f>
        <v>11.83881</v>
      </c>
      <c r="G156" s="7">
        <f>'Original data'!N156</f>
        <v>2.61714</v>
      </c>
      <c r="H156" s="7">
        <f>'Original data'!Q156</f>
        <v>1.64527</v>
      </c>
      <c r="I156" s="7"/>
    </row>
    <row r="157" spans="1:9" x14ac:dyDescent="0.3">
      <c r="A157" s="7" t="s">
        <v>20</v>
      </c>
      <c r="B157" s="7">
        <v>40</v>
      </c>
      <c r="C157" s="7">
        <v>1</v>
      </c>
      <c r="D157" s="7">
        <f>'Original data'!E157</f>
        <v>6.2687999999999997</v>
      </c>
      <c r="E157" s="7">
        <f>'Original data'!H157</f>
        <v>17.15408</v>
      </c>
      <c r="F157" s="7">
        <f>'Original data'!K157</f>
        <v>11.743869999999999</v>
      </c>
      <c r="G157" s="7">
        <f>'Original data'!N157</f>
        <v>4.8913200000000003</v>
      </c>
      <c r="H157" s="7">
        <f>'Original data'!Q157</f>
        <v>2.4484599999999999</v>
      </c>
      <c r="I157" s="7"/>
    </row>
    <row r="158" spans="1:9" x14ac:dyDescent="0.3">
      <c r="A158" s="7" t="s">
        <v>20</v>
      </c>
      <c r="B158" s="7">
        <v>40</v>
      </c>
      <c r="C158" s="7">
        <v>1</v>
      </c>
      <c r="D158" s="7">
        <f>'Original data'!E158</f>
        <v>6.2251099999999999</v>
      </c>
      <c r="E158" s="7">
        <f>'Original data'!H158</f>
        <v>5.0705400000000003</v>
      </c>
      <c r="F158" s="7">
        <f>'Original data'!K158</f>
        <v>11.33893</v>
      </c>
      <c r="G158" s="7">
        <f>'Original data'!N158</f>
        <v>5.5542800000000003</v>
      </c>
      <c r="H158" s="7">
        <f>'Original data'!Q158</f>
        <v>1.4658800000000001</v>
      </c>
      <c r="I158" s="7"/>
    </row>
    <row r="159" spans="1:9" x14ac:dyDescent="0.3">
      <c r="A159" s="7" t="s">
        <v>20</v>
      </c>
      <c r="B159" s="7">
        <v>40</v>
      </c>
      <c r="C159" s="7">
        <v>1</v>
      </c>
      <c r="D159" s="7">
        <f>'Original data'!E159</f>
        <v>6.2169699999999999</v>
      </c>
      <c r="E159" s="7">
        <f>'Original data'!H159</f>
        <v>12.79458</v>
      </c>
      <c r="F159" s="7">
        <f>'Original data'!K159</f>
        <v>11.72931</v>
      </c>
      <c r="G159" s="7">
        <f>'Original data'!N159</f>
        <v>4.3837900000000003</v>
      </c>
      <c r="H159" s="7">
        <f>'Original data'!Q159</f>
        <v>1.94519</v>
      </c>
      <c r="I159" s="7"/>
    </row>
    <row r="160" spans="1:9" x14ac:dyDescent="0.3">
      <c r="A160" s="7" t="s">
        <v>20</v>
      </c>
      <c r="B160" s="7">
        <v>40</v>
      </c>
      <c r="C160" s="7">
        <v>1</v>
      </c>
      <c r="D160" s="7">
        <f>'Original data'!E160</f>
        <v>6.1273999999999997</v>
      </c>
      <c r="E160" s="7">
        <f>'Original data'!H160</f>
        <v>5.0680300000000003</v>
      </c>
      <c r="F160" s="7">
        <f>'Original data'!K160</f>
        <v>11.67665</v>
      </c>
      <c r="G160" s="7">
        <f>'Original data'!N160</f>
        <v>2.5408300000000001</v>
      </c>
      <c r="H160" s="7">
        <f>'Original data'!Q160</f>
        <v>4.2834399999999997</v>
      </c>
      <c r="I160" s="7"/>
    </row>
    <row r="161" spans="1:9" x14ac:dyDescent="0.3">
      <c r="A161" s="7" t="s">
        <v>20</v>
      </c>
      <c r="B161" s="7">
        <v>40</v>
      </c>
      <c r="C161" s="7">
        <v>1</v>
      </c>
      <c r="D161" s="7">
        <f>'Original data'!E161</f>
        <v>11.31537</v>
      </c>
      <c r="E161" s="7">
        <f>'Original data'!H161</f>
        <v>7.3432000000000004</v>
      </c>
      <c r="F161" s="7">
        <f>'Original data'!K161</f>
        <v>11.27042</v>
      </c>
      <c r="G161" s="7">
        <f>'Original data'!N161</f>
        <v>4.4454000000000002</v>
      </c>
      <c r="H161" s="7">
        <f>'Original data'!Q161</f>
        <v>2.4655900000000002</v>
      </c>
      <c r="I161" s="7"/>
    </row>
    <row r="162" spans="1:9" x14ac:dyDescent="0.3">
      <c r="A162" s="7" t="s">
        <v>20</v>
      </c>
      <c r="B162" s="7">
        <v>96</v>
      </c>
      <c r="C162" s="7">
        <v>1</v>
      </c>
      <c r="D162" s="7">
        <f>'Original data'!E162</f>
        <v>19.76108</v>
      </c>
      <c r="E162" s="7">
        <f>'Original data'!H162</f>
        <v>18.164840000000002</v>
      </c>
      <c r="F162" s="7">
        <f>'Original data'!K162</f>
        <v>49.507300000000001</v>
      </c>
      <c r="G162" s="7">
        <f>'Original data'!N162</f>
        <v>19.042539999999999</v>
      </c>
      <c r="H162" s="7">
        <f>'Original data'!Q162</f>
        <v>2.5724100000000001</v>
      </c>
      <c r="I162" s="7"/>
    </row>
    <row r="163" spans="1:9" x14ac:dyDescent="0.3">
      <c r="A163" s="7" t="s">
        <v>20</v>
      </c>
      <c r="B163" s="7">
        <v>96</v>
      </c>
      <c r="C163" s="7">
        <v>1</v>
      </c>
      <c r="D163" s="7">
        <f>'Original data'!E163</f>
        <v>19.30808</v>
      </c>
      <c r="E163" s="7">
        <f>'Original data'!H163</f>
        <v>19.27075</v>
      </c>
      <c r="F163" s="7">
        <f>'Original data'!K163</f>
        <v>50.261000000000003</v>
      </c>
      <c r="G163" s="7">
        <f>'Original data'!N163</f>
        <v>15.488189999999999</v>
      </c>
      <c r="H163" s="7">
        <f>'Original data'!Q163</f>
        <v>7.2132500000000004</v>
      </c>
      <c r="I163" s="7"/>
    </row>
    <row r="164" spans="1:9" x14ac:dyDescent="0.3">
      <c r="A164" s="7" t="s">
        <v>20</v>
      </c>
      <c r="B164" s="7">
        <v>96</v>
      </c>
      <c r="C164" s="7">
        <v>1</v>
      </c>
      <c r="D164" s="7">
        <f>'Original data'!E164</f>
        <v>19.487909999999999</v>
      </c>
      <c r="E164" s="7">
        <f>'Original data'!H164</f>
        <v>28.809899999999999</v>
      </c>
      <c r="F164" s="7">
        <f>'Original data'!K164</f>
        <v>50.969160000000002</v>
      </c>
      <c r="G164" s="7">
        <f>'Original data'!N164</f>
        <v>17.183399999999999</v>
      </c>
      <c r="H164" s="7">
        <f>'Original data'!Q164</f>
        <v>13.11328</v>
      </c>
      <c r="I164" s="7"/>
    </row>
    <row r="165" spans="1:9" x14ac:dyDescent="0.3">
      <c r="A165" s="7" t="s">
        <v>20</v>
      </c>
      <c r="B165" s="7">
        <v>96</v>
      </c>
      <c r="C165" s="7">
        <v>1</v>
      </c>
      <c r="D165" s="7">
        <f>'Original data'!E165</f>
        <v>20.72242</v>
      </c>
      <c r="E165" s="7">
        <f>'Original data'!H165</f>
        <v>21.77731</v>
      </c>
      <c r="F165" s="7">
        <f>'Original data'!K165</f>
        <v>50.969329999999999</v>
      </c>
      <c r="G165" s="7">
        <f>'Original data'!N165</f>
        <v>17.896640000000001</v>
      </c>
      <c r="H165" s="7">
        <f>'Original data'!Q165</f>
        <v>11.579840000000001</v>
      </c>
      <c r="I165" s="7"/>
    </row>
    <row r="166" spans="1:9" x14ac:dyDescent="0.3">
      <c r="A166" s="7" t="s">
        <v>20</v>
      </c>
      <c r="B166" s="7">
        <v>96</v>
      </c>
      <c r="C166" s="7">
        <v>1</v>
      </c>
      <c r="D166" s="7">
        <f>'Original data'!E166</f>
        <v>20.0349</v>
      </c>
      <c r="E166" s="7">
        <f>'Original data'!H166</f>
        <v>19.634509999999999</v>
      </c>
      <c r="F166" s="7">
        <f>'Original data'!K166</f>
        <v>55.057670000000002</v>
      </c>
      <c r="G166" s="7">
        <f>'Original data'!N166</f>
        <v>9.7090499999999995</v>
      </c>
      <c r="H166" s="7">
        <f>'Original data'!Q166</f>
        <v>7.8556900000000001</v>
      </c>
      <c r="I166" s="7"/>
    </row>
    <row r="167" spans="1:9" x14ac:dyDescent="0.3">
      <c r="A167" s="7" t="s">
        <v>20</v>
      </c>
      <c r="B167" s="7">
        <v>96</v>
      </c>
      <c r="C167" s="7">
        <v>1</v>
      </c>
      <c r="D167" s="7">
        <f>'Original data'!E167</f>
        <v>19.461639999999999</v>
      </c>
      <c r="E167" s="7">
        <f>'Original data'!H167</f>
        <v>39.508270000000003</v>
      </c>
      <c r="F167" s="7">
        <f>'Original data'!K167</f>
        <v>50.903269999999999</v>
      </c>
      <c r="G167" s="7">
        <f>'Original data'!N167</f>
        <v>9.7921099999999992</v>
      </c>
      <c r="H167" s="7">
        <f>'Original data'!Q167</f>
        <v>5.77189</v>
      </c>
      <c r="I167" s="7"/>
    </row>
    <row r="168" spans="1:9" x14ac:dyDescent="0.3">
      <c r="A168" s="7" t="s">
        <v>20</v>
      </c>
      <c r="B168" s="7">
        <v>96</v>
      </c>
      <c r="C168" s="7">
        <v>1</v>
      </c>
      <c r="D168" s="7">
        <f>'Original data'!E168</f>
        <v>19.306170000000002</v>
      </c>
      <c r="E168" s="7">
        <f>'Original data'!H168</f>
        <v>10.429510000000001</v>
      </c>
      <c r="F168" s="7">
        <f>'Original data'!K168</f>
        <v>51.399299999999997</v>
      </c>
      <c r="G168" s="7">
        <f>'Original data'!N168</f>
        <v>18.372710000000001</v>
      </c>
      <c r="H168" s="7">
        <f>'Original data'!Q168</f>
        <v>6.8287100000000001</v>
      </c>
      <c r="I168" s="7"/>
    </row>
    <row r="169" spans="1:9" x14ac:dyDescent="0.3">
      <c r="A169" s="7" t="s">
        <v>20</v>
      </c>
      <c r="B169" s="7">
        <v>96</v>
      </c>
      <c r="C169" s="7">
        <v>1</v>
      </c>
      <c r="D169" s="7">
        <f>'Original data'!E169</f>
        <v>20.322469999999999</v>
      </c>
      <c r="E169" s="7">
        <f>'Original data'!H169</f>
        <v>29.2075</v>
      </c>
      <c r="F169" s="7">
        <f>'Original data'!K169</f>
        <v>55.153669999999998</v>
      </c>
      <c r="G169" s="7">
        <f>'Original data'!N169</f>
        <v>9.7210300000000007</v>
      </c>
      <c r="H169" s="7">
        <f>'Original data'!Q169</f>
        <v>10.57591</v>
      </c>
      <c r="I169" s="7"/>
    </row>
    <row r="170" spans="1:9" x14ac:dyDescent="0.3">
      <c r="A170" s="7" t="s">
        <v>20</v>
      </c>
      <c r="B170" s="7">
        <v>96</v>
      </c>
      <c r="C170" s="7">
        <v>1</v>
      </c>
      <c r="D170" s="7">
        <f>'Original data'!E170</f>
        <v>19.695730000000001</v>
      </c>
      <c r="E170" s="7">
        <f>'Original data'!H170</f>
        <v>51.000190000000003</v>
      </c>
      <c r="F170" s="7">
        <f>'Original data'!K170</f>
        <v>48.014189999999999</v>
      </c>
      <c r="G170" s="7">
        <f>'Original data'!N170</f>
        <v>9.8373600000000003</v>
      </c>
      <c r="H170" s="7">
        <f>'Original data'!Q170</f>
        <v>2.55247</v>
      </c>
      <c r="I170" s="7"/>
    </row>
    <row r="171" spans="1:9" x14ac:dyDescent="0.3">
      <c r="A171" s="7" t="s">
        <v>20</v>
      </c>
      <c r="B171" s="7">
        <v>96</v>
      </c>
      <c r="C171" s="7">
        <v>1</v>
      </c>
      <c r="D171" s="7">
        <f>'Original data'!E171</f>
        <v>21.282109999999999</v>
      </c>
      <c r="E171" s="7">
        <f>'Original data'!H171</f>
        <v>45.57208</v>
      </c>
      <c r="F171" s="7">
        <f>'Original data'!K171</f>
        <v>50.427590000000002</v>
      </c>
      <c r="G171" s="7">
        <f>'Original data'!N171</f>
        <v>9.6300500000000007</v>
      </c>
      <c r="H171" s="7">
        <f>'Original data'!Q171</f>
        <v>3.9332500000000001</v>
      </c>
      <c r="I171" s="7"/>
    </row>
    <row r="172" spans="1:9" x14ac:dyDescent="0.3">
      <c r="A172" s="7" t="s">
        <v>20</v>
      </c>
      <c r="B172" s="7">
        <v>224</v>
      </c>
      <c r="C172" s="7">
        <v>1</v>
      </c>
      <c r="D172" s="7">
        <f>'Original data'!E172</f>
        <v>84.633279999999999</v>
      </c>
      <c r="E172" s="7">
        <f>'Original data'!H172</f>
        <v>118.78666</v>
      </c>
      <c r="F172" s="7">
        <f>'Original data'!K172</f>
        <v>253.17658</v>
      </c>
      <c r="G172" s="7">
        <f>'Original data'!N172</f>
        <v>130.13149999999999</v>
      </c>
      <c r="H172" s="7">
        <f>'Original data'!Q172</f>
        <v>14.595269999999999</v>
      </c>
      <c r="I172" s="7"/>
    </row>
    <row r="173" spans="1:9" x14ac:dyDescent="0.3">
      <c r="A173" s="7" t="s">
        <v>20</v>
      </c>
      <c r="B173" s="7">
        <v>224</v>
      </c>
      <c r="C173" s="7">
        <v>1</v>
      </c>
      <c r="D173" s="7">
        <f>'Original data'!E173</f>
        <v>85.041899999999998</v>
      </c>
      <c r="E173" s="7">
        <f>'Original data'!H173</f>
        <v>72.445909999999998</v>
      </c>
      <c r="F173" s="7">
        <f>'Original data'!K173</f>
        <v>255.166</v>
      </c>
      <c r="G173" s="7">
        <f>'Original data'!N173</f>
        <v>76.422190000000001</v>
      </c>
      <c r="H173" s="7">
        <f>'Original data'!Q173</f>
        <v>30.041340000000002</v>
      </c>
      <c r="I173" s="7"/>
    </row>
    <row r="174" spans="1:9" x14ac:dyDescent="0.3">
      <c r="A174" s="7" t="s">
        <v>20</v>
      </c>
      <c r="B174" s="7">
        <v>224</v>
      </c>
      <c r="C174" s="7">
        <v>1</v>
      </c>
      <c r="D174" s="7">
        <f>'Original data'!E174</f>
        <v>86.553979999999996</v>
      </c>
      <c r="E174" s="7">
        <f>'Original data'!H174</f>
        <v>104.88804</v>
      </c>
      <c r="F174" s="7">
        <f>'Original data'!K174</f>
        <v>256.57816000000003</v>
      </c>
      <c r="G174" s="7">
        <f>'Original data'!N174</f>
        <v>86.540239999999997</v>
      </c>
      <c r="H174" s="7">
        <f>'Original data'!Q174</f>
        <v>84.306650000000005</v>
      </c>
      <c r="I174" s="7"/>
    </row>
    <row r="175" spans="1:9" x14ac:dyDescent="0.3">
      <c r="A175" s="7" t="s">
        <v>20</v>
      </c>
      <c r="B175" s="7">
        <v>224</v>
      </c>
      <c r="C175" s="7">
        <v>1</v>
      </c>
      <c r="D175" s="7">
        <f>'Original data'!E175</f>
        <v>86.074479999999994</v>
      </c>
      <c r="E175" s="7">
        <f>'Original data'!H175</f>
        <v>63.60078</v>
      </c>
      <c r="F175" s="7">
        <f>'Original data'!K175</f>
        <v>262.49844999999999</v>
      </c>
      <c r="G175" s="7">
        <f>'Original data'!N175</f>
        <v>64.633480000000006</v>
      </c>
      <c r="H175" s="7">
        <f>'Original data'!Q175</f>
        <v>32.840299999999999</v>
      </c>
      <c r="I175" s="7"/>
    </row>
    <row r="176" spans="1:9" x14ac:dyDescent="0.3">
      <c r="A176" s="7" t="s">
        <v>20</v>
      </c>
      <c r="B176" s="7">
        <v>224</v>
      </c>
      <c r="C176" s="7">
        <v>1</v>
      </c>
      <c r="D176" s="7">
        <f>'Original data'!E176</f>
        <v>84.558000000000007</v>
      </c>
      <c r="E176" s="7">
        <f>'Original data'!H176</f>
        <v>162.78426999999999</v>
      </c>
      <c r="F176" s="7">
        <f>'Original data'!K176</f>
        <v>255.75685999999999</v>
      </c>
      <c r="G176" s="7">
        <f>'Original data'!N176</f>
        <v>115.69103</v>
      </c>
      <c r="H176" s="7">
        <f>'Original data'!Q176</f>
        <v>14.58334</v>
      </c>
      <c r="I176" s="7"/>
    </row>
    <row r="177" spans="1:9" x14ac:dyDescent="0.3">
      <c r="A177" s="7" t="s">
        <v>20</v>
      </c>
      <c r="B177" s="7">
        <v>224</v>
      </c>
      <c r="C177" s="7">
        <v>1</v>
      </c>
      <c r="D177" s="7">
        <f>'Original data'!E177</f>
        <v>84.212710000000001</v>
      </c>
      <c r="E177" s="7">
        <f>'Original data'!H177</f>
        <v>118.80319</v>
      </c>
      <c r="F177" s="7">
        <f>'Original data'!K177</f>
        <v>257.28728000000001</v>
      </c>
      <c r="G177" s="7">
        <f>'Original data'!N177</f>
        <v>97.643479999999997</v>
      </c>
      <c r="H177" s="7">
        <f>'Original data'!Q177</f>
        <v>52.557450000000003</v>
      </c>
      <c r="I177" s="7"/>
    </row>
    <row r="178" spans="1:9" x14ac:dyDescent="0.3">
      <c r="A178" s="7" t="s">
        <v>20</v>
      </c>
      <c r="B178" s="7">
        <v>224</v>
      </c>
      <c r="C178" s="7">
        <v>1</v>
      </c>
      <c r="D178" s="7">
        <f>'Original data'!E178</f>
        <v>86.028949999999995</v>
      </c>
      <c r="E178" s="7">
        <f>'Original data'!H178</f>
        <v>61.903640000000003</v>
      </c>
      <c r="F178" s="7">
        <f>'Original data'!K178</f>
        <v>251.89944</v>
      </c>
      <c r="G178" s="7">
        <f>'Original data'!N178</f>
        <v>61.21387</v>
      </c>
      <c r="H178" s="7">
        <f>'Original data'!Q178</f>
        <v>14.614649999999999</v>
      </c>
      <c r="I178" s="7"/>
    </row>
    <row r="179" spans="1:9" x14ac:dyDescent="0.3">
      <c r="A179" s="7" t="s">
        <v>20</v>
      </c>
      <c r="B179" s="7">
        <v>224</v>
      </c>
      <c r="C179" s="7">
        <v>1</v>
      </c>
      <c r="D179" s="7">
        <f>'Original data'!E179</f>
        <v>84.977140000000006</v>
      </c>
      <c r="E179" s="7">
        <f>'Original data'!H179</f>
        <v>80.597049999999996</v>
      </c>
      <c r="F179" s="7">
        <f>'Original data'!K179</f>
        <v>248.33366000000001</v>
      </c>
      <c r="G179" s="7">
        <f>'Original data'!N179</f>
        <v>76.095920000000007</v>
      </c>
      <c r="H179" s="7">
        <f>'Original data'!Q179</f>
        <v>32.030029999999996</v>
      </c>
      <c r="I179" s="7"/>
    </row>
    <row r="180" spans="1:9" x14ac:dyDescent="0.3">
      <c r="A180" s="7" t="s">
        <v>20</v>
      </c>
      <c r="B180" s="7">
        <v>224</v>
      </c>
      <c r="C180" s="7">
        <v>1</v>
      </c>
      <c r="D180" s="7">
        <f>'Original data'!E180</f>
        <v>85.401169999999993</v>
      </c>
      <c r="E180" s="7">
        <f>'Original data'!H180</f>
        <v>49.849339999999998</v>
      </c>
      <c r="F180" s="7">
        <f>'Original data'!K180</f>
        <v>253.69846999999999</v>
      </c>
      <c r="G180" s="7">
        <f>'Original data'!N180</f>
        <v>102.42319000000001</v>
      </c>
      <c r="H180" s="7">
        <f>'Original data'!Q180</f>
        <v>28.883980000000001</v>
      </c>
      <c r="I180" s="7"/>
    </row>
    <row r="181" spans="1:9" x14ac:dyDescent="0.3">
      <c r="A181" s="7" t="s">
        <v>20</v>
      </c>
      <c r="B181" s="7">
        <v>224</v>
      </c>
      <c r="C181" s="7">
        <v>1</v>
      </c>
      <c r="D181" s="7">
        <f>'Original data'!E181</f>
        <v>87.260840000000002</v>
      </c>
      <c r="E181" s="7">
        <f>'Original data'!H181</f>
        <v>66.079070000000002</v>
      </c>
      <c r="F181" s="7">
        <f>'Original data'!K181</f>
        <v>259.83015999999998</v>
      </c>
      <c r="G181" s="7">
        <f>'Original data'!N181</f>
        <v>63.909179999999999</v>
      </c>
      <c r="H181" s="7">
        <f>'Original data'!Q181</f>
        <v>47.024520000000003</v>
      </c>
      <c r="I181" s="7"/>
    </row>
  </sheetData>
  <phoneticPr fontId="6" type="noConversion"/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 data</vt:lpstr>
      <vt:lpstr>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xieyi</dc:creator>
  <dc:description/>
  <cp:lastModifiedBy>z Z</cp:lastModifiedBy>
  <cp:revision>4</cp:revision>
  <dcterms:created xsi:type="dcterms:W3CDTF">2022-01-17T17:04:03Z</dcterms:created>
  <dcterms:modified xsi:type="dcterms:W3CDTF">2026-10-07T12:33:15Z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